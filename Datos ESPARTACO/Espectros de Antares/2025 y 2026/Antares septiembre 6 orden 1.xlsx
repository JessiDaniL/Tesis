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ostra\Desktop\observaciones Antares\2024\septiembre 6\"/>
    </mc:Choice>
  </mc:AlternateContent>
  <xr:revisionPtr revIDLastSave="0" documentId="13_ncr:1_{3133BC53-C847-41CC-B2B6-9E52451EA10F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thor orden 1" sheetId="2" r:id="rId1"/>
    <sheet name="thor parabolas" sheetId="4" r:id="rId2"/>
    <sheet name="ster orden 1" sheetId="1" r:id="rId3"/>
    <sheet name="ster parábolas" sheetId="5" r:id="rId4"/>
    <sheet name="compara V con otra fecha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57" i="5" l="1"/>
  <c r="V791" i="5"/>
  <c r="Q791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J794" i="1"/>
  <c r="J793" i="1"/>
  <c r="J792" i="1"/>
  <c r="L793" i="1" s="1"/>
  <c r="W791" i="1"/>
  <c r="V791" i="1"/>
  <c r="Q791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J797" i="1" l="1"/>
  <c r="L797" i="1" s="1"/>
  <c r="N797" i="1" s="1"/>
  <c r="T791" i="1" s="1"/>
  <c r="J796" i="1"/>
  <c r="U791" i="1" s="1"/>
  <c r="J795" i="1"/>
  <c r="S791" i="1" s="1"/>
  <c r="N793" i="1"/>
  <c r="P793" i="1" s="1"/>
  <c r="R791" i="1" s="1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6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6" i="3"/>
  <c r="K6" i="3"/>
  <c r="C1530" i="5"/>
  <c r="D1530" i="5" s="1"/>
  <c r="C1529" i="5"/>
  <c r="D1529" i="5" s="1"/>
  <c r="C1528" i="5"/>
  <c r="D1528" i="5" s="1"/>
  <c r="C1527" i="5"/>
  <c r="D1527" i="5" s="1"/>
  <c r="C1526" i="5"/>
  <c r="D1526" i="5" s="1"/>
  <c r="C1525" i="5"/>
  <c r="D1525" i="5" s="1"/>
  <c r="C1524" i="5"/>
  <c r="D1524" i="5" s="1"/>
  <c r="C1523" i="5"/>
  <c r="D1523" i="5" s="1"/>
  <c r="C1522" i="5"/>
  <c r="D1522" i="5" s="1"/>
  <c r="C1521" i="5"/>
  <c r="D1521" i="5" s="1"/>
  <c r="C1520" i="5"/>
  <c r="D1520" i="5" s="1"/>
  <c r="C1519" i="5"/>
  <c r="D1519" i="5" s="1"/>
  <c r="C1518" i="5"/>
  <c r="D1518" i="5" s="1"/>
  <c r="C1517" i="5"/>
  <c r="D1517" i="5" s="1"/>
  <c r="C1516" i="5"/>
  <c r="D1516" i="5" s="1"/>
  <c r="C1515" i="5"/>
  <c r="D1515" i="5" s="1"/>
  <c r="C1514" i="5"/>
  <c r="D1514" i="5" s="1"/>
  <c r="C1513" i="5"/>
  <c r="D1513" i="5" s="1"/>
  <c r="C1512" i="5"/>
  <c r="D1512" i="5" s="1"/>
  <c r="C1511" i="5"/>
  <c r="D1511" i="5" s="1"/>
  <c r="C1510" i="5"/>
  <c r="D1510" i="5" s="1"/>
  <c r="C1509" i="5"/>
  <c r="D1509" i="5" s="1"/>
  <c r="C1508" i="5"/>
  <c r="D1508" i="5" s="1"/>
  <c r="C1507" i="5"/>
  <c r="D1507" i="5" s="1"/>
  <c r="C1506" i="5"/>
  <c r="D1506" i="5" s="1"/>
  <c r="C1505" i="5"/>
  <c r="D1505" i="5" s="1"/>
  <c r="C1504" i="5"/>
  <c r="D1504" i="5" s="1"/>
  <c r="C1503" i="5"/>
  <c r="D1503" i="5" s="1"/>
  <c r="C1502" i="5"/>
  <c r="D1502" i="5" s="1"/>
  <c r="C1501" i="5"/>
  <c r="D1501" i="5" s="1"/>
  <c r="C1500" i="5"/>
  <c r="D1500" i="5" s="1"/>
  <c r="C1499" i="5"/>
  <c r="D1499" i="5" s="1"/>
  <c r="C1498" i="5"/>
  <c r="D1498" i="5" s="1"/>
  <c r="C1497" i="5"/>
  <c r="D1497" i="5" s="1"/>
  <c r="C1496" i="5"/>
  <c r="D1496" i="5" s="1"/>
  <c r="C1495" i="5"/>
  <c r="D1495" i="5" s="1"/>
  <c r="C1494" i="5"/>
  <c r="D1494" i="5" s="1"/>
  <c r="C1493" i="5"/>
  <c r="D1493" i="5" s="1"/>
  <c r="C1492" i="5"/>
  <c r="D1492" i="5" s="1"/>
  <c r="C1491" i="5"/>
  <c r="D1491" i="5" s="1"/>
  <c r="C1490" i="5"/>
  <c r="D1490" i="5" s="1"/>
  <c r="C1489" i="5"/>
  <c r="D1489" i="5" s="1"/>
  <c r="C1488" i="5"/>
  <c r="D1488" i="5" s="1"/>
  <c r="C1487" i="5"/>
  <c r="D1487" i="5" s="1"/>
  <c r="C1486" i="5"/>
  <c r="D1486" i="5" s="1"/>
  <c r="C1485" i="5"/>
  <c r="D1485" i="5" s="1"/>
  <c r="C1484" i="5"/>
  <c r="D1484" i="5" s="1"/>
  <c r="C1483" i="5"/>
  <c r="D1483" i="5" s="1"/>
  <c r="C1482" i="5"/>
  <c r="D1482" i="5" s="1"/>
  <c r="C1481" i="5"/>
  <c r="D1481" i="5" s="1"/>
  <c r="C1480" i="5"/>
  <c r="D1480" i="5" s="1"/>
  <c r="C1479" i="5"/>
  <c r="D1479" i="5" s="1"/>
  <c r="C1478" i="5"/>
  <c r="D1478" i="5" s="1"/>
  <c r="C1477" i="5"/>
  <c r="D1477" i="5" s="1"/>
  <c r="C1476" i="5"/>
  <c r="D1476" i="5" s="1"/>
  <c r="C1475" i="5"/>
  <c r="D1475" i="5" s="1"/>
  <c r="C1474" i="5"/>
  <c r="D1474" i="5" s="1"/>
  <c r="C1473" i="5"/>
  <c r="D1473" i="5" s="1"/>
  <c r="C1472" i="5"/>
  <c r="D1472" i="5" s="1"/>
  <c r="C1471" i="5"/>
  <c r="D1471" i="5" s="1"/>
  <c r="C1470" i="5"/>
  <c r="D1470" i="5" s="1"/>
  <c r="C1469" i="5"/>
  <c r="D1469" i="5" s="1"/>
  <c r="C1468" i="5"/>
  <c r="D1468" i="5" s="1"/>
  <c r="C1467" i="5"/>
  <c r="D1467" i="5" s="1"/>
  <c r="C1466" i="5"/>
  <c r="D1466" i="5" s="1"/>
  <c r="C1465" i="5"/>
  <c r="D1465" i="5" s="1"/>
  <c r="C1464" i="5"/>
  <c r="D1464" i="5" s="1"/>
  <c r="C1463" i="5"/>
  <c r="D1463" i="5" s="1"/>
  <c r="C1462" i="5"/>
  <c r="D1462" i="5" s="1"/>
  <c r="C1461" i="5"/>
  <c r="D1461" i="5" s="1"/>
  <c r="C1460" i="5"/>
  <c r="D1460" i="5" s="1"/>
  <c r="C1459" i="5"/>
  <c r="D1459" i="5" s="1"/>
  <c r="C1458" i="5"/>
  <c r="D1458" i="5" s="1"/>
  <c r="C1457" i="5"/>
  <c r="D1457" i="5" s="1"/>
  <c r="C1456" i="5"/>
  <c r="D1456" i="5" s="1"/>
  <c r="C1455" i="5"/>
  <c r="D1455" i="5" s="1"/>
  <c r="C1454" i="5"/>
  <c r="D1454" i="5" s="1"/>
  <c r="C1453" i="5"/>
  <c r="D1453" i="5" s="1"/>
  <c r="C1452" i="5"/>
  <c r="D1452" i="5" s="1"/>
  <c r="C1451" i="5"/>
  <c r="D1451" i="5" s="1"/>
  <c r="C1450" i="5"/>
  <c r="D1450" i="5" s="1"/>
  <c r="C1449" i="5"/>
  <c r="D1449" i="5" s="1"/>
  <c r="C1448" i="5"/>
  <c r="D1448" i="5" s="1"/>
  <c r="C1447" i="5"/>
  <c r="D1447" i="5" s="1"/>
  <c r="C1446" i="5"/>
  <c r="D1446" i="5" s="1"/>
  <c r="C1445" i="5"/>
  <c r="D1445" i="5" s="1"/>
  <c r="C1444" i="5"/>
  <c r="D1444" i="5" s="1"/>
  <c r="C1443" i="5"/>
  <c r="D1443" i="5" s="1"/>
  <c r="C1442" i="5"/>
  <c r="D1442" i="5" s="1"/>
  <c r="C1441" i="5"/>
  <c r="D1441" i="5" s="1"/>
  <c r="C1440" i="5"/>
  <c r="D1440" i="5" s="1"/>
  <c r="C1439" i="5"/>
  <c r="D1439" i="5" s="1"/>
  <c r="C1438" i="5"/>
  <c r="D1438" i="5" s="1"/>
  <c r="C1437" i="5"/>
  <c r="D1437" i="5" s="1"/>
  <c r="C1436" i="5"/>
  <c r="D1436" i="5" s="1"/>
  <c r="C1435" i="5"/>
  <c r="D1435" i="5" s="1"/>
  <c r="C1434" i="5"/>
  <c r="D1434" i="5" s="1"/>
  <c r="C1433" i="5"/>
  <c r="D1433" i="5" s="1"/>
  <c r="C1432" i="5"/>
  <c r="D1432" i="5" s="1"/>
  <c r="C1431" i="5"/>
  <c r="D1431" i="5" s="1"/>
  <c r="C1430" i="5"/>
  <c r="D1430" i="5" s="1"/>
  <c r="C1429" i="5"/>
  <c r="D1429" i="5" s="1"/>
  <c r="C1428" i="5"/>
  <c r="D1428" i="5" s="1"/>
  <c r="C1427" i="5"/>
  <c r="D1427" i="5" s="1"/>
  <c r="C1426" i="5"/>
  <c r="D1426" i="5" s="1"/>
  <c r="C1425" i="5"/>
  <c r="D1425" i="5" s="1"/>
  <c r="C1424" i="5"/>
  <c r="D1424" i="5" s="1"/>
  <c r="C1423" i="5"/>
  <c r="D1423" i="5" s="1"/>
  <c r="C1422" i="5"/>
  <c r="D1422" i="5" s="1"/>
  <c r="C1421" i="5"/>
  <c r="D1421" i="5" s="1"/>
  <c r="C1420" i="5"/>
  <c r="D1420" i="5" s="1"/>
  <c r="C1419" i="5"/>
  <c r="D1419" i="5" s="1"/>
  <c r="C1418" i="5"/>
  <c r="D1418" i="5" s="1"/>
  <c r="C1417" i="5"/>
  <c r="D1417" i="5" s="1"/>
  <c r="C1416" i="5"/>
  <c r="D1416" i="5" s="1"/>
  <c r="C1415" i="5"/>
  <c r="D1415" i="5" s="1"/>
  <c r="C1414" i="5"/>
  <c r="D1414" i="5" s="1"/>
  <c r="C1413" i="5"/>
  <c r="D1413" i="5" s="1"/>
  <c r="C1412" i="5"/>
  <c r="D1412" i="5" s="1"/>
  <c r="C1411" i="5"/>
  <c r="D1411" i="5" s="1"/>
  <c r="C1410" i="5"/>
  <c r="D1410" i="5" s="1"/>
  <c r="C1409" i="5"/>
  <c r="D1409" i="5" s="1"/>
  <c r="C1408" i="5"/>
  <c r="D1408" i="5" s="1"/>
  <c r="C1407" i="5"/>
  <c r="D1407" i="5" s="1"/>
  <c r="C1406" i="5"/>
  <c r="D1406" i="5" s="1"/>
  <c r="C1405" i="5"/>
  <c r="D1405" i="5" s="1"/>
  <c r="C1404" i="5"/>
  <c r="D1404" i="5" s="1"/>
  <c r="C1403" i="5"/>
  <c r="D1403" i="5" s="1"/>
  <c r="C1402" i="5"/>
  <c r="D1402" i="5" s="1"/>
  <c r="C1401" i="5"/>
  <c r="D1401" i="5" s="1"/>
  <c r="C1400" i="5"/>
  <c r="D1400" i="5" s="1"/>
  <c r="C1399" i="5"/>
  <c r="D1399" i="5" s="1"/>
  <c r="C1398" i="5"/>
  <c r="D1398" i="5" s="1"/>
  <c r="C1397" i="5"/>
  <c r="D1397" i="5" s="1"/>
  <c r="C1396" i="5"/>
  <c r="D1396" i="5" s="1"/>
  <c r="C1395" i="5"/>
  <c r="D1395" i="5" s="1"/>
  <c r="C1394" i="5"/>
  <c r="D1394" i="5" s="1"/>
  <c r="C1393" i="5"/>
  <c r="D1393" i="5" s="1"/>
  <c r="C1392" i="5"/>
  <c r="D1392" i="5" s="1"/>
  <c r="C1391" i="5"/>
  <c r="D1391" i="5" s="1"/>
  <c r="C1390" i="5"/>
  <c r="D1390" i="5" s="1"/>
  <c r="C1389" i="5"/>
  <c r="D1389" i="5" s="1"/>
  <c r="C1388" i="5"/>
  <c r="D1388" i="5" s="1"/>
  <c r="C1387" i="5"/>
  <c r="D1387" i="5" s="1"/>
  <c r="C1386" i="5"/>
  <c r="D1386" i="5" s="1"/>
  <c r="C1385" i="5"/>
  <c r="D1385" i="5" s="1"/>
  <c r="C1384" i="5"/>
  <c r="D1384" i="5" s="1"/>
  <c r="C1383" i="5"/>
  <c r="D1383" i="5" s="1"/>
  <c r="C1382" i="5"/>
  <c r="D1382" i="5" s="1"/>
  <c r="C1381" i="5"/>
  <c r="D1381" i="5" s="1"/>
  <c r="C1380" i="5"/>
  <c r="D1380" i="5" s="1"/>
  <c r="C1379" i="5"/>
  <c r="D1379" i="5" s="1"/>
  <c r="C1378" i="5"/>
  <c r="D1378" i="5" s="1"/>
  <c r="C1377" i="5"/>
  <c r="D1377" i="5" s="1"/>
  <c r="C1376" i="5"/>
  <c r="D1376" i="5" s="1"/>
  <c r="C1375" i="5"/>
  <c r="D1375" i="5" s="1"/>
  <c r="C1374" i="5"/>
  <c r="D1374" i="5" s="1"/>
  <c r="C1373" i="5"/>
  <c r="D1373" i="5" s="1"/>
  <c r="C1372" i="5"/>
  <c r="D1372" i="5" s="1"/>
  <c r="C1371" i="5"/>
  <c r="D1371" i="5" s="1"/>
  <c r="C1370" i="5"/>
  <c r="D1370" i="5" s="1"/>
  <c r="C1369" i="5"/>
  <c r="D1369" i="5" s="1"/>
  <c r="C1368" i="5"/>
  <c r="D1368" i="5" s="1"/>
  <c r="C1367" i="5"/>
  <c r="D1367" i="5" s="1"/>
  <c r="C1366" i="5"/>
  <c r="D1366" i="5" s="1"/>
  <c r="C1365" i="5"/>
  <c r="D1365" i="5" s="1"/>
  <c r="C1364" i="5"/>
  <c r="D1364" i="5" s="1"/>
  <c r="C1363" i="5"/>
  <c r="D1363" i="5" s="1"/>
  <c r="C1362" i="5"/>
  <c r="D1362" i="5" s="1"/>
  <c r="C1361" i="5"/>
  <c r="D1361" i="5" s="1"/>
  <c r="C1360" i="5"/>
  <c r="D1360" i="5" s="1"/>
  <c r="C1359" i="5"/>
  <c r="D1359" i="5" s="1"/>
  <c r="C1358" i="5"/>
  <c r="D1358" i="5" s="1"/>
  <c r="C1357" i="5"/>
  <c r="D1357" i="5" s="1"/>
  <c r="C1356" i="5"/>
  <c r="D1356" i="5" s="1"/>
  <c r="C1355" i="5"/>
  <c r="D1355" i="5" s="1"/>
  <c r="C1354" i="5"/>
  <c r="D1354" i="5" s="1"/>
  <c r="C1353" i="5"/>
  <c r="D1353" i="5" s="1"/>
  <c r="C1352" i="5"/>
  <c r="D1352" i="5" s="1"/>
  <c r="C1351" i="5"/>
  <c r="D1351" i="5" s="1"/>
  <c r="C1350" i="5"/>
  <c r="D1350" i="5" s="1"/>
  <c r="C1349" i="5"/>
  <c r="D1349" i="5" s="1"/>
  <c r="C1348" i="5"/>
  <c r="D1348" i="5" s="1"/>
  <c r="C1347" i="5"/>
  <c r="D1347" i="5" s="1"/>
  <c r="C1346" i="5"/>
  <c r="D1346" i="5" s="1"/>
  <c r="C1345" i="5"/>
  <c r="D1345" i="5" s="1"/>
  <c r="C1344" i="5"/>
  <c r="D1344" i="5" s="1"/>
  <c r="C1343" i="5"/>
  <c r="D1343" i="5" s="1"/>
  <c r="C1342" i="5"/>
  <c r="D1342" i="5" s="1"/>
  <c r="C1341" i="5"/>
  <c r="D1341" i="5" s="1"/>
  <c r="C1340" i="5"/>
  <c r="D1340" i="5" s="1"/>
  <c r="C1339" i="5"/>
  <c r="D1339" i="5" s="1"/>
  <c r="C1338" i="5"/>
  <c r="D1338" i="5" s="1"/>
  <c r="C1337" i="5"/>
  <c r="D1337" i="5" s="1"/>
  <c r="C1336" i="5"/>
  <c r="D1336" i="5" s="1"/>
  <c r="C1335" i="5"/>
  <c r="D1335" i="5" s="1"/>
  <c r="C1334" i="5"/>
  <c r="D1334" i="5" s="1"/>
  <c r="C1333" i="5"/>
  <c r="D1333" i="5" s="1"/>
  <c r="C1332" i="5"/>
  <c r="D1332" i="5" s="1"/>
  <c r="C1331" i="5"/>
  <c r="D1331" i="5" s="1"/>
  <c r="C1330" i="5"/>
  <c r="D1330" i="5" s="1"/>
  <c r="C1329" i="5"/>
  <c r="D1329" i="5" s="1"/>
  <c r="C1328" i="5"/>
  <c r="D1328" i="5" s="1"/>
  <c r="C1327" i="5"/>
  <c r="D1327" i="5" s="1"/>
  <c r="C1326" i="5"/>
  <c r="D1326" i="5" s="1"/>
  <c r="C1325" i="5"/>
  <c r="D1325" i="5" s="1"/>
  <c r="C1324" i="5"/>
  <c r="D1324" i="5" s="1"/>
  <c r="C1323" i="5"/>
  <c r="D1323" i="5" s="1"/>
  <c r="C1322" i="5"/>
  <c r="D1322" i="5" s="1"/>
  <c r="C1321" i="5"/>
  <c r="D1321" i="5" s="1"/>
  <c r="C1320" i="5"/>
  <c r="D1320" i="5" s="1"/>
  <c r="C1319" i="5"/>
  <c r="D1319" i="5" s="1"/>
  <c r="C1318" i="5"/>
  <c r="D1318" i="5" s="1"/>
  <c r="C1317" i="5"/>
  <c r="D1317" i="5" s="1"/>
  <c r="C1316" i="5"/>
  <c r="D1316" i="5" s="1"/>
  <c r="C1315" i="5"/>
  <c r="D1315" i="5" s="1"/>
  <c r="C1314" i="5"/>
  <c r="D1314" i="5" s="1"/>
  <c r="C1313" i="5"/>
  <c r="D1313" i="5" s="1"/>
  <c r="C1312" i="5"/>
  <c r="D1312" i="5" s="1"/>
  <c r="C1311" i="5"/>
  <c r="D1311" i="5" s="1"/>
  <c r="C1310" i="5"/>
  <c r="D1310" i="5" s="1"/>
  <c r="C1309" i="5"/>
  <c r="D1309" i="5" s="1"/>
  <c r="C1308" i="5"/>
  <c r="D1308" i="5" s="1"/>
  <c r="C1307" i="5"/>
  <c r="D1307" i="5" s="1"/>
  <c r="C1306" i="5"/>
  <c r="D1306" i="5" s="1"/>
  <c r="C1305" i="5"/>
  <c r="D1305" i="5" s="1"/>
  <c r="C1304" i="5"/>
  <c r="D1304" i="5" s="1"/>
  <c r="C1303" i="5"/>
  <c r="D1303" i="5" s="1"/>
  <c r="C1302" i="5"/>
  <c r="D1302" i="5" s="1"/>
  <c r="C1301" i="5"/>
  <c r="D1301" i="5" s="1"/>
  <c r="C1300" i="5"/>
  <c r="D1300" i="5" s="1"/>
  <c r="C1299" i="5"/>
  <c r="D1299" i="5" s="1"/>
  <c r="C1298" i="5"/>
  <c r="D1298" i="5" s="1"/>
  <c r="C1297" i="5"/>
  <c r="D1297" i="5" s="1"/>
  <c r="C1296" i="5"/>
  <c r="D1296" i="5" s="1"/>
  <c r="C1295" i="5"/>
  <c r="D1295" i="5" s="1"/>
  <c r="C1294" i="5"/>
  <c r="D1294" i="5" s="1"/>
  <c r="C1293" i="5"/>
  <c r="D1293" i="5" s="1"/>
  <c r="C1292" i="5"/>
  <c r="D1292" i="5" s="1"/>
  <c r="C1291" i="5"/>
  <c r="D1291" i="5" s="1"/>
  <c r="C1290" i="5"/>
  <c r="D1290" i="5" s="1"/>
  <c r="C1289" i="5"/>
  <c r="D1289" i="5" s="1"/>
  <c r="C1288" i="5"/>
  <c r="D1288" i="5" s="1"/>
  <c r="C1287" i="5"/>
  <c r="D1287" i="5" s="1"/>
  <c r="C1286" i="5"/>
  <c r="D1286" i="5" s="1"/>
  <c r="C1285" i="5"/>
  <c r="D1285" i="5" s="1"/>
  <c r="C1284" i="5"/>
  <c r="D1284" i="5" s="1"/>
  <c r="C1283" i="5"/>
  <c r="D1283" i="5" s="1"/>
  <c r="C1282" i="5"/>
  <c r="D1282" i="5" s="1"/>
  <c r="C1281" i="5"/>
  <c r="D1281" i="5" s="1"/>
  <c r="C1280" i="5"/>
  <c r="D1280" i="5" s="1"/>
  <c r="C1279" i="5"/>
  <c r="D1279" i="5" s="1"/>
  <c r="C1278" i="5"/>
  <c r="D1278" i="5" s="1"/>
  <c r="C1277" i="5"/>
  <c r="D1277" i="5" s="1"/>
  <c r="C1276" i="5"/>
  <c r="D1276" i="5" s="1"/>
  <c r="C1275" i="5"/>
  <c r="D1275" i="5" s="1"/>
  <c r="C1274" i="5"/>
  <c r="D1274" i="5" s="1"/>
  <c r="C1273" i="5"/>
  <c r="D1273" i="5" s="1"/>
  <c r="C1272" i="5"/>
  <c r="D1272" i="5" s="1"/>
  <c r="C1271" i="5"/>
  <c r="D1271" i="5" s="1"/>
  <c r="C1270" i="5"/>
  <c r="D1270" i="5" s="1"/>
  <c r="C1269" i="5"/>
  <c r="D1269" i="5" s="1"/>
  <c r="C1268" i="5"/>
  <c r="D1268" i="5" s="1"/>
  <c r="C1267" i="5"/>
  <c r="D1267" i="5" s="1"/>
  <c r="C1266" i="5"/>
  <c r="D1266" i="5" s="1"/>
  <c r="C1265" i="5"/>
  <c r="D1265" i="5" s="1"/>
  <c r="C1264" i="5"/>
  <c r="D1264" i="5" s="1"/>
  <c r="C1263" i="5"/>
  <c r="D1263" i="5" s="1"/>
  <c r="C1262" i="5"/>
  <c r="D1262" i="5" s="1"/>
  <c r="C1261" i="5"/>
  <c r="D1261" i="5" s="1"/>
  <c r="C1260" i="5"/>
  <c r="D1260" i="5" s="1"/>
  <c r="C1259" i="5"/>
  <c r="D1259" i="5" s="1"/>
  <c r="C1258" i="5"/>
  <c r="D1258" i="5" s="1"/>
  <c r="C1257" i="5"/>
  <c r="D1257" i="5" s="1"/>
  <c r="C1256" i="5"/>
  <c r="D1256" i="5" s="1"/>
  <c r="C1255" i="5"/>
  <c r="D1255" i="5" s="1"/>
  <c r="C1254" i="5"/>
  <c r="D1254" i="5" s="1"/>
  <c r="C1253" i="5"/>
  <c r="D1253" i="5" s="1"/>
  <c r="C1252" i="5"/>
  <c r="D1252" i="5" s="1"/>
  <c r="C1251" i="5"/>
  <c r="D1251" i="5" s="1"/>
  <c r="C1250" i="5"/>
  <c r="D1250" i="5" s="1"/>
  <c r="C1249" i="5"/>
  <c r="D1249" i="5" s="1"/>
  <c r="C1248" i="5"/>
  <c r="D1248" i="5" s="1"/>
  <c r="C1247" i="5"/>
  <c r="D1247" i="5" s="1"/>
  <c r="C1246" i="5"/>
  <c r="D1246" i="5" s="1"/>
  <c r="C1245" i="5"/>
  <c r="D1245" i="5" s="1"/>
  <c r="C1244" i="5"/>
  <c r="D1244" i="5" s="1"/>
  <c r="C1243" i="5"/>
  <c r="D1243" i="5" s="1"/>
  <c r="C1242" i="5"/>
  <c r="D1242" i="5" s="1"/>
  <c r="C1241" i="5"/>
  <c r="D1241" i="5" s="1"/>
  <c r="C1240" i="5"/>
  <c r="D1240" i="5" s="1"/>
  <c r="C1239" i="5"/>
  <c r="D1239" i="5" s="1"/>
  <c r="C1238" i="5"/>
  <c r="D1238" i="5" s="1"/>
  <c r="C1237" i="5"/>
  <c r="D1237" i="5" s="1"/>
  <c r="C1236" i="5"/>
  <c r="D1236" i="5" s="1"/>
  <c r="C1235" i="5"/>
  <c r="D1235" i="5" s="1"/>
  <c r="C1234" i="5"/>
  <c r="D1234" i="5" s="1"/>
  <c r="C1233" i="5"/>
  <c r="D1233" i="5" s="1"/>
  <c r="C1232" i="5"/>
  <c r="D1232" i="5" s="1"/>
  <c r="C1231" i="5"/>
  <c r="D1231" i="5" s="1"/>
  <c r="C1230" i="5"/>
  <c r="D1230" i="5" s="1"/>
  <c r="C1229" i="5"/>
  <c r="D1229" i="5" s="1"/>
  <c r="C1228" i="5"/>
  <c r="D1228" i="5" s="1"/>
  <c r="C1227" i="5"/>
  <c r="D1227" i="5" s="1"/>
  <c r="C1226" i="5"/>
  <c r="D1226" i="5" s="1"/>
  <c r="C1225" i="5"/>
  <c r="D1225" i="5" s="1"/>
  <c r="C1224" i="5"/>
  <c r="D1224" i="5" s="1"/>
  <c r="C1223" i="5"/>
  <c r="D1223" i="5" s="1"/>
  <c r="C1222" i="5"/>
  <c r="D1222" i="5" s="1"/>
  <c r="C1221" i="5"/>
  <c r="D1221" i="5" s="1"/>
  <c r="C1220" i="5"/>
  <c r="D1220" i="5" s="1"/>
  <c r="C1219" i="5"/>
  <c r="D1219" i="5" s="1"/>
  <c r="C1218" i="5"/>
  <c r="D1218" i="5" s="1"/>
  <c r="C1217" i="5"/>
  <c r="D1217" i="5" s="1"/>
  <c r="C1216" i="5"/>
  <c r="D1216" i="5" s="1"/>
  <c r="C1215" i="5"/>
  <c r="D1215" i="5" s="1"/>
  <c r="C1214" i="5"/>
  <c r="D1214" i="5" s="1"/>
  <c r="C1213" i="5"/>
  <c r="D1213" i="5" s="1"/>
  <c r="C1212" i="5"/>
  <c r="D1212" i="5" s="1"/>
  <c r="C1211" i="5"/>
  <c r="D1211" i="5" s="1"/>
  <c r="C1210" i="5"/>
  <c r="D1210" i="5" s="1"/>
  <c r="C1209" i="5"/>
  <c r="D1209" i="5" s="1"/>
  <c r="C1208" i="5"/>
  <c r="D1208" i="5" s="1"/>
  <c r="C1207" i="5"/>
  <c r="D1207" i="5" s="1"/>
  <c r="C1206" i="5"/>
  <c r="D1206" i="5" s="1"/>
  <c r="C1205" i="5"/>
  <c r="D1205" i="5" s="1"/>
  <c r="C1204" i="5"/>
  <c r="D1204" i="5" s="1"/>
  <c r="C1203" i="5"/>
  <c r="D1203" i="5" s="1"/>
  <c r="C1202" i="5"/>
  <c r="D1202" i="5" s="1"/>
  <c r="C1201" i="5"/>
  <c r="D1201" i="5" s="1"/>
  <c r="C1200" i="5"/>
  <c r="D1200" i="5" s="1"/>
  <c r="C1199" i="5"/>
  <c r="D1199" i="5" s="1"/>
  <c r="C1198" i="5"/>
  <c r="D1198" i="5" s="1"/>
  <c r="C1197" i="5"/>
  <c r="D1197" i="5" s="1"/>
  <c r="C1196" i="5"/>
  <c r="D1196" i="5" s="1"/>
  <c r="C1195" i="5"/>
  <c r="D1195" i="5" s="1"/>
  <c r="C1194" i="5"/>
  <c r="D1194" i="5" s="1"/>
  <c r="C1193" i="5"/>
  <c r="D1193" i="5" s="1"/>
  <c r="C1192" i="5"/>
  <c r="D1192" i="5" s="1"/>
  <c r="C1191" i="5"/>
  <c r="D1191" i="5" s="1"/>
  <c r="C1190" i="5"/>
  <c r="D1190" i="5" s="1"/>
  <c r="C1189" i="5"/>
  <c r="D1189" i="5" s="1"/>
  <c r="C1188" i="5"/>
  <c r="D1188" i="5" s="1"/>
  <c r="C1187" i="5"/>
  <c r="D1187" i="5" s="1"/>
  <c r="C1186" i="5"/>
  <c r="D1186" i="5" s="1"/>
  <c r="C1185" i="5"/>
  <c r="D1185" i="5" s="1"/>
  <c r="C1184" i="5"/>
  <c r="D1184" i="5" s="1"/>
  <c r="C1183" i="5"/>
  <c r="D1183" i="5" s="1"/>
  <c r="C1182" i="5"/>
  <c r="D1182" i="5" s="1"/>
  <c r="C1181" i="5"/>
  <c r="D1181" i="5" s="1"/>
  <c r="C1180" i="5"/>
  <c r="D1180" i="5" s="1"/>
  <c r="C1179" i="5"/>
  <c r="D1179" i="5" s="1"/>
  <c r="C1178" i="5"/>
  <c r="D1178" i="5" s="1"/>
  <c r="C1177" i="5"/>
  <c r="D1177" i="5" s="1"/>
  <c r="C1176" i="5"/>
  <c r="D1176" i="5" s="1"/>
  <c r="C1175" i="5"/>
  <c r="D1175" i="5" s="1"/>
  <c r="C1174" i="5"/>
  <c r="D1174" i="5" s="1"/>
  <c r="C1173" i="5"/>
  <c r="D1173" i="5" s="1"/>
  <c r="C1172" i="5"/>
  <c r="D1172" i="5" s="1"/>
  <c r="C1171" i="5"/>
  <c r="D1171" i="5" s="1"/>
  <c r="C1170" i="5"/>
  <c r="D1170" i="5" s="1"/>
  <c r="C1169" i="5"/>
  <c r="D1169" i="5" s="1"/>
  <c r="C1168" i="5"/>
  <c r="D1168" i="5" s="1"/>
  <c r="C1167" i="5"/>
  <c r="D1167" i="5" s="1"/>
  <c r="C1166" i="5"/>
  <c r="D1166" i="5" s="1"/>
  <c r="C1165" i="5"/>
  <c r="D1165" i="5" s="1"/>
  <c r="C1164" i="5"/>
  <c r="D1164" i="5" s="1"/>
  <c r="C1163" i="5"/>
  <c r="D1163" i="5" s="1"/>
  <c r="C1162" i="5"/>
  <c r="D1162" i="5" s="1"/>
  <c r="C1161" i="5"/>
  <c r="D1161" i="5" s="1"/>
  <c r="C1160" i="5"/>
  <c r="D1160" i="5" s="1"/>
  <c r="C1159" i="5"/>
  <c r="D1159" i="5" s="1"/>
  <c r="C1158" i="5"/>
  <c r="D1158" i="5" s="1"/>
  <c r="C1157" i="5"/>
  <c r="D1157" i="5" s="1"/>
  <c r="C1156" i="5"/>
  <c r="D1156" i="5" s="1"/>
  <c r="C1155" i="5"/>
  <c r="D1155" i="5" s="1"/>
  <c r="C1154" i="5"/>
  <c r="D1154" i="5" s="1"/>
  <c r="C1153" i="5"/>
  <c r="D1153" i="5" s="1"/>
  <c r="C1152" i="5"/>
  <c r="D1152" i="5" s="1"/>
  <c r="C1151" i="5"/>
  <c r="D1151" i="5" s="1"/>
  <c r="C1150" i="5"/>
  <c r="D1150" i="5" s="1"/>
  <c r="C1149" i="5"/>
  <c r="D1149" i="5" s="1"/>
  <c r="C1148" i="5"/>
  <c r="D1148" i="5" s="1"/>
  <c r="C1147" i="5"/>
  <c r="D1147" i="5" s="1"/>
  <c r="C1146" i="5"/>
  <c r="D1146" i="5" s="1"/>
  <c r="C1145" i="5"/>
  <c r="D1145" i="5" s="1"/>
  <c r="C1144" i="5"/>
  <c r="D1144" i="5" s="1"/>
  <c r="C1143" i="5"/>
  <c r="D1143" i="5" s="1"/>
  <c r="C1142" i="5"/>
  <c r="D1142" i="5" s="1"/>
  <c r="C1141" i="5"/>
  <c r="D1141" i="5" s="1"/>
  <c r="C1140" i="5"/>
  <c r="D1140" i="5" s="1"/>
  <c r="C1139" i="5"/>
  <c r="D1139" i="5" s="1"/>
  <c r="C1138" i="5"/>
  <c r="D1138" i="5" s="1"/>
  <c r="C1137" i="5"/>
  <c r="D1137" i="5" s="1"/>
  <c r="C1136" i="5"/>
  <c r="D1136" i="5" s="1"/>
  <c r="C1135" i="5"/>
  <c r="D1135" i="5" s="1"/>
  <c r="C1134" i="5"/>
  <c r="D1134" i="5" s="1"/>
  <c r="C1133" i="5"/>
  <c r="D1133" i="5" s="1"/>
  <c r="C1132" i="5"/>
  <c r="D1132" i="5" s="1"/>
  <c r="C1131" i="5"/>
  <c r="D1131" i="5" s="1"/>
  <c r="C1130" i="5"/>
  <c r="D1130" i="5" s="1"/>
  <c r="C1129" i="5"/>
  <c r="D1129" i="5" s="1"/>
  <c r="C1128" i="5"/>
  <c r="D1128" i="5" s="1"/>
  <c r="C1127" i="5"/>
  <c r="D1127" i="5" s="1"/>
  <c r="C1126" i="5"/>
  <c r="D1126" i="5" s="1"/>
  <c r="C1125" i="5"/>
  <c r="D1125" i="5" s="1"/>
  <c r="C1124" i="5"/>
  <c r="D1124" i="5" s="1"/>
  <c r="C1123" i="5"/>
  <c r="D1123" i="5" s="1"/>
  <c r="C1122" i="5"/>
  <c r="D1122" i="5" s="1"/>
  <c r="C1121" i="5"/>
  <c r="D1121" i="5" s="1"/>
  <c r="C1120" i="5"/>
  <c r="D1120" i="5" s="1"/>
  <c r="C1119" i="5"/>
  <c r="D1119" i="5" s="1"/>
  <c r="C1118" i="5"/>
  <c r="D1118" i="5" s="1"/>
  <c r="C1117" i="5"/>
  <c r="D1117" i="5" s="1"/>
  <c r="C1116" i="5"/>
  <c r="D1116" i="5" s="1"/>
  <c r="C1115" i="5"/>
  <c r="D1115" i="5" s="1"/>
  <c r="C1114" i="5"/>
  <c r="D1114" i="5" s="1"/>
  <c r="C1113" i="5"/>
  <c r="D1113" i="5" s="1"/>
  <c r="C1112" i="5"/>
  <c r="D1112" i="5" s="1"/>
  <c r="C1111" i="5"/>
  <c r="D1111" i="5" s="1"/>
  <c r="C1110" i="5"/>
  <c r="D1110" i="5" s="1"/>
  <c r="C1109" i="5"/>
  <c r="D1109" i="5" s="1"/>
  <c r="C1108" i="5"/>
  <c r="D1108" i="5" s="1"/>
  <c r="C1107" i="5"/>
  <c r="D1107" i="5" s="1"/>
  <c r="C1106" i="5"/>
  <c r="D1106" i="5" s="1"/>
  <c r="C1105" i="5"/>
  <c r="D1105" i="5" s="1"/>
  <c r="C1104" i="5"/>
  <c r="D1104" i="5" s="1"/>
  <c r="C1103" i="5"/>
  <c r="D1103" i="5" s="1"/>
  <c r="C1102" i="5"/>
  <c r="D1102" i="5" s="1"/>
  <c r="C1101" i="5"/>
  <c r="D1101" i="5" s="1"/>
  <c r="C1100" i="5"/>
  <c r="D1100" i="5" s="1"/>
  <c r="C1099" i="5"/>
  <c r="D1099" i="5" s="1"/>
  <c r="C1098" i="5"/>
  <c r="D1098" i="5" s="1"/>
  <c r="C1097" i="5"/>
  <c r="D1097" i="5" s="1"/>
  <c r="C1096" i="5"/>
  <c r="D1096" i="5" s="1"/>
  <c r="C1095" i="5"/>
  <c r="D1095" i="5" s="1"/>
  <c r="C1094" i="5"/>
  <c r="D1094" i="5" s="1"/>
  <c r="C1093" i="5"/>
  <c r="D1093" i="5" s="1"/>
  <c r="C1092" i="5"/>
  <c r="D1092" i="5" s="1"/>
  <c r="C1091" i="5"/>
  <c r="D1091" i="5" s="1"/>
  <c r="C1090" i="5"/>
  <c r="D1090" i="5" s="1"/>
  <c r="C1089" i="5"/>
  <c r="D1089" i="5" s="1"/>
  <c r="C1088" i="5"/>
  <c r="D1088" i="5" s="1"/>
  <c r="C1087" i="5"/>
  <c r="D1087" i="5" s="1"/>
  <c r="C1086" i="5"/>
  <c r="D1086" i="5" s="1"/>
  <c r="C1085" i="5"/>
  <c r="D1085" i="5" s="1"/>
  <c r="C1084" i="5"/>
  <c r="D1084" i="5" s="1"/>
  <c r="C1083" i="5"/>
  <c r="D1083" i="5" s="1"/>
  <c r="C1082" i="5"/>
  <c r="D1082" i="5" s="1"/>
  <c r="C1081" i="5"/>
  <c r="D1081" i="5" s="1"/>
  <c r="C1080" i="5"/>
  <c r="D1080" i="5" s="1"/>
  <c r="C1079" i="5"/>
  <c r="D1079" i="5" s="1"/>
  <c r="C1078" i="5"/>
  <c r="D1078" i="5" s="1"/>
  <c r="C1077" i="5"/>
  <c r="D1077" i="5" s="1"/>
  <c r="C1076" i="5"/>
  <c r="D1076" i="5" s="1"/>
  <c r="C1075" i="5"/>
  <c r="D1075" i="5" s="1"/>
  <c r="C1074" i="5"/>
  <c r="D1074" i="5" s="1"/>
  <c r="C1073" i="5"/>
  <c r="D1073" i="5" s="1"/>
  <c r="C1072" i="5"/>
  <c r="D1072" i="5" s="1"/>
  <c r="C1071" i="5"/>
  <c r="D1071" i="5" s="1"/>
  <c r="C1070" i="5"/>
  <c r="D1070" i="5" s="1"/>
  <c r="C1069" i="5"/>
  <c r="D1069" i="5" s="1"/>
  <c r="C1068" i="5"/>
  <c r="D1068" i="5" s="1"/>
  <c r="C1067" i="5"/>
  <c r="D1067" i="5" s="1"/>
  <c r="C1066" i="5"/>
  <c r="D1066" i="5" s="1"/>
  <c r="C1065" i="5"/>
  <c r="D1065" i="5" s="1"/>
  <c r="C1064" i="5"/>
  <c r="D1064" i="5" s="1"/>
  <c r="C1063" i="5"/>
  <c r="D1063" i="5" s="1"/>
  <c r="C1062" i="5"/>
  <c r="D1062" i="5" s="1"/>
  <c r="C1061" i="5"/>
  <c r="D1061" i="5" s="1"/>
  <c r="C1060" i="5"/>
  <c r="D1060" i="5" s="1"/>
  <c r="C1059" i="5"/>
  <c r="D1059" i="5" s="1"/>
  <c r="C1058" i="5"/>
  <c r="D1058" i="5" s="1"/>
  <c r="C1057" i="5"/>
  <c r="D1057" i="5" s="1"/>
  <c r="C1056" i="5"/>
  <c r="D1056" i="5" s="1"/>
  <c r="C1055" i="5"/>
  <c r="D1055" i="5" s="1"/>
  <c r="C1054" i="5"/>
  <c r="D1054" i="5" s="1"/>
  <c r="C1053" i="5"/>
  <c r="D1053" i="5" s="1"/>
  <c r="C1052" i="5"/>
  <c r="D1052" i="5" s="1"/>
  <c r="C1051" i="5"/>
  <c r="D1051" i="5" s="1"/>
  <c r="C1050" i="5"/>
  <c r="D1050" i="5" s="1"/>
  <c r="C1049" i="5"/>
  <c r="D1049" i="5" s="1"/>
  <c r="C1048" i="5"/>
  <c r="D1048" i="5" s="1"/>
  <c r="C1047" i="5"/>
  <c r="D1047" i="5" s="1"/>
  <c r="C1046" i="5"/>
  <c r="D1046" i="5" s="1"/>
  <c r="C1045" i="5"/>
  <c r="D1045" i="5" s="1"/>
  <c r="C1044" i="5"/>
  <c r="D1044" i="5" s="1"/>
  <c r="C1043" i="5"/>
  <c r="D1043" i="5" s="1"/>
  <c r="C1042" i="5"/>
  <c r="D1042" i="5" s="1"/>
  <c r="C1041" i="5"/>
  <c r="D1041" i="5" s="1"/>
  <c r="C1040" i="5"/>
  <c r="D1040" i="5" s="1"/>
  <c r="C1039" i="5"/>
  <c r="D1039" i="5" s="1"/>
  <c r="C1038" i="5"/>
  <c r="D1038" i="5" s="1"/>
  <c r="C1037" i="5"/>
  <c r="D1037" i="5" s="1"/>
  <c r="C1036" i="5"/>
  <c r="D1036" i="5" s="1"/>
  <c r="C1035" i="5"/>
  <c r="D1035" i="5" s="1"/>
  <c r="C1034" i="5"/>
  <c r="D1034" i="5" s="1"/>
  <c r="C1033" i="5"/>
  <c r="D1033" i="5" s="1"/>
  <c r="C1032" i="5"/>
  <c r="D1032" i="5" s="1"/>
  <c r="C1031" i="5"/>
  <c r="D1031" i="5" s="1"/>
  <c r="C1030" i="5"/>
  <c r="D1030" i="5" s="1"/>
  <c r="C1029" i="5"/>
  <c r="D1029" i="5" s="1"/>
  <c r="C1028" i="5"/>
  <c r="D1028" i="5" s="1"/>
  <c r="C1027" i="5"/>
  <c r="D1027" i="5" s="1"/>
  <c r="C1026" i="5"/>
  <c r="D1026" i="5" s="1"/>
  <c r="C1025" i="5"/>
  <c r="D1025" i="5" s="1"/>
  <c r="C1024" i="5"/>
  <c r="D1024" i="5" s="1"/>
  <c r="C1023" i="5"/>
  <c r="D1023" i="5" s="1"/>
  <c r="C1022" i="5"/>
  <c r="D1022" i="5" s="1"/>
  <c r="C1021" i="5"/>
  <c r="D1021" i="5" s="1"/>
  <c r="C1020" i="5"/>
  <c r="D1020" i="5" s="1"/>
  <c r="C1019" i="5"/>
  <c r="D1019" i="5" s="1"/>
  <c r="C1018" i="5"/>
  <c r="D1018" i="5" s="1"/>
  <c r="C1017" i="5"/>
  <c r="D1017" i="5" s="1"/>
  <c r="C1016" i="5"/>
  <c r="D1016" i="5" s="1"/>
  <c r="C1015" i="5"/>
  <c r="D1015" i="5" s="1"/>
  <c r="C1014" i="5"/>
  <c r="D1014" i="5" s="1"/>
  <c r="C1013" i="5"/>
  <c r="D1013" i="5" s="1"/>
  <c r="C1012" i="5"/>
  <c r="D1012" i="5" s="1"/>
  <c r="C1011" i="5"/>
  <c r="D1011" i="5" s="1"/>
  <c r="C1010" i="5"/>
  <c r="D1010" i="5" s="1"/>
  <c r="C1009" i="5"/>
  <c r="D1009" i="5" s="1"/>
  <c r="C1008" i="5"/>
  <c r="D1008" i="5" s="1"/>
  <c r="C1007" i="5"/>
  <c r="D1007" i="5" s="1"/>
  <c r="C1006" i="5"/>
  <c r="D1006" i="5" s="1"/>
  <c r="C1005" i="5"/>
  <c r="D1005" i="5" s="1"/>
  <c r="C1004" i="5"/>
  <c r="D1004" i="5" s="1"/>
  <c r="C1003" i="5"/>
  <c r="D1003" i="5" s="1"/>
  <c r="C1002" i="5"/>
  <c r="D1002" i="5" s="1"/>
  <c r="C1001" i="5"/>
  <c r="D1001" i="5" s="1"/>
  <c r="C1000" i="5"/>
  <c r="D1000" i="5" s="1"/>
  <c r="C999" i="5"/>
  <c r="D999" i="5" s="1"/>
  <c r="C998" i="5"/>
  <c r="D998" i="5" s="1"/>
  <c r="C997" i="5"/>
  <c r="D997" i="5" s="1"/>
  <c r="C996" i="5"/>
  <c r="D996" i="5" s="1"/>
  <c r="C995" i="5"/>
  <c r="D995" i="5" s="1"/>
  <c r="C994" i="5"/>
  <c r="D994" i="5" s="1"/>
  <c r="C993" i="5"/>
  <c r="D993" i="5" s="1"/>
  <c r="C992" i="5"/>
  <c r="D992" i="5" s="1"/>
  <c r="C991" i="5"/>
  <c r="D991" i="5" s="1"/>
  <c r="C990" i="5"/>
  <c r="D990" i="5" s="1"/>
  <c r="C989" i="5"/>
  <c r="D989" i="5" s="1"/>
  <c r="C988" i="5"/>
  <c r="D988" i="5" s="1"/>
  <c r="C987" i="5"/>
  <c r="D987" i="5" s="1"/>
  <c r="C986" i="5"/>
  <c r="D986" i="5" s="1"/>
  <c r="C985" i="5"/>
  <c r="D985" i="5" s="1"/>
  <c r="C984" i="5"/>
  <c r="D984" i="5" s="1"/>
  <c r="C983" i="5"/>
  <c r="D983" i="5" s="1"/>
  <c r="C982" i="5"/>
  <c r="D982" i="5" s="1"/>
  <c r="C981" i="5"/>
  <c r="D981" i="5" s="1"/>
  <c r="C980" i="5"/>
  <c r="D980" i="5" s="1"/>
  <c r="C979" i="5"/>
  <c r="D979" i="5" s="1"/>
  <c r="C978" i="5"/>
  <c r="D978" i="5" s="1"/>
  <c r="C977" i="5"/>
  <c r="D977" i="5" s="1"/>
  <c r="C976" i="5"/>
  <c r="D976" i="5" s="1"/>
  <c r="C975" i="5"/>
  <c r="D975" i="5" s="1"/>
  <c r="C974" i="5"/>
  <c r="D974" i="5" s="1"/>
  <c r="C973" i="5"/>
  <c r="D973" i="5" s="1"/>
  <c r="C972" i="5"/>
  <c r="D972" i="5" s="1"/>
  <c r="C971" i="5"/>
  <c r="D971" i="5" s="1"/>
  <c r="C970" i="5"/>
  <c r="D970" i="5" s="1"/>
  <c r="C969" i="5"/>
  <c r="D969" i="5" s="1"/>
  <c r="C968" i="5"/>
  <c r="D968" i="5" s="1"/>
  <c r="C967" i="5"/>
  <c r="D967" i="5" s="1"/>
  <c r="C966" i="5"/>
  <c r="D966" i="5" s="1"/>
  <c r="C965" i="5"/>
  <c r="D965" i="5" s="1"/>
  <c r="C964" i="5"/>
  <c r="D964" i="5" s="1"/>
  <c r="C963" i="5"/>
  <c r="D963" i="5" s="1"/>
  <c r="C962" i="5"/>
  <c r="D962" i="5" s="1"/>
  <c r="C961" i="5"/>
  <c r="D961" i="5" s="1"/>
  <c r="C960" i="5"/>
  <c r="D960" i="5" s="1"/>
  <c r="C959" i="5"/>
  <c r="D959" i="5" s="1"/>
  <c r="C958" i="5"/>
  <c r="D958" i="5" s="1"/>
  <c r="C957" i="5"/>
  <c r="D957" i="5" s="1"/>
  <c r="C956" i="5"/>
  <c r="D956" i="5" s="1"/>
  <c r="C955" i="5"/>
  <c r="D955" i="5" s="1"/>
  <c r="C954" i="5"/>
  <c r="D954" i="5" s="1"/>
  <c r="C953" i="5"/>
  <c r="D953" i="5" s="1"/>
  <c r="C952" i="5"/>
  <c r="D952" i="5" s="1"/>
  <c r="C951" i="5"/>
  <c r="D951" i="5" s="1"/>
  <c r="C950" i="5"/>
  <c r="D950" i="5" s="1"/>
  <c r="C949" i="5"/>
  <c r="D949" i="5" s="1"/>
  <c r="C948" i="5"/>
  <c r="D948" i="5" s="1"/>
  <c r="C947" i="5"/>
  <c r="D947" i="5" s="1"/>
  <c r="C946" i="5"/>
  <c r="D946" i="5" s="1"/>
  <c r="C945" i="5"/>
  <c r="D945" i="5" s="1"/>
  <c r="C944" i="5"/>
  <c r="D944" i="5" s="1"/>
  <c r="C943" i="5"/>
  <c r="D943" i="5" s="1"/>
  <c r="C942" i="5"/>
  <c r="D942" i="5" s="1"/>
  <c r="C941" i="5"/>
  <c r="D941" i="5" s="1"/>
  <c r="C940" i="5"/>
  <c r="D940" i="5" s="1"/>
  <c r="C939" i="5"/>
  <c r="D939" i="5" s="1"/>
  <c r="C938" i="5"/>
  <c r="D938" i="5" s="1"/>
  <c r="C937" i="5"/>
  <c r="D937" i="5" s="1"/>
  <c r="C936" i="5"/>
  <c r="D936" i="5" s="1"/>
  <c r="C935" i="5"/>
  <c r="D935" i="5" s="1"/>
  <c r="C934" i="5"/>
  <c r="D934" i="5" s="1"/>
  <c r="C933" i="5"/>
  <c r="D933" i="5" s="1"/>
  <c r="C932" i="5"/>
  <c r="D932" i="5" s="1"/>
  <c r="C931" i="5"/>
  <c r="D931" i="5" s="1"/>
  <c r="C930" i="5"/>
  <c r="D930" i="5" s="1"/>
  <c r="C929" i="5"/>
  <c r="D929" i="5" s="1"/>
  <c r="C928" i="5"/>
  <c r="D928" i="5" s="1"/>
  <c r="C927" i="5"/>
  <c r="D927" i="5" s="1"/>
  <c r="C926" i="5"/>
  <c r="D926" i="5" s="1"/>
  <c r="C925" i="5"/>
  <c r="D925" i="5" s="1"/>
  <c r="C924" i="5"/>
  <c r="D924" i="5" s="1"/>
  <c r="C923" i="5"/>
  <c r="D923" i="5" s="1"/>
  <c r="C922" i="5"/>
  <c r="D922" i="5" s="1"/>
  <c r="C921" i="5"/>
  <c r="D921" i="5" s="1"/>
  <c r="C920" i="5"/>
  <c r="D920" i="5" s="1"/>
  <c r="C919" i="5"/>
  <c r="D919" i="5" s="1"/>
  <c r="C918" i="5"/>
  <c r="D918" i="5" s="1"/>
  <c r="C917" i="5"/>
  <c r="D917" i="5" s="1"/>
  <c r="C916" i="5"/>
  <c r="D916" i="5" s="1"/>
  <c r="C915" i="5"/>
  <c r="D915" i="5" s="1"/>
  <c r="C914" i="5"/>
  <c r="D914" i="5" s="1"/>
  <c r="C913" i="5"/>
  <c r="D913" i="5" s="1"/>
  <c r="C912" i="5"/>
  <c r="D912" i="5" s="1"/>
  <c r="C911" i="5"/>
  <c r="D911" i="5" s="1"/>
  <c r="C910" i="5"/>
  <c r="D910" i="5" s="1"/>
  <c r="C909" i="5"/>
  <c r="D909" i="5" s="1"/>
  <c r="C908" i="5"/>
  <c r="D908" i="5" s="1"/>
  <c r="C907" i="5"/>
  <c r="D907" i="5" s="1"/>
  <c r="C906" i="5"/>
  <c r="D906" i="5" s="1"/>
  <c r="C905" i="5"/>
  <c r="D905" i="5" s="1"/>
  <c r="C904" i="5"/>
  <c r="D904" i="5" s="1"/>
  <c r="C903" i="5"/>
  <c r="D903" i="5" s="1"/>
  <c r="C902" i="5"/>
  <c r="D902" i="5" s="1"/>
  <c r="C901" i="5"/>
  <c r="D901" i="5" s="1"/>
  <c r="C900" i="5"/>
  <c r="D900" i="5" s="1"/>
  <c r="C899" i="5"/>
  <c r="D899" i="5" s="1"/>
  <c r="C898" i="5"/>
  <c r="D898" i="5" s="1"/>
  <c r="C897" i="5"/>
  <c r="D897" i="5" s="1"/>
  <c r="C896" i="5"/>
  <c r="D896" i="5" s="1"/>
  <c r="C895" i="5"/>
  <c r="D895" i="5" s="1"/>
  <c r="C894" i="5"/>
  <c r="D894" i="5" s="1"/>
  <c r="C893" i="5"/>
  <c r="D893" i="5" s="1"/>
  <c r="C892" i="5"/>
  <c r="D892" i="5" s="1"/>
  <c r="C891" i="5"/>
  <c r="D891" i="5" s="1"/>
  <c r="C890" i="5"/>
  <c r="D890" i="5" s="1"/>
  <c r="C889" i="5"/>
  <c r="D889" i="5" s="1"/>
  <c r="C888" i="5"/>
  <c r="D888" i="5" s="1"/>
  <c r="C887" i="5"/>
  <c r="D887" i="5" s="1"/>
  <c r="C886" i="5"/>
  <c r="D886" i="5" s="1"/>
  <c r="C885" i="5"/>
  <c r="D885" i="5" s="1"/>
  <c r="C884" i="5"/>
  <c r="D884" i="5" s="1"/>
  <c r="C883" i="5"/>
  <c r="D883" i="5" s="1"/>
  <c r="C882" i="5"/>
  <c r="D882" i="5" s="1"/>
  <c r="C881" i="5"/>
  <c r="D881" i="5" s="1"/>
  <c r="C880" i="5"/>
  <c r="D880" i="5" s="1"/>
  <c r="C879" i="5"/>
  <c r="D879" i="5" s="1"/>
  <c r="C878" i="5"/>
  <c r="D878" i="5" s="1"/>
  <c r="C877" i="5"/>
  <c r="D877" i="5" s="1"/>
  <c r="C876" i="5"/>
  <c r="D876" i="5" s="1"/>
  <c r="C875" i="5"/>
  <c r="D875" i="5" s="1"/>
  <c r="C874" i="5"/>
  <c r="D874" i="5" s="1"/>
  <c r="C873" i="5"/>
  <c r="D873" i="5" s="1"/>
  <c r="C872" i="5"/>
  <c r="D872" i="5" s="1"/>
  <c r="C871" i="5"/>
  <c r="D871" i="5" s="1"/>
  <c r="C870" i="5"/>
  <c r="D870" i="5" s="1"/>
  <c r="C869" i="5"/>
  <c r="D869" i="5" s="1"/>
  <c r="C868" i="5"/>
  <c r="D868" i="5" s="1"/>
  <c r="C867" i="5"/>
  <c r="D867" i="5" s="1"/>
  <c r="C866" i="5"/>
  <c r="D866" i="5" s="1"/>
  <c r="C865" i="5"/>
  <c r="D865" i="5" s="1"/>
  <c r="C864" i="5"/>
  <c r="D864" i="5" s="1"/>
  <c r="C863" i="5"/>
  <c r="D863" i="5" s="1"/>
  <c r="C862" i="5"/>
  <c r="D862" i="5" s="1"/>
  <c r="C861" i="5"/>
  <c r="D861" i="5" s="1"/>
  <c r="C860" i="5"/>
  <c r="D860" i="5" s="1"/>
  <c r="C859" i="5"/>
  <c r="D859" i="5" s="1"/>
  <c r="C858" i="5"/>
  <c r="D858" i="5" s="1"/>
  <c r="C857" i="5"/>
  <c r="D857" i="5" s="1"/>
  <c r="C856" i="5"/>
  <c r="D856" i="5" s="1"/>
  <c r="C855" i="5"/>
  <c r="D855" i="5" s="1"/>
  <c r="C854" i="5"/>
  <c r="D854" i="5" s="1"/>
  <c r="C853" i="5"/>
  <c r="D853" i="5" s="1"/>
  <c r="C852" i="5"/>
  <c r="D852" i="5" s="1"/>
  <c r="C851" i="5"/>
  <c r="D851" i="5" s="1"/>
  <c r="C850" i="5"/>
  <c r="D850" i="5" s="1"/>
  <c r="C849" i="5"/>
  <c r="D849" i="5" s="1"/>
  <c r="C848" i="5"/>
  <c r="D848" i="5" s="1"/>
  <c r="C847" i="5"/>
  <c r="D847" i="5" s="1"/>
  <c r="C846" i="5"/>
  <c r="D846" i="5" s="1"/>
  <c r="C845" i="5"/>
  <c r="D845" i="5" s="1"/>
  <c r="C844" i="5"/>
  <c r="D844" i="5" s="1"/>
  <c r="C843" i="5"/>
  <c r="D843" i="5" s="1"/>
  <c r="C842" i="5"/>
  <c r="D842" i="5" s="1"/>
  <c r="C841" i="5"/>
  <c r="D841" i="5" s="1"/>
  <c r="C840" i="5"/>
  <c r="D840" i="5" s="1"/>
  <c r="C839" i="5"/>
  <c r="D839" i="5" s="1"/>
  <c r="C838" i="5"/>
  <c r="D838" i="5" s="1"/>
  <c r="C837" i="5"/>
  <c r="D837" i="5" s="1"/>
  <c r="C836" i="5"/>
  <c r="D836" i="5" s="1"/>
  <c r="C835" i="5"/>
  <c r="D835" i="5" s="1"/>
  <c r="C834" i="5"/>
  <c r="D834" i="5" s="1"/>
  <c r="C833" i="5"/>
  <c r="D833" i="5" s="1"/>
  <c r="C832" i="5"/>
  <c r="D832" i="5" s="1"/>
  <c r="C831" i="5"/>
  <c r="D831" i="5" s="1"/>
  <c r="C830" i="5"/>
  <c r="D830" i="5" s="1"/>
  <c r="C829" i="5"/>
  <c r="D829" i="5" s="1"/>
  <c r="C828" i="5"/>
  <c r="D828" i="5" s="1"/>
  <c r="C827" i="5"/>
  <c r="D827" i="5" s="1"/>
  <c r="C826" i="5"/>
  <c r="D826" i="5" s="1"/>
  <c r="C825" i="5"/>
  <c r="D825" i="5" s="1"/>
  <c r="C824" i="5"/>
  <c r="D824" i="5" s="1"/>
  <c r="C823" i="5"/>
  <c r="D823" i="5" s="1"/>
  <c r="C822" i="5"/>
  <c r="D822" i="5" s="1"/>
  <c r="C821" i="5"/>
  <c r="D821" i="5" s="1"/>
  <c r="C820" i="5"/>
  <c r="D820" i="5" s="1"/>
  <c r="C819" i="5"/>
  <c r="D819" i="5" s="1"/>
  <c r="C818" i="5"/>
  <c r="D818" i="5" s="1"/>
  <c r="C817" i="5"/>
  <c r="D817" i="5" s="1"/>
  <c r="C816" i="5"/>
  <c r="D816" i="5" s="1"/>
  <c r="C815" i="5"/>
  <c r="D815" i="5" s="1"/>
  <c r="C814" i="5"/>
  <c r="D814" i="5" s="1"/>
  <c r="C813" i="5"/>
  <c r="D813" i="5" s="1"/>
  <c r="C812" i="5"/>
  <c r="D812" i="5" s="1"/>
  <c r="C811" i="5"/>
  <c r="D811" i="5" s="1"/>
  <c r="C810" i="5"/>
  <c r="D810" i="5" s="1"/>
  <c r="C809" i="5"/>
  <c r="D809" i="5" s="1"/>
  <c r="C808" i="5"/>
  <c r="D808" i="5" s="1"/>
  <c r="C807" i="5"/>
  <c r="D807" i="5" s="1"/>
  <c r="C806" i="5"/>
  <c r="D806" i="5" s="1"/>
  <c r="C805" i="5"/>
  <c r="D805" i="5" s="1"/>
  <c r="C804" i="5"/>
  <c r="D804" i="5" s="1"/>
  <c r="C803" i="5"/>
  <c r="D803" i="5" s="1"/>
  <c r="C802" i="5"/>
  <c r="D802" i="5" s="1"/>
  <c r="C801" i="5"/>
  <c r="D801" i="5" s="1"/>
  <c r="C800" i="5"/>
  <c r="D800" i="5" s="1"/>
  <c r="C799" i="5"/>
  <c r="D799" i="5" s="1"/>
  <c r="C798" i="5"/>
  <c r="D798" i="5" s="1"/>
  <c r="C797" i="5"/>
  <c r="D797" i="5" s="1"/>
  <c r="C796" i="5"/>
  <c r="D796" i="5" s="1"/>
  <c r="C795" i="5"/>
  <c r="D795" i="5" s="1"/>
  <c r="C794" i="5"/>
  <c r="D794" i="5" s="1"/>
  <c r="C793" i="5"/>
  <c r="D793" i="5" s="1"/>
  <c r="C792" i="5"/>
  <c r="D792" i="5" s="1"/>
  <c r="C791" i="5"/>
  <c r="D791" i="5" s="1"/>
  <c r="C790" i="5"/>
  <c r="D790" i="5" s="1"/>
  <c r="C789" i="5"/>
  <c r="D789" i="5" s="1"/>
  <c r="C788" i="5"/>
  <c r="D788" i="5" s="1"/>
  <c r="C787" i="5"/>
  <c r="D787" i="5" s="1"/>
  <c r="C786" i="5"/>
  <c r="D786" i="5" s="1"/>
  <c r="C785" i="5"/>
  <c r="D785" i="5" s="1"/>
  <c r="C784" i="5"/>
  <c r="D784" i="5" s="1"/>
  <c r="C783" i="5"/>
  <c r="D783" i="5" s="1"/>
  <c r="C782" i="5"/>
  <c r="D782" i="5" s="1"/>
  <c r="C781" i="5"/>
  <c r="D781" i="5" s="1"/>
  <c r="C780" i="5"/>
  <c r="D780" i="5" s="1"/>
  <c r="C779" i="5"/>
  <c r="D779" i="5" s="1"/>
  <c r="C778" i="5"/>
  <c r="D778" i="5" s="1"/>
  <c r="C777" i="5"/>
  <c r="D777" i="5" s="1"/>
  <c r="C776" i="5"/>
  <c r="D776" i="5" s="1"/>
  <c r="C775" i="5"/>
  <c r="D775" i="5" s="1"/>
  <c r="C774" i="5"/>
  <c r="D774" i="5" s="1"/>
  <c r="C773" i="5"/>
  <c r="D773" i="5" s="1"/>
  <c r="C772" i="5"/>
  <c r="D772" i="5" s="1"/>
  <c r="C771" i="5"/>
  <c r="D771" i="5" s="1"/>
  <c r="C770" i="5"/>
  <c r="D770" i="5" s="1"/>
  <c r="C769" i="5"/>
  <c r="D769" i="5" s="1"/>
  <c r="C768" i="5"/>
  <c r="D768" i="5" s="1"/>
  <c r="C767" i="5"/>
  <c r="D767" i="5" s="1"/>
  <c r="C766" i="5"/>
  <c r="D766" i="5" s="1"/>
  <c r="C765" i="5"/>
  <c r="D765" i="5" s="1"/>
  <c r="C764" i="5"/>
  <c r="D764" i="5" s="1"/>
  <c r="C763" i="5"/>
  <c r="D763" i="5" s="1"/>
  <c r="C762" i="5"/>
  <c r="D762" i="5" s="1"/>
  <c r="C761" i="5"/>
  <c r="D761" i="5" s="1"/>
  <c r="C760" i="5"/>
  <c r="D760" i="5" s="1"/>
  <c r="C759" i="5"/>
  <c r="D759" i="5" s="1"/>
  <c r="C758" i="5"/>
  <c r="D758" i="5" s="1"/>
  <c r="C757" i="5"/>
  <c r="D757" i="5" s="1"/>
  <c r="C756" i="5"/>
  <c r="D756" i="5" s="1"/>
  <c r="C755" i="5"/>
  <c r="D755" i="5" s="1"/>
  <c r="C754" i="5"/>
  <c r="D754" i="5" s="1"/>
  <c r="C753" i="5"/>
  <c r="D753" i="5" s="1"/>
  <c r="C752" i="5"/>
  <c r="D752" i="5" s="1"/>
  <c r="C751" i="5"/>
  <c r="D751" i="5" s="1"/>
  <c r="C750" i="5"/>
  <c r="D750" i="5" s="1"/>
  <c r="C749" i="5"/>
  <c r="D749" i="5" s="1"/>
  <c r="C748" i="5"/>
  <c r="D748" i="5" s="1"/>
  <c r="C747" i="5"/>
  <c r="D747" i="5" s="1"/>
  <c r="C746" i="5"/>
  <c r="D746" i="5" s="1"/>
  <c r="C745" i="5"/>
  <c r="D745" i="5" s="1"/>
  <c r="C744" i="5"/>
  <c r="D744" i="5" s="1"/>
  <c r="C743" i="5"/>
  <c r="D743" i="5" s="1"/>
  <c r="C742" i="5"/>
  <c r="D742" i="5" s="1"/>
  <c r="C741" i="5"/>
  <c r="D741" i="5" s="1"/>
  <c r="C740" i="5"/>
  <c r="D740" i="5" s="1"/>
  <c r="C739" i="5"/>
  <c r="D739" i="5" s="1"/>
  <c r="C738" i="5"/>
  <c r="D738" i="5" s="1"/>
  <c r="C737" i="5"/>
  <c r="D737" i="5" s="1"/>
  <c r="C736" i="5"/>
  <c r="D736" i="5" s="1"/>
  <c r="C735" i="5"/>
  <c r="D735" i="5" s="1"/>
  <c r="C734" i="5"/>
  <c r="D734" i="5" s="1"/>
  <c r="C733" i="5"/>
  <c r="D733" i="5" s="1"/>
  <c r="C732" i="5"/>
  <c r="D732" i="5" s="1"/>
  <c r="C731" i="5"/>
  <c r="D731" i="5" s="1"/>
  <c r="C730" i="5"/>
  <c r="D730" i="5" s="1"/>
  <c r="C729" i="5"/>
  <c r="D729" i="5" s="1"/>
  <c r="C728" i="5"/>
  <c r="D728" i="5" s="1"/>
  <c r="C727" i="5"/>
  <c r="D727" i="5" s="1"/>
  <c r="C726" i="5"/>
  <c r="D726" i="5" s="1"/>
  <c r="C725" i="5"/>
  <c r="D725" i="5" s="1"/>
  <c r="C724" i="5"/>
  <c r="D724" i="5" s="1"/>
  <c r="C723" i="5"/>
  <c r="D723" i="5" s="1"/>
  <c r="C722" i="5"/>
  <c r="D722" i="5" s="1"/>
  <c r="C721" i="5"/>
  <c r="D721" i="5" s="1"/>
  <c r="C720" i="5"/>
  <c r="D720" i="5" s="1"/>
  <c r="C719" i="5"/>
  <c r="D719" i="5" s="1"/>
  <c r="C718" i="5"/>
  <c r="D718" i="5" s="1"/>
  <c r="C717" i="5"/>
  <c r="D717" i="5" s="1"/>
  <c r="C716" i="5"/>
  <c r="D716" i="5" s="1"/>
  <c r="C715" i="5"/>
  <c r="D715" i="5" s="1"/>
  <c r="C714" i="5"/>
  <c r="D714" i="5" s="1"/>
  <c r="C713" i="5"/>
  <c r="D713" i="5" s="1"/>
  <c r="C712" i="5"/>
  <c r="D712" i="5" s="1"/>
  <c r="C711" i="5"/>
  <c r="D711" i="5" s="1"/>
  <c r="C710" i="5"/>
  <c r="D710" i="5" s="1"/>
  <c r="C709" i="5"/>
  <c r="D709" i="5" s="1"/>
  <c r="C708" i="5"/>
  <c r="D708" i="5" s="1"/>
  <c r="C707" i="5"/>
  <c r="D707" i="5" s="1"/>
  <c r="C706" i="5"/>
  <c r="D706" i="5" s="1"/>
  <c r="C705" i="5"/>
  <c r="D705" i="5" s="1"/>
  <c r="C704" i="5"/>
  <c r="D704" i="5" s="1"/>
  <c r="C703" i="5"/>
  <c r="D703" i="5" s="1"/>
  <c r="C702" i="5"/>
  <c r="D702" i="5" s="1"/>
  <c r="C701" i="5"/>
  <c r="D701" i="5" s="1"/>
  <c r="C700" i="5"/>
  <c r="D700" i="5" s="1"/>
  <c r="C699" i="5"/>
  <c r="D699" i="5" s="1"/>
  <c r="C698" i="5"/>
  <c r="D698" i="5" s="1"/>
  <c r="C697" i="5"/>
  <c r="D697" i="5" s="1"/>
  <c r="C696" i="5"/>
  <c r="D696" i="5" s="1"/>
  <c r="C695" i="5"/>
  <c r="D695" i="5" s="1"/>
  <c r="C694" i="5"/>
  <c r="D694" i="5" s="1"/>
  <c r="C693" i="5"/>
  <c r="D693" i="5" s="1"/>
  <c r="C692" i="5"/>
  <c r="D692" i="5" s="1"/>
  <c r="C691" i="5"/>
  <c r="D691" i="5" s="1"/>
  <c r="C690" i="5"/>
  <c r="D690" i="5" s="1"/>
  <c r="C689" i="5"/>
  <c r="D689" i="5" s="1"/>
  <c r="C688" i="5"/>
  <c r="D688" i="5" s="1"/>
  <c r="C687" i="5"/>
  <c r="D687" i="5" s="1"/>
  <c r="C686" i="5"/>
  <c r="D686" i="5" s="1"/>
  <c r="C685" i="5"/>
  <c r="D685" i="5" s="1"/>
  <c r="C684" i="5"/>
  <c r="D684" i="5" s="1"/>
  <c r="C683" i="5"/>
  <c r="D683" i="5" s="1"/>
  <c r="C682" i="5"/>
  <c r="D682" i="5" s="1"/>
  <c r="C681" i="5"/>
  <c r="D681" i="5" s="1"/>
  <c r="C680" i="5"/>
  <c r="D680" i="5" s="1"/>
  <c r="C679" i="5"/>
  <c r="D679" i="5" s="1"/>
  <c r="C678" i="5"/>
  <c r="D678" i="5" s="1"/>
  <c r="C677" i="5"/>
  <c r="D677" i="5" s="1"/>
  <c r="C676" i="5"/>
  <c r="D676" i="5" s="1"/>
  <c r="C675" i="5"/>
  <c r="D675" i="5" s="1"/>
  <c r="C674" i="5"/>
  <c r="D674" i="5" s="1"/>
  <c r="C673" i="5"/>
  <c r="D673" i="5" s="1"/>
  <c r="C672" i="5"/>
  <c r="D672" i="5" s="1"/>
  <c r="C671" i="5"/>
  <c r="D671" i="5" s="1"/>
  <c r="C670" i="5"/>
  <c r="D670" i="5" s="1"/>
  <c r="C669" i="5"/>
  <c r="D669" i="5" s="1"/>
  <c r="C668" i="5"/>
  <c r="D668" i="5" s="1"/>
  <c r="C667" i="5"/>
  <c r="D667" i="5" s="1"/>
  <c r="C666" i="5"/>
  <c r="D666" i="5" s="1"/>
  <c r="C665" i="5"/>
  <c r="D665" i="5" s="1"/>
  <c r="C664" i="5"/>
  <c r="D664" i="5" s="1"/>
  <c r="C663" i="5"/>
  <c r="D663" i="5" s="1"/>
  <c r="C662" i="5"/>
  <c r="D662" i="5" s="1"/>
  <c r="C661" i="5"/>
  <c r="D661" i="5" s="1"/>
  <c r="C660" i="5"/>
  <c r="D660" i="5" s="1"/>
  <c r="C659" i="5"/>
  <c r="D659" i="5" s="1"/>
  <c r="C658" i="5"/>
  <c r="D658" i="5" s="1"/>
  <c r="C657" i="5"/>
  <c r="D657" i="5" s="1"/>
  <c r="C656" i="5"/>
  <c r="D656" i="5" s="1"/>
  <c r="C655" i="5"/>
  <c r="D655" i="5" s="1"/>
  <c r="C654" i="5"/>
  <c r="D654" i="5" s="1"/>
  <c r="C653" i="5"/>
  <c r="D653" i="5" s="1"/>
  <c r="C652" i="5"/>
  <c r="D652" i="5" s="1"/>
  <c r="C651" i="5"/>
  <c r="D651" i="5" s="1"/>
  <c r="C650" i="5"/>
  <c r="D650" i="5" s="1"/>
  <c r="C649" i="5"/>
  <c r="D649" i="5" s="1"/>
  <c r="C648" i="5"/>
  <c r="D648" i="5" s="1"/>
  <c r="C647" i="5"/>
  <c r="D647" i="5" s="1"/>
  <c r="C646" i="5"/>
  <c r="D646" i="5" s="1"/>
  <c r="C645" i="5"/>
  <c r="D645" i="5" s="1"/>
  <c r="C644" i="5"/>
  <c r="D644" i="5" s="1"/>
  <c r="C643" i="5"/>
  <c r="D643" i="5" s="1"/>
  <c r="C642" i="5"/>
  <c r="D642" i="5" s="1"/>
  <c r="C641" i="5"/>
  <c r="D641" i="5" s="1"/>
  <c r="C640" i="5"/>
  <c r="D640" i="5" s="1"/>
  <c r="C639" i="5"/>
  <c r="D639" i="5" s="1"/>
  <c r="C638" i="5"/>
  <c r="D638" i="5" s="1"/>
  <c r="C637" i="5"/>
  <c r="D637" i="5" s="1"/>
  <c r="C636" i="5"/>
  <c r="D636" i="5" s="1"/>
  <c r="C635" i="5"/>
  <c r="D635" i="5" s="1"/>
  <c r="C634" i="5"/>
  <c r="D634" i="5" s="1"/>
  <c r="C633" i="5"/>
  <c r="D633" i="5" s="1"/>
  <c r="C632" i="5"/>
  <c r="D632" i="5" s="1"/>
  <c r="C631" i="5"/>
  <c r="D631" i="5" s="1"/>
  <c r="C630" i="5"/>
  <c r="D630" i="5" s="1"/>
  <c r="C629" i="5"/>
  <c r="D629" i="5" s="1"/>
  <c r="C628" i="5"/>
  <c r="D628" i="5" s="1"/>
  <c r="C627" i="5"/>
  <c r="D627" i="5" s="1"/>
  <c r="C626" i="5"/>
  <c r="D626" i="5" s="1"/>
  <c r="C625" i="5"/>
  <c r="D625" i="5" s="1"/>
  <c r="C624" i="5"/>
  <c r="D624" i="5" s="1"/>
  <c r="C623" i="5"/>
  <c r="D623" i="5" s="1"/>
  <c r="C622" i="5"/>
  <c r="D622" i="5" s="1"/>
  <c r="C621" i="5"/>
  <c r="D621" i="5" s="1"/>
  <c r="C620" i="5"/>
  <c r="D620" i="5" s="1"/>
  <c r="C619" i="5"/>
  <c r="D619" i="5" s="1"/>
  <c r="C618" i="5"/>
  <c r="D618" i="5" s="1"/>
  <c r="C617" i="5"/>
  <c r="D617" i="5" s="1"/>
  <c r="C616" i="5"/>
  <c r="D616" i="5" s="1"/>
  <c r="C615" i="5"/>
  <c r="D615" i="5" s="1"/>
  <c r="C614" i="5"/>
  <c r="D614" i="5" s="1"/>
  <c r="C613" i="5"/>
  <c r="D613" i="5" s="1"/>
  <c r="C612" i="5"/>
  <c r="D612" i="5" s="1"/>
  <c r="C611" i="5"/>
  <c r="D611" i="5" s="1"/>
  <c r="C610" i="5"/>
  <c r="D610" i="5" s="1"/>
  <c r="C609" i="5"/>
  <c r="D609" i="5" s="1"/>
  <c r="C608" i="5"/>
  <c r="D608" i="5" s="1"/>
  <c r="C607" i="5"/>
  <c r="D607" i="5" s="1"/>
  <c r="C606" i="5"/>
  <c r="D606" i="5" s="1"/>
  <c r="C605" i="5"/>
  <c r="D605" i="5" s="1"/>
  <c r="C604" i="5"/>
  <c r="D604" i="5" s="1"/>
  <c r="C603" i="5"/>
  <c r="D603" i="5" s="1"/>
  <c r="C602" i="5"/>
  <c r="D602" i="5" s="1"/>
  <c r="C601" i="5"/>
  <c r="D601" i="5" s="1"/>
  <c r="C600" i="5"/>
  <c r="D600" i="5" s="1"/>
  <c r="C599" i="5"/>
  <c r="D599" i="5" s="1"/>
  <c r="C598" i="5"/>
  <c r="D598" i="5" s="1"/>
  <c r="C597" i="5"/>
  <c r="D597" i="5" s="1"/>
  <c r="C596" i="5"/>
  <c r="D596" i="5" s="1"/>
  <c r="C595" i="5"/>
  <c r="D595" i="5" s="1"/>
  <c r="C594" i="5"/>
  <c r="D594" i="5" s="1"/>
  <c r="C593" i="5"/>
  <c r="D593" i="5" s="1"/>
  <c r="C592" i="5"/>
  <c r="D592" i="5" s="1"/>
  <c r="C591" i="5"/>
  <c r="D591" i="5" s="1"/>
  <c r="C590" i="5"/>
  <c r="D590" i="5" s="1"/>
  <c r="C589" i="5"/>
  <c r="D589" i="5" s="1"/>
  <c r="C588" i="5"/>
  <c r="D588" i="5" s="1"/>
  <c r="C587" i="5"/>
  <c r="D587" i="5" s="1"/>
  <c r="C586" i="5"/>
  <c r="D586" i="5" s="1"/>
  <c r="C585" i="5"/>
  <c r="D585" i="5" s="1"/>
  <c r="C584" i="5"/>
  <c r="D584" i="5" s="1"/>
  <c r="C583" i="5"/>
  <c r="D583" i="5" s="1"/>
  <c r="C582" i="5"/>
  <c r="D582" i="5" s="1"/>
  <c r="C581" i="5"/>
  <c r="D581" i="5" s="1"/>
  <c r="C580" i="5"/>
  <c r="D580" i="5" s="1"/>
  <c r="C579" i="5"/>
  <c r="D579" i="5" s="1"/>
  <c r="C578" i="5"/>
  <c r="D578" i="5" s="1"/>
  <c r="C577" i="5"/>
  <c r="D577" i="5" s="1"/>
  <c r="C576" i="5"/>
  <c r="D576" i="5" s="1"/>
  <c r="C575" i="5"/>
  <c r="D575" i="5" s="1"/>
  <c r="C574" i="5"/>
  <c r="D574" i="5" s="1"/>
  <c r="C573" i="5"/>
  <c r="D573" i="5" s="1"/>
  <c r="C572" i="5"/>
  <c r="D572" i="5" s="1"/>
  <c r="C571" i="5"/>
  <c r="D571" i="5" s="1"/>
  <c r="C570" i="5"/>
  <c r="D570" i="5" s="1"/>
  <c r="C569" i="5"/>
  <c r="D569" i="5" s="1"/>
  <c r="C568" i="5"/>
  <c r="D568" i="5" s="1"/>
  <c r="C567" i="5"/>
  <c r="D567" i="5" s="1"/>
  <c r="C566" i="5"/>
  <c r="D566" i="5" s="1"/>
  <c r="C565" i="5"/>
  <c r="D565" i="5" s="1"/>
  <c r="C564" i="5"/>
  <c r="D564" i="5" s="1"/>
  <c r="C563" i="5"/>
  <c r="D563" i="5" s="1"/>
  <c r="C562" i="5"/>
  <c r="D562" i="5" s="1"/>
  <c r="C561" i="5"/>
  <c r="D561" i="5" s="1"/>
  <c r="C560" i="5"/>
  <c r="D560" i="5" s="1"/>
  <c r="C559" i="5"/>
  <c r="D559" i="5" s="1"/>
  <c r="C558" i="5"/>
  <c r="D558" i="5" s="1"/>
  <c r="C557" i="5"/>
  <c r="D557" i="5" s="1"/>
  <c r="C556" i="5"/>
  <c r="D556" i="5" s="1"/>
  <c r="C555" i="5"/>
  <c r="D555" i="5" s="1"/>
  <c r="C554" i="5"/>
  <c r="D554" i="5" s="1"/>
  <c r="C553" i="5"/>
  <c r="D553" i="5" s="1"/>
  <c r="C552" i="5"/>
  <c r="D552" i="5" s="1"/>
  <c r="C551" i="5"/>
  <c r="D551" i="5" s="1"/>
  <c r="C550" i="5"/>
  <c r="D550" i="5" s="1"/>
  <c r="C549" i="5"/>
  <c r="D549" i="5" s="1"/>
  <c r="C548" i="5"/>
  <c r="D548" i="5" s="1"/>
  <c r="C547" i="5"/>
  <c r="D547" i="5" s="1"/>
  <c r="C546" i="5"/>
  <c r="D546" i="5" s="1"/>
  <c r="C545" i="5"/>
  <c r="D545" i="5" s="1"/>
  <c r="C544" i="5"/>
  <c r="D544" i="5" s="1"/>
  <c r="C543" i="5"/>
  <c r="D543" i="5" s="1"/>
  <c r="C542" i="5"/>
  <c r="D542" i="5" s="1"/>
  <c r="C541" i="5"/>
  <c r="D541" i="5" s="1"/>
  <c r="C540" i="5"/>
  <c r="D540" i="5" s="1"/>
  <c r="C539" i="5"/>
  <c r="D539" i="5" s="1"/>
  <c r="C538" i="5"/>
  <c r="D538" i="5" s="1"/>
  <c r="C537" i="5"/>
  <c r="D537" i="5" s="1"/>
  <c r="C536" i="5"/>
  <c r="D536" i="5" s="1"/>
  <c r="C535" i="5"/>
  <c r="D535" i="5" s="1"/>
  <c r="C534" i="5"/>
  <c r="D534" i="5" s="1"/>
  <c r="C533" i="5"/>
  <c r="D533" i="5" s="1"/>
  <c r="C532" i="5"/>
  <c r="D532" i="5" s="1"/>
  <c r="C531" i="5"/>
  <c r="D531" i="5" s="1"/>
  <c r="C530" i="5"/>
  <c r="D530" i="5" s="1"/>
  <c r="C529" i="5"/>
  <c r="D529" i="5" s="1"/>
  <c r="C528" i="5"/>
  <c r="D528" i="5" s="1"/>
  <c r="C527" i="5"/>
  <c r="D527" i="5" s="1"/>
  <c r="C526" i="5"/>
  <c r="D526" i="5" s="1"/>
  <c r="C525" i="5"/>
  <c r="D525" i="5" s="1"/>
  <c r="C524" i="5"/>
  <c r="D524" i="5" s="1"/>
  <c r="C523" i="5"/>
  <c r="D523" i="5" s="1"/>
  <c r="C522" i="5"/>
  <c r="D522" i="5" s="1"/>
  <c r="C521" i="5"/>
  <c r="D521" i="5" s="1"/>
  <c r="C520" i="5"/>
  <c r="D520" i="5" s="1"/>
  <c r="C519" i="5"/>
  <c r="D519" i="5" s="1"/>
  <c r="C518" i="5"/>
  <c r="D518" i="5" s="1"/>
  <c r="C517" i="5"/>
  <c r="D517" i="5" s="1"/>
  <c r="C516" i="5"/>
  <c r="D516" i="5" s="1"/>
  <c r="C515" i="5"/>
  <c r="D515" i="5" s="1"/>
  <c r="C514" i="5"/>
  <c r="D514" i="5" s="1"/>
  <c r="C513" i="5"/>
  <c r="D513" i="5" s="1"/>
  <c r="C512" i="5"/>
  <c r="D512" i="5" s="1"/>
  <c r="C511" i="5"/>
  <c r="D511" i="5" s="1"/>
  <c r="C510" i="5"/>
  <c r="D510" i="5" s="1"/>
  <c r="C509" i="5"/>
  <c r="D509" i="5" s="1"/>
  <c r="C508" i="5"/>
  <c r="D508" i="5" s="1"/>
  <c r="C507" i="5"/>
  <c r="D507" i="5" s="1"/>
  <c r="C506" i="5"/>
  <c r="D506" i="5" s="1"/>
  <c r="C505" i="5"/>
  <c r="D505" i="5" s="1"/>
  <c r="C504" i="5"/>
  <c r="D504" i="5" s="1"/>
  <c r="C503" i="5"/>
  <c r="D503" i="5" s="1"/>
  <c r="C502" i="5"/>
  <c r="D502" i="5" s="1"/>
  <c r="C501" i="5"/>
  <c r="D501" i="5" s="1"/>
  <c r="C500" i="5"/>
  <c r="D500" i="5" s="1"/>
  <c r="C499" i="5"/>
  <c r="D499" i="5" s="1"/>
  <c r="C498" i="5"/>
  <c r="D498" i="5" s="1"/>
  <c r="C497" i="5"/>
  <c r="D497" i="5" s="1"/>
  <c r="C496" i="5"/>
  <c r="D496" i="5" s="1"/>
  <c r="C495" i="5"/>
  <c r="D495" i="5" s="1"/>
  <c r="C494" i="5"/>
  <c r="D494" i="5" s="1"/>
  <c r="C493" i="5"/>
  <c r="D493" i="5" s="1"/>
  <c r="C492" i="5"/>
  <c r="D492" i="5" s="1"/>
  <c r="C491" i="5"/>
  <c r="D491" i="5" s="1"/>
  <c r="C490" i="5"/>
  <c r="D490" i="5" s="1"/>
  <c r="C489" i="5"/>
  <c r="D489" i="5" s="1"/>
  <c r="C488" i="5"/>
  <c r="D488" i="5" s="1"/>
  <c r="C487" i="5"/>
  <c r="D487" i="5" s="1"/>
  <c r="C486" i="5"/>
  <c r="D486" i="5" s="1"/>
  <c r="C485" i="5"/>
  <c r="D485" i="5" s="1"/>
  <c r="C484" i="5"/>
  <c r="D484" i="5" s="1"/>
  <c r="C483" i="5"/>
  <c r="D483" i="5" s="1"/>
  <c r="C482" i="5"/>
  <c r="D482" i="5" s="1"/>
  <c r="C481" i="5"/>
  <c r="D481" i="5" s="1"/>
  <c r="C480" i="5"/>
  <c r="D480" i="5" s="1"/>
  <c r="C479" i="5"/>
  <c r="D479" i="5" s="1"/>
  <c r="C478" i="5"/>
  <c r="D478" i="5" s="1"/>
  <c r="C477" i="5"/>
  <c r="D477" i="5" s="1"/>
  <c r="C476" i="5"/>
  <c r="D476" i="5" s="1"/>
  <c r="C475" i="5"/>
  <c r="D475" i="5" s="1"/>
  <c r="C474" i="5"/>
  <c r="D474" i="5" s="1"/>
  <c r="C473" i="5"/>
  <c r="D473" i="5" s="1"/>
  <c r="C472" i="5"/>
  <c r="D472" i="5" s="1"/>
  <c r="C471" i="5"/>
  <c r="D471" i="5" s="1"/>
  <c r="C470" i="5"/>
  <c r="D470" i="5" s="1"/>
  <c r="C469" i="5"/>
  <c r="D469" i="5" s="1"/>
  <c r="C468" i="5"/>
  <c r="D468" i="5" s="1"/>
  <c r="C467" i="5"/>
  <c r="D467" i="5" s="1"/>
  <c r="C466" i="5"/>
  <c r="D466" i="5" s="1"/>
  <c r="C465" i="5"/>
  <c r="D465" i="5" s="1"/>
  <c r="C464" i="5"/>
  <c r="D464" i="5" s="1"/>
  <c r="C463" i="5"/>
  <c r="D463" i="5" s="1"/>
  <c r="C462" i="5"/>
  <c r="D462" i="5" s="1"/>
  <c r="C461" i="5"/>
  <c r="D461" i="5" s="1"/>
  <c r="C460" i="5"/>
  <c r="D460" i="5" s="1"/>
  <c r="C459" i="5"/>
  <c r="D459" i="5" s="1"/>
  <c r="C458" i="5"/>
  <c r="D458" i="5" s="1"/>
  <c r="C457" i="5"/>
  <c r="D457" i="5" s="1"/>
  <c r="C456" i="5"/>
  <c r="D456" i="5" s="1"/>
  <c r="C455" i="5"/>
  <c r="D455" i="5" s="1"/>
  <c r="C454" i="5"/>
  <c r="D454" i="5" s="1"/>
  <c r="C453" i="5"/>
  <c r="D453" i="5" s="1"/>
  <c r="C452" i="5"/>
  <c r="D452" i="5" s="1"/>
  <c r="C451" i="5"/>
  <c r="D451" i="5" s="1"/>
  <c r="C450" i="5"/>
  <c r="D450" i="5" s="1"/>
  <c r="C449" i="5"/>
  <c r="D449" i="5" s="1"/>
  <c r="C448" i="5"/>
  <c r="D448" i="5" s="1"/>
  <c r="C447" i="5"/>
  <c r="D447" i="5" s="1"/>
  <c r="C446" i="5"/>
  <c r="D446" i="5" s="1"/>
  <c r="C445" i="5"/>
  <c r="D445" i="5" s="1"/>
  <c r="C444" i="5"/>
  <c r="D444" i="5" s="1"/>
  <c r="C443" i="5"/>
  <c r="D443" i="5" s="1"/>
  <c r="C442" i="5"/>
  <c r="D442" i="5" s="1"/>
  <c r="C441" i="5"/>
  <c r="D441" i="5" s="1"/>
  <c r="C440" i="5"/>
  <c r="D440" i="5" s="1"/>
  <c r="C439" i="5"/>
  <c r="D439" i="5" s="1"/>
  <c r="C438" i="5"/>
  <c r="D438" i="5" s="1"/>
  <c r="C437" i="5"/>
  <c r="D437" i="5" s="1"/>
  <c r="C436" i="5"/>
  <c r="D436" i="5" s="1"/>
  <c r="C435" i="5"/>
  <c r="D435" i="5" s="1"/>
  <c r="C434" i="5"/>
  <c r="D434" i="5" s="1"/>
  <c r="C433" i="5"/>
  <c r="D433" i="5" s="1"/>
  <c r="C432" i="5"/>
  <c r="D432" i="5" s="1"/>
  <c r="C431" i="5"/>
  <c r="D431" i="5" s="1"/>
  <c r="C430" i="5"/>
  <c r="D430" i="5" s="1"/>
  <c r="C429" i="5"/>
  <c r="D429" i="5" s="1"/>
  <c r="C428" i="5"/>
  <c r="D428" i="5" s="1"/>
  <c r="C427" i="5"/>
  <c r="D427" i="5" s="1"/>
  <c r="C426" i="5"/>
  <c r="D426" i="5" s="1"/>
  <c r="C425" i="5"/>
  <c r="D425" i="5" s="1"/>
  <c r="C424" i="5"/>
  <c r="D424" i="5" s="1"/>
  <c r="C423" i="5"/>
  <c r="D423" i="5" s="1"/>
  <c r="C422" i="5"/>
  <c r="D422" i="5" s="1"/>
  <c r="C421" i="5"/>
  <c r="D421" i="5" s="1"/>
  <c r="C420" i="5"/>
  <c r="D420" i="5" s="1"/>
  <c r="C419" i="5"/>
  <c r="D419" i="5" s="1"/>
  <c r="C418" i="5"/>
  <c r="D418" i="5" s="1"/>
  <c r="C417" i="5"/>
  <c r="D417" i="5" s="1"/>
  <c r="C416" i="5"/>
  <c r="D416" i="5" s="1"/>
  <c r="C415" i="5"/>
  <c r="D415" i="5" s="1"/>
  <c r="C414" i="5"/>
  <c r="D414" i="5" s="1"/>
  <c r="C413" i="5"/>
  <c r="D413" i="5" s="1"/>
  <c r="C412" i="5"/>
  <c r="D412" i="5" s="1"/>
  <c r="C411" i="5"/>
  <c r="D411" i="5" s="1"/>
  <c r="C410" i="5"/>
  <c r="D410" i="5" s="1"/>
  <c r="C409" i="5"/>
  <c r="D409" i="5" s="1"/>
  <c r="C408" i="5"/>
  <c r="D408" i="5" s="1"/>
  <c r="C407" i="5"/>
  <c r="D407" i="5" s="1"/>
  <c r="C406" i="5"/>
  <c r="D406" i="5" s="1"/>
  <c r="C405" i="5"/>
  <c r="D405" i="5" s="1"/>
  <c r="C404" i="5"/>
  <c r="D404" i="5" s="1"/>
  <c r="C403" i="5"/>
  <c r="D403" i="5" s="1"/>
  <c r="C402" i="5"/>
  <c r="D402" i="5" s="1"/>
  <c r="C401" i="5"/>
  <c r="D401" i="5" s="1"/>
  <c r="C400" i="5"/>
  <c r="D400" i="5" s="1"/>
  <c r="C399" i="5"/>
  <c r="D399" i="5" s="1"/>
  <c r="C398" i="5"/>
  <c r="D398" i="5" s="1"/>
  <c r="C397" i="5"/>
  <c r="D397" i="5" s="1"/>
  <c r="C396" i="5"/>
  <c r="D396" i="5" s="1"/>
  <c r="C395" i="5"/>
  <c r="D395" i="5" s="1"/>
  <c r="C394" i="5"/>
  <c r="D394" i="5" s="1"/>
  <c r="C393" i="5"/>
  <c r="D393" i="5" s="1"/>
  <c r="C392" i="5"/>
  <c r="D392" i="5" s="1"/>
  <c r="C391" i="5"/>
  <c r="D391" i="5" s="1"/>
  <c r="C390" i="5"/>
  <c r="D390" i="5" s="1"/>
  <c r="C389" i="5"/>
  <c r="D389" i="5" s="1"/>
  <c r="C388" i="5"/>
  <c r="D388" i="5" s="1"/>
  <c r="C387" i="5"/>
  <c r="D387" i="5" s="1"/>
  <c r="C386" i="5"/>
  <c r="D386" i="5" s="1"/>
  <c r="C385" i="5"/>
  <c r="D385" i="5" s="1"/>
  <c r="C384" i="5"/>
  <c r="D384" i="5" s="1"/>
  <c r="C383" i="5"/>
  <c r="D383" i="5" s="1"/>
  <c r="C382" i="5"/>
  <c r="D382" i="5" s="1"/>
  <c r="C381" i="5"/>
  <c r="D381" i="5" s="1"/>
  <c r="C380" i="5"/>
  <c r="D380" i="5" s="1"/>
  <c r="C379" i="5"/>
  <c r="D379" i="5" s="1"/>
  <c r="C378" i="5"/>
  <c r="D378" i="5" s="1"/>
  <c r="C377" i="5"/>
  <c r="D377" i="5" s="1"/>
  <c r="C376" i="5"/>
  <c r="D376" i="5" s="1"/>
  <c r="C375" i="5"/>
  <c r="D375" i="5" s="1"/>
  <c r="C374" i="5"/>
  <c r="D374" i="5" s="1"/>
  <c r="C373" i="5"/>
  <c r="D373" i="5" s="1"/>
  <c r="C372" i="5"/>
  <c r="D372" i="5" s="1"/>
  <c r="C371" i="5"/>
  <c r="D371" i="5" s="1"/>
  <c r="C370" i="5"/>
  <c r="D370" i="5" s="1"/>
  <c r="C369" i="5"/>
  <c r="D369" i="5" s="1"/>
  <c r="C368" i="5"/>
  <c r="D368" i="5" s="1"/>
  <c r="C367" i="5"/>
  <c r="D367" i="5" s="1"/>
  <c r="C366" i="5"/>
  <c r="D366" i="5" s="1"/>
  <c r="C365" i="5"/>
  <c r="D365" i="5" s="1"/>
  <c r="C364" i="5"/>
  <c r="D364" i="5" s="1"/>
  <c r="C363" i="5"/>
  <c r="D363" i="5" s="1"/>
  <c r="C362" i="5"/>
  <c r="D362" i="5" s="1"/>
  <c r="C361" i="5"/>
  <c r="D361" i="5" s="1"/>
  <c r="C360" i="5"/>
  <c r="D360" i="5" s="1"/>
  <c r="C359" i="5"/>
  <c r="D359" i="5" s="1"/>
  <c r="C358" i="5"/>
  <c r="D358" i="5" s="1"/>
  <c r="C357" i="5"/>
  <c r="D357" i="5" s="1"/>
  <c r="C356" i="5"/>
  <c r="D356" i="5" s="1"/>
  <c r="C355" i="5"/>
  <c r="D355" i="5" s="1"/>
  <c r="C354" i="5"/>
  <c r="D354" i="5" s="1"/>
  <c r="C353" i="5"/>
  <c r="D353" i="5" s="1"/>
  <c r="C352" i="5"/>
  <c r="D352" i="5" s="1"/>
  <c r="C351" i="5"/>
  <c r="D351" i="5" s="1"/>
  <c r="C350" i="5"/>
  <c r="D350" i="5" s="1"/>
  <c r="C349" i="5"/>
  <c r="D349" i="5" s="1"/>
  <c r="C348" i="5"/>
  <c r="D348" i="5" s="1"/>
  <c r="C347" i="5"/>
  <c r="D347" i="5" s="1"/>
  <c r="C346" i="5"/>
  <c r="D346" i="5" s="1"/>
  <c r="C345" i="5"/>
  <c r="D345" i="5" s="1"/>
  <c r="C344" i="5"/>
  <c r="D344" i="5" s="1"/>
  <c r="C343" i="5"/>
  <c r="D343" i="5" s="1"/>
  <c r="C342" i="5"/>
  <c r="D342" i="5" s="1"/>
  <c r="C341" i="5"/>
  <c r="D341" i="5" s="1"/>
  <c r="C340" i="5"/>
  <c r="D340" i="5" s="1"/>
  <c r="C339" i="5"/>
  <c r="D339" i="5" s="1"/>
  <c r="C338" i="5"/>
  <c r="D338" i="5" s="1"/>
  <c r="C337" i="5"/>
  <c r="D337" i="5" s="1"/>
  <c r="C336" i="5"/>
  <c r="D336" i="5" s="1"/>
  <c r="C335" i="5"/>
  <c r="D335" i="5" s="1"/>
  <c r="C334" i="5"/>
  <c r="D334" i="5" s="1"/>
  <c r="C333" i="5"/>
  <c r="D333" i="5" s="1"/>
  <c r="C332" i="5"/>
  <c r="D332" i="5" s="1"/>
  <c r="C331" i="5"/>
  <c r="D331" i="5" s="1"/>
  <c r="C330" i="5"/>
  <c r="D330" i="5" s="1"/>
  <c r="C329" i="5"/>
  <c r="D329" i="5" s="1"/>
  <c r="C328" i="5"/>
  <c r="D328" i="5" s="1"/>
  <c r="C327" i="5"/>
  <c r="D327" i="5" s="1"/>
  <c r="C326" i="5"/>
  <c r="D326" i="5" s="1"/>
  <c r="C325" i="5"/>
  <c r="D325" i="5" s="1"/>
  <c r="C324" i="5"/>
  <c r="D324" i="5" s="1"/>
  <c r="C323" i="5"/>
  <c r="D323" i="5" s="1"/>
  <c r="C322" i="5"/>
  <c r="D322" i="5" s="1"/>
  <c r="C321" i="5"/>
  <c r="D321" i="5" s="1"/>
  <c r="C320" i="5"/>
  <c r="D320" i="5" s="1"/>
  <c r="C319" i="5"/>
  <c r="D319" i="5" s="1"/>
  <c r="C318" i="5"/>
  <c r="D318" i="5" s="1"/>
  <c r="C317" i="5"/>
  <c r="D317" i="5" s="1"/>
  <c r="C316" i="5"/>
  <c r="D316" i="5" s="1"/>
  <c r="C315" i="5"/>
  <c r="D315" i="5" s="1"/>
  <c r="C314" i="5"/>
  <c r="D314" i="5" s="1"/>
  <c r="C313" i="5"/>
  <c r="D313" i="5" s="1"/>
  <c r="C312" i="5"/>
  <c r="D312" i="5" s="1"/>
  <c r="C311" i="5"/>
  <c r="D311" i="5" s="1"/>
  <c r="C310" i="5"/>
  <c r="D310" i="5" s="1"/>
  <c r="C309" i="5"/>
  <c r="D309" i="5" s="1"/>
  <c r="C308" i="5"/>
  <c r="D308" i="5" s="1"/>
  <c r="C307" i="5"/>
  <c r="D307" i="5" s="1"/>
  <c r="C306" i="5"/>
  <c r="D306" i="5" s="1"/>
  <c r="C305" i="5"/>
  <c r="D305" i="5" s="1"/>
  <c r="C304" i="5"/>
  <c r="D304" i="5" s="1"/>
  <c r="C303" i="5"/>
  <c r="D303" i="5" s="1"/>
  <c r="C302" i="5"/>
  <c r="D302" i="5" s="1"/>
  <c r="C301" i="5"/>
  <c r="D301" i="5" s="1"/>
  <c r="C300" i="5"/>
  <c r="D300" i="5" s="1"/>
  <c r="C299" i="5"/>
  <c r="D299" i="5" s="1"/>
  <c r="C298" i="5"/>
  <c r="D298" i="5" s="1"/>
  <c r="C297" i="5"/>
  <c r="D297" i="5" s="1"/>
  <c r="C296" i="5"/>
  <c r="D296" i="5" s="1"/>
  <c r="C295" i="5"/>
  <c r="D295" i="5" s="1"/>
  <c r="C294" i="5"/>
  <c r="D294" i="5" s="1"/>
  <c r="C293" i="5"/>
  <c r="D293" i="5" s="1"/>
  <c r="C292" i="5"/>
  <c r="D292" i="5" s="1"/>
  <c r="C291" i="5"/>
  <c r="D291" i="5" s="1"/>
  <c r="C290" i="5"/>
  <c r="D290" i="5" s="1"/>
  <c r="C289" i="5"/>
  <c r="D289" i="5" s="1"/>
  <c r="C288" i="5"/>
  <c r="D288" i="5" s="1"/>
  <c r="C287" i="5"/>
  <c r="D287" i="5" s="1"/>
  <c r="C286" i="5"/>
  <c r="D286" i="5" s="1"/>
  <c r="C285" i="5"/>
  <c r="D285" i="5" s="1"/>
  <c r="C284" i="5"/>
  <c r="D284" i="5" s="1"/>
  <c r="C283" i="5"/>
  <c r="D283" i="5" s="1"/>
  <c r="C282" i="5"/>
  <c r="D282" i="5" s="1"/>
  <c r="C281" i="5"/>
  <c r="D281" i="5" s="1"/>
  <c r="C280" i="5"/>
  <c r="D280" i="5" s="1"/>
  <c r="C279" i="5"/>
  <c r="D279" i="5" s="1"/>
  <c r="C278" i="5"/>
  <c r="D278" i="5" s="1"/>
  <c r="C277" i="5"/>
  <c r="D277" i="5" s="1"/>
  <c r="C276" i="5"/>
  <c r="D276" i="5" s="1"/>
  <c r="C275" i="5"/>
  <c r="D275" i="5" s="1"/>
  <c r="C274" i="5"/>
  <c r="D274" i="5" s="1"/>
  <c r="C273" i="5"/>
  <c r="D273" i="5" s="1"/>
  <c r="C272" i="5"/>
  <c r="D272" i="5" s="1"/>
  <c r="C271" i="5"/>
  <c r="D271" i="5" s="1"/>
  <c r="C270" i="5"/>
  <c r="D270" i="5" s="1"/>
  <c r="C269" i="5"/>
  <c r="D269" i="5" s="1"/>
  <c r="C268" i="5"/>
  <c r="D268" i="5" s="1"/>
  <c r="C267" i="5"/>
  <c r="D267" i="5" s="1"/>
  <c r="C266" i="5"/>
  <c r="D266" i="5" s="1"/>
  <c r="C265" i="5"/>
  <c r="D265" i="5" s="1"/>
  <c r="C264" i="5"/>
  <c r="D264" i="5" s="1"/>
  <c r="C263" i="5"/>
  <c r="D263" i="5" s="1"/>
  <c r="C262" i="5"/>
  <c r="D262" i="5" s="1"/>
  <c r="C261" i="5"/>
  <c r="D261" i="5" s="1"/>
  <c r="C260" i="5"/>
  <c r="D260" i="5" s="1"/>
  <c r="C259" i="5"/>
  <c r="D259" i="5" s="1"/>
  <c r="C258" i="5"/>
  <c r="D258" i="5" s="1"/>
  <c r="C257" i="5"/>
  <c r="D257" i="5" s="1"/>
  <c r="C256" i="5"/>
  <c r="D256" i="5" s="1"/>
  <c r="C255" i="5"/>
  <c r="D255" i="5" s="1"/>
  <c r="C254" i="5"/>
  <c r="D254" i="5" s="1"/>
  <c r="C253" i="5"/>
  <c r="D253" i="5" s="1"/>
  <c r="C252" i="5"/>
  <c r="D252" i="5" s="1"/>
  <c r="C251" i="5"/>
  <c r="D251" i="5" s="1"/>
  <c r="C250" i="5"/>
  <c r="D250" i="5" s="1"/>
  <c r="C249" i="5"/>
  <c r="D249" i="5" s="1"/>
  <c r="C248" i="5"/>
  <c r="D248" i="5" s="1"/>
  <c r="C247" i="5"/>
  <c r="D247" i="5" s="1"/>
  <c r="C246" i="5"/>
  <c r="D246" i="5" s="1"/>
  <c r="C245" i="5"/>
  <c r="D245" i="5" s="1"/>
  <c r="C244" i="5"/>
  <c r="D244" i="5" s="1"/>
  <c r="C243" i="5"/>
  <c r="D243" i="5" s="1"/>
  <c r="C242" i="5"/>
  <c r="D242" i="5" s="1"/>
  <c r="C241" i="5"/>
  <c r="D241" i="5" s="1"/>
  <c r="C240" i="5"/>
  <c r="D240" i="5" s="1"/>
  <c r="C239" i="5"/>
  <c r="D239" i="5" s="1"/>
  <c r="C238" i="5"/>
  <c r="D238" i="5" s="1"/>
  <c r="C237" i="5"/>
  <c r="D237" i="5" s="1"/>
  <c r="C236" i="5"/>
  <c r="D236" i="5" s="1"/>
  <c r="C235" i="5"/>
  <c r="D235" i="5" s="1"/>
  <c r="C234" i="5"/>
  <c r="D234" i="5" s="1"/>
  <c r="C233" i="5"/>
  <c r="D233" i="5" s="1"/>
  <c r="C232" i="5"/>
  <c r="D232" i="5" s="1"/>
  <c r="C231" i="5"/>
  <c r="D231" i="5" s="1"/>
  <c r="C230" i="5"/>
  <c r="D230" i="5" s="1"/>
  <c r="C229" i="5"/>
  <c r="D229" i="5" s="1"/>
  <c r="C228" i="5"/>
  <c r="D228" i="5" s="1"/>
  <c r="C227" i="5"/>
  <c r="D227" i="5" s="1"/>
  <c r="C226" i="5"/>
  <c r="D226" i="5" s="1"/>
  <c r="C225" i="5"/>
  <c r="D225" i="5" s="1"/>
  <c r="C224" i="5"/>
  <c r="D224" i="5" s="1"/>
  <c r="C223" i="5"/>
  <c r="D223" i="5" s="1"/>
  <c r="C222" i="5"/>
  <c r="D222" i="5" s="1"/>
  <c r="C221" i="5"/>
  <c r="D221" i="5" s="1"/>
  <c r="C220" i="5"/>
  <c r="D220" i="5" s="1"/>
  <c r="C219" i="5"/>
  <c r="D219" i="5" s="1"/>
  <c r="C218" i="5"/>
  <c r="D218" i="5" s="1"/>
  <c r="C217" i="5"/>
  <c r="D217" i="5" s="1"/>
  <c r="C216" i="5"/>
  <c r="D216" i="5" s="1"/>
  <c r="C215" i="5"/>
  <c r="D215" i="5" s="1"/>
  <c r="C214" i="5"/>
  <c r="D214" i="5" s="1"/>
  <c r="C213" i="5"/>
  <c r="D213" i="5" s="1"/>
  <c r="C212" i="5"/>
  <c r="D212" i="5" s="1"/>
  <c r="C211" i="5"/>
  <c r="D211" i="5" s="1"/>
  <c r="C210" i="5"/>
  <c r="D210" i="5" s="1"/>
  <c r="C209" i="5"/>
  <c r="D209" i="5" s="1"/>
  <c r="C208" i="5"/>
  <c r="D208" i="5" s="1"/>
  <c r="C207" i="5"/>
  <c r="D207" i="5" s="1"/>
  <c r="C206" i="5"/>
  <c r="D206" i="5" s="1"/>
  <c r="C205" i="5"/>
  <c r="D205" i="5" s="1"/>
  <c r="C204" i="5"/>
  <c r="D204" i="5" s="1"/>
  <c r="C203" i="5"/>
  <c r="D203" i="5" s="1"/>
  <c r="C202" i="5"/>
  <c r="D202" i="5" s="1"/>
  <c r="C201" i="5"/>
  <c r="D201" i="5" s="1"/>
  <c r="C200" i="5"/>
  <c r="D200" i="5" s="1"/>
  <c r="C199" i="5"/>
  <c r="D199" i="5" s="1"/>
  <c r="C198" i="5"/>
  <c r="D198" i="5" s="1"/>
  <c r="C197" i="5"/>
  <c r="D197" i="5" s="1"/>
  <c r="C196" i="5"/>
  <c r="D196" i="5" s="1"/>
  <c r="C195" i="5"/>
  <c r="D195" i="5" s="1"/>
  <c r="C194" i="5"/>
  <c r="D194" i="5" s="1"/>
  <c r="C193" i="5"/>
  <c r="D193" i="5" s="1"/>
  <c r="C192" i="5"/>
  <c r="D192" i="5" s="1"/>
  <c r="C191" i="5"/>
  <c r="D191" i="5" s="1"/>
  <c r="C190" i="5"/>
  <c r="D190" i="5" s="1"/>
  <c r="C189" i="5"/>
  <c r="D189" i="5" s="1"/>
  <c r="C188" i="5"/>
  <c r="D188" i="5" s="1"/>
  <c r="C187" i="5"/>
  <c r="D187" i="5" s="1"/>
  <c r="C186" i="5"/>
  <c r="D186" i="5" s="1"/>
  <c r="C185" i="5"/>
  <c r="D185" i="5" s="1"/>
  <c r="C184" i="5"/>
  <c r="D184" i="5" s="1"/>
  <c r="C183" i="5"/>
  <c r="D183" i="5" s="1"/>
  <c r="C182" i="5"/>
  <c r="D182" i="5" s="1"/>
  <c r="C181" i="5"/>
  <c r="D181" i="5" s="1"/>
  <c r="C180" i="5"/>
  <c r="D180" i="5" s="1"/>
  <c r="C179" i="5"/>
  <c r="D179" i="5" s="1"/>
  <c r="C178" i="5"/>
  <c r="D178" i="5" s="1"/>
  <c r="C177" i="5"/>
  <c r="D177" i="5" s="1"/>
  <c r="C176" i="5"/>
  <c r="D176" i="5" s="1"/>
  <c r="C175" i="5"/>
  <c r="D175" i="5" s="1"/>
  <c r="C174" i="5"/>
  <c r="D174" i="5" s="1"/>
  <c r="C173" i="5"/>
  <c r="D173" i="5" s="1"/>
  <c r="C172" i="5"/>
  <c r="D172" i="5" s="1"/>
  <c r="C171" i="5"/>
  <c r="D171" i="5" s="1"/>
  <c r="C170" i="5"/>
  <c r="D170" i="5" s="1"/>
  <c r="C169" i="5"/>
  <c r="D169" i="5" s="1"/>
  <c r="C168" i="5"/>
  <c r="D168" i="5" s="1"/>
  <c r="C167" i="5"/>
  <c r="D167" i="5" s="1"/>
  <c r="C166" i="5"/>
  <c r="D166" i="5" s="1"/>
  <c r="C165" i="5"/>
  <c r="D165" i="5" s="1"/>
  <c r="C164" i="5"/>
  <c r="D164" i="5" s="1"/>
  <c r="C163" i="5"/>
  <c r="D163" i="5" s="1"/>
  <c r="C162" i="5"/>
  <c r="D162" i="5" s="1"/>
  <c r="C161" i="5"/>
  <c r="D161" i="5" s="1"/>
  <c r="C160" i="5"/>
  <c r="D160" i="5" s="1"/>
  <c r="C159" i="5"/>
  <c r="D159" i="5" s="1"/>
  <c r="C158" i="5"/>
  <c r="D158" i="5" s="1"/>
  <c r="C157" i="5"/>
  <c r="D157" i="5" s="1"/>
  <c r="C156" i="5"/>
  <c r="D156" i="5" s="1"/>
  <c r="C155" i="5"/>
  <c r="D155" i="5" s="1"/>
  <c r="C154" i="5"/>
  <c r="D154" i="5" s="1"/>
  <c r="C153" i="5"/>
  <c r="D153" i="5" s="1"/>
  <c r="C152" i="5"/>
  <c r="D152" i="5" s="1"/>
  <c r="C151" i="5"/>
  <c r="D151" i="5" s="1"/>
  <c r="C150" i="5"/>
  <c r="D150" i="5" s="1"/>
  <c r="C149" i="5"/>
  <c r="D149" i="5" s="1"/>
  <c r="C148" i="5"/>
  <c r="D148" i="5" s="1"/>
  <c r="C147" i="5"/>
  <c r="D147" i="5" s="1"/>
  <c r="C146" i="5"/>
  <c r="D146" i="5" s="1"/>
  <c r="C145" i="5"/>
  <c r="D145" i="5" s="1"/>
  <c r="C144" i="5"/>
  <c r="D144" i="5" s="1"/>
  <c r="C143" i="5"/>
  <c r="D143" i="5" s="1"/>
  <c r="C142" i="5"/>
  <c r="D142" i="5" s="1"/>
  <c r="C141" i="5"/>
  <c r="D141" i="5" s="1"/>
  <c r="C140" i="5"/>
  <c r="D140" i="5" s="1"/>
  <c r="C139" i="5"/>
  <c r="D139" i="5" s="1"/>
  <c r="C138" i="5"/>
  <c r="D138" i="5" s="1"/>
  <c r="C137" i="5"/>
  <c r="D137" i="5" s="1"/>
  <c r="C136" i="5"/>
  <c r="D136" i="5" s="1"/>
  <c r="C135" i="5"/>
  <c r="D135" i="5" s="1"/>
  <c r="C134" i="5"/>
  <c r="D134" i="5" s="1"/>
  <c r="C133" i="5"/>
  <c r="D133" i="5" s="1"/>
  <c r="C132" i="5"/>
  <c r="D132" i="5" s="1"/>
  <c r="C131" i="5"/>
  <c r="D131" i="5" s="1"/>
  <c r="C130" i="5"/>
  <c r="D130" i="5" s="1"/>
  <c r="C129" i="5"/>
  <c r="D129" i="5" s="1"/>
  <c r="C128" i="5"/>
  <c r="D128" i="5" s="1"/>
  <c r="C127" i="5"/>
  <c r="D127" i="5" s="1"/>
  <c r="C126" i="5"/>
  <c r="D126" i="5" s="1"/>
  <c r="C125" i="5"/>
  <c r="D125" i="5" s="1"/>
  <c r="C124" i="5"/>
  <c r="D124" i="5" s="1"/>
  <c r="C123" i="5"/>
  <c r="D123" i="5" s="1"/>
  <c r="C122" i="5"/>
  <c r="D122" i="5" s="1"/>
  <c r="C121" i="5"/>
  <c r="D121" i="5" s="1"/>
  <c r="C120" i="5"/>
  <c r="D120" i="5" s="1"/>
  <c r="C119" i="5"/>
  <c r="D119" i="5" s="1"/>
  <c r="C118" i="5"/>
  <c r="D118" i="5" s="1"/>
  <c r="C117" i="5"/>
  <c r="D117" i="5" s="1"/>
  <c r="C116" i="5"/>
  <c r="D116" i="5" s="1"/>
  <c r="C115" i="5"/>
  <c r="D115" i="5" s="1"/>
  <c r="C114" i="5"/>
  <c r="D114" i="5" s="1"/>
  <c r="C113" i="5"/>
  <c r="D113" i="5" s="1"/>
  <c r="C112" i="5"/>
  <c r="D112" i="5" s="1"/>
  <c r="C111" i="5"/>
  <c r="D111" i="5" s="1"/>
  <c r="C110" i="5"/>
  <c r="D110" i="5" s="1"/>
  <c r="C109" i="5"/>
  <c r="D109" i="5" s="1"/>
  <c r="C108" i="5"/>
  <c r="D108" i="5" s="1"/>
  <c r="C107" i="5"/>
  <c r="D107" i="5" s="1"/>
  <c r="C106" i="5"/>
  <c r="D106" i="5" s="1"/>
  <c r="C105" i="5"/>
  <c r="D105" i="5" s="1"/>
  <c r="C104" i="5"/>
  <c r="D104" i="5" s="1"/>
  <c r="C103" i="5"/>
  <c r="D103" i="5" s="1"/>
  <c r="C102" i="5"/>
  <c r="D102" i="5" s="1"/>
  <c r="C101" i="5"/>
  <c r="D101" i="5" s="1"/>
  <c r="C100" i="5"/>
  <c r="D100" i="5" s="1"/>
  <c r="C99" i="5"/>
  <c r="D99" i="5" s="1"/>
  <c r="C98" i="5"/>
  <c r="D98" i="5" s="1"/>
  <c r="C97" i="5"/>
  <c r="D97" i="5" s="1"/>
  <c r="C96" i="5"/>
  <c r="D96" i="5" s="1"/>
  <c r="C95" i="5"/>
  <c r="D95" i="5" s="1"/>
  <c r="C94" i="5"/>
  <c r="D94" i="5" s="1"/>
  <c r="C93" i="5"/>
  <c r="D93" i="5" s="1"/>
  <c r="C92" i="5"/>
  <c r="D92" i="5" s="1"/>
  <c r="C91" i="5"/>
  <c r="D91" i="5" s="1"/>
  <c r="C90" i="5"/>
  <c r="D90" i="5" s="1"/>
  <c r="C89" i="5"/>
  <c r="D89" i="5" s="1"/>
  <c r="C88" i="5"/>
  <c r="D88" i="5" s="1"/>
  <c r="C87" i="5"/>
  <c r="D87" i="5" s="1"/>
  <c r="C86" i="5"/>
  <c r="D86" i="5" s="1"/>
  <c r="C85" i="5"/>
  <c r="D85" i="5" s="1"/>
  <c r="C84" i="5"/>
  <c r="D84" i="5" s="1"/>
  <c r="C83" i="5"/>
  <c r="D83" i="5" s="1"/>
  <c r="C82" i="5"/>
  <c r="D82" i="5" s="1"/>
  <c r="C81" i="5"/>
  <c r="D81" i="5" s="1"/>
  <c r="C80" i="5"/>
  <c r="D80" i="5" s="1"/>
  <c r="C79" i="5"/>
  <c r="D79" i="5" s="1"/>
  <c r="C78" i="5"/>
  <c r="D78" i="5" s="1"/>
  <c r="C77" i="5"/>
  <c r="D77" i="5" s="1"/>
  <c r="C76" i="5"/>
  <c r="D76" i="5" s="1"/>
  <c r="C75" i="5"/>
  <c r="D75" i="5" s="1"/>
  <c r="C74" i="5"/>
  <c r="D74" i="5" s="1"/>
  <c r="S73" i="5"/>
  <c r="T73" i="5" s="1"/>
  <c r="Z73" i="5" s="1"/>
  <c r="C73" i="5"/>
  <c r="D73" i="5" s="1"/>
  <c r="S72" i="5"/>
  <c r="T72" i="5" s="1"/>
  <c r="C72" i="5"/>
  <c r="D72" i="5" s="1"/>
  <c r="S71" i="5"/>
  <c r="T71" i="5" s="1"/>
  <c r="C71" i="5"/>
  <c r="D71" i="5" s="1"/>
  <c r="S70" i="5"/>
  <c r="T70" i="5" s="1"/>
  <c r="C70" i="5"/>
  <c r="D70" i="5" s="1"/>
  <c r="S69" i="5"/>
  <c r="T69" i="5" s="1"/>
  <c r="C69" i="5"/>
  <c r="D69" i="5" s="1"/>
  <c r="S68" i="5"/>
  <c r="T68" i="5" s="1"/>
  <c r="Z68" i="5" s="1"/>
  <c r="C68" i="5"/>
  <c r="D68" i="5" s="1"/>
  <c r="S67" i="5"/>
  <c r="T67" i="5" s="1"/>
  <c r="Z67" i="5" s="1"/>
  <c r="C67" i="5"/>
  <c r="D67" i="5" s="1"/>
  <c r="S66" i="5"/>
  <c r="T66" i="5" s="1"/>
  <c r="Z66" i="5" s="1"/>
  <c r="C66" i="5"/>
  <c r="D66" i="5" s="1"/>
  <c r="S65" i="5"/>
  <c r="T65" i="5" s="1"/>
  <c r="Z65" i="5" s="1"/>
  <c r="C65" i="5"/>
  <c r="D65" i="5" s="1"/>
  <c r="S64" i="5"/>
  <c r="T64" i="5" s="1"/>
  <c r="Z64" i="5" s="1"/>
  <c r="C64" i="5"/>
  <c r="D64" i="5" s="1"/>
  <c r="S63" i="5"/>
  <c r="T63" i="5" s="1"/>
  <c r="C63" i="5"/>
  <c r="D63" i="5" s="1"/>
  <c r="S62" i="5"/>
  <c r="C62" i="5"/>
  <c r="D62" i="5" s="1"/>
  <c r="S61" i="5"/>
  <c r="T61" i="5" s="1"/>
  <c r="C61" i="5"/>
  <c r="D61" i="5" s="1"/>
  <c r="S60" i="5"/>
  <c r="T60" i="5" s="1"/>
  <c r="C60" i="5"/>
  <c r="D60" i="5" s="1"/>
  <c r="S59" i="5"/>
  <c r="T59" i="5" s="1"/>
  <c r="Z59" i="5" s="1"/>
  <c r="C59" i="5"/>
  <c r="D59" i="5" s="1"/>
  <c r="S58" i="5"/>
  <c r="C58" i="5"/>
  <c r="D58" i="5" s="1"/>
  <c r="S57" i="5"/>
  <c r="C57" i="5"/>
  <c r="D57" i="5" s="1"/>
  <c r="S56" i="5"/>
  <c r="T56" i="5" s="1"/>
  <c r="C56" i="5"/>
  <c r="D56" i="5" s="1"/>
  <c r="S55" i="5"/>
  <c r="T55" i="5" s="1"/>
  <c r="Z55" i="5" s="1"/>
  <c r="C55" i="5"/>
  <c r="D55" i="5" s="1"/>
  <c r="S54" i="5"/>
  <c r="T54" i="5" s="1"/>
  <c r="Z54" i="5" s="1"/>
  <c r="C54" i="5"/>
  <c r="D54" i="5" s="1"/>
  <c r="S53" i="5"/>
  <c r="T53" i="5" s="1"/>
  <c r="C53" i="5"/>
  <c r="D53" i="5" s="1"/>
  <c r="S52" i="5"/>
  <c r="T52" i="5" s="1"/>
  <c r="C52" i="5"/>
  <c r="D52" i="5" s="1"/>
  <c r="S51" i="5"/>
  <c r="T51" i="5" s="1"/>
  <c r="C51" i="5"/>
  <c r="D51" i="5" s="1"/>
  <c r="S50" i="5"/>
  <c r="T50" i="5" s="1"/>
  <c r="Z50" i="5" s="1"/>
  <c r="C50" i="5"/>
  <c r="D50" i="5" s="1"/>
  <c r="S49" i="5"/>
  <c r="C49" i="5"/>
  <c r="D49" i="5" s="1"/>
  <c r="S48" i="5"/>
  <c r="T48" i="5" s="1"/>
  <c r="C48" i="5"/>
  <c r="D48" i="5" s="1"/>
  <c r="S47" i="5"/>
  <c r="T47" i="5" s="1"/>
  <c r="C47" i="5"/>
  <c r="D47" i="5" s="1"/>
  <c r="S46" i="5"/>
  <c r="C46" i="5"/>
  <c r="D46" i="5" s="1"/>
  <c r="S45" i="5"/>
  <c r="C45" i="5"/>
  <c r="D45" i="5" s="1"/>
  <c r="S44" i="5"/>
  <c r="T44" i="5" s="1"/>
  <c r="Z44" i="5" s="1"/>
  <c r="C44" i="5"/>
  <c r="D44" i="5" s="1"/>
  <c r="S43" i="5"/>
  <c r="C43" i="5"/>
  <c r="D43" i="5" s="1"/>
  <c r="S42" i="5"/>
  <c r="T42" i="5" s="1"/>
  <c r="C42" i="5"/>
  <c r="D42" i="5" s="1"/>
  <c r="S41" i="5"/>
  <c r="T41" i="5" s="1"/>
  <c r="C41" i="5"/>
  <c r="D41" i="5" s="1"/>
  <c r="S40" i="5"/>
  <c r="T40" i="5" s="1"/>
  <c r="C40" i="5"/>
  <c r="D40" i="5" s="1"/>
  <c r="C39" i="5"/>
  <c r="D39" i="5" s="1"/>
  <c r="C38" i="5"/>
  <c r="D38" i="5" s="1"/>
  <c r="U37" i="5"/>
  <c r="S37" i="5"/>
  <c r="T37" i="5" s="1"/>
  <c r="AA37" i="5" s="1"/>
  <c r="C37" i="5"/>
  <c r="D37" i="5" s="1"/>
  <c r="U36" i="5"/>
  <c r="S36" i="5"/>
  <c r="T36" i="5" s="1"/>
  <c r="C36" i="5"/>
  <c r="D36" i="5" s="1"/>
  <c r="U35" i="5"/>
  <c r="S35" i="5"/>
  <c r="T35" i="5" s="1"/>
  <c r="C35" i="5"/>
  <c r="D35" i="5" s="1"/>
  <c r="U34" i="5"/>
  <c r="S34" i="5"/>
  <c r="T34" i="5" s="1"/>
  <c r="C34" i="5"/>
  <c r="D34" i="5" s="1"/>
  <c r="U33" i="5"/>
  <c r="S33" i="5"/>
  <c r="T33" i="5" s="1"/>
  <c r="C33" i="5"/>
  <c r="D33" i="5" s="1"/>
  <c r="U32" i="5"/>
  <c r="S32" i="5"/>
  <c r="T32" i="5" s="1"/>
  <c r="C32" i="5"/>
  <c r="D32" i="5" s="1"/>
  <c r="U31" i="5"/>
  <c r="S31" i="5"/>
  <c r="T31" i="5" s="1"/>
  <c r="AA31" i="5" s="1"/>
  <c r="C31" i="5"/>
  <c r="D31" i="5" s="1"/>
  <c r="U30" i="5"/>
  <c r="S30" i="5"/>
  <c r="T30" i="5" s="1"/>
  <c r="C30" i="5"/>
  <c r="D30" i="5" s="1"/>
  <c r="U29" i="5"/>
  <c r="S29" i="5"/>
  <c r="T29" i="5" s="1"/>
  <c r="AA29" i="5" s="1"/>
  <c r="C29" i="5"/>
  <c r="D29" i="5" s="1"/>
  <c r="U28" i="5"/>
  <c r="S28" i="5"/>
  <c r="T28" i="5" s="1"/>
  <c r="C28" i="5"/>
  <c r="D28" i="5" s="1"/>
  <c r="U27" i="5"/>
  <c r="S27" i="5"/>
  <c r="T27" i="5" s="1"/>
  <c r="C27" i="5"/>
  <c r="D27" i="5" s="1"/>
  <c r="U26" i="5"/>
  <c r="S26" i="5"/>
  <c r="T26" i="5" s="1"/>
  <c r="C26" i="5"/>
  <c r="D26" i="5" s="1"/>
  <c r="U25" i="5"/>
  <c r="S25" i="5"/>
  <c r="T25" i="5" s="1"/>
  <c r="C25" i="5"/>
  <c r="D25" i="5" s="1"/>
  <c r="U24" i="5"/>
  <c r="S24" i="5"/>
  <c r="T24" i="5" s="1"/>
  <c r="C24" i="5"/>
  <c r="D24" i="5" s="1"/>
  <c r="U23" i="5"/>
  <c r="S23" i="5"/>
  <c r="T23" i="5" s="1"/>
  <c r="AA23" i="5" s="1"/>
  <c r="C23" i="5"/>
  <c r="D23" i="5" s="1"/>
  <c r="U22" i="5"/>
  <c r="S22" i="5"/>
  <c r="T22" i="5" s="1"/>
  <c r="C22" i="5"/>
  <c r="D22" i="5" s="1"/>
  <c r="U21" i="5"/>
  <c r="S21" i="5"/>
  <c r="T21" i="5" s="1"/>
  <c r="AA21" i="5" s="1"/>
  <c r="C21" i="5"/>
  <c r="D21" i="5" s="1"/>
  <c r="U20" i="5"/>
  <c r="S20" i="5"/>
  <c r="T20" i="5" s="1"/>
  <c r="C20" i="5"/>
  <c r="D20" i="5" s="1"/>
  <c r="U19" i="5"/>
  <c r="S19" i="5"/>
  <c r="T19" i="5" s="1"/>
  <c r="C19" i="5"/>
  <c r="D19" i="5" s="1"/>
  <c r="U18" i="5"/>
  <c r="S18" i="5"/>
  <c r="T18" i="5" s="1"/>
  <c r="C18" i="5"/>
  <c r="D18" i="5" s="1"/>
  <c r="U17" i="5"/>
  <c r="S17" i="5"/>
  <c r="T17" i="5" s="1"/>
  <c r="AA17" i="5" s="1"/>
  <c r="C17" i="5"/>
  <c r="D17" i="5" s="1"/>
  <c r="U16" i="5"/>
  <c r="S16" i="5"/>
  <c r="T16" i="5" s="1"/>
  <c r="C16" i="5"/>
  <c r="D16" i="5" s="1"/>
  <c r="U15" i="5"/>
  <c r="S15" i="5"/>
  <c r="T15" i="5" s="1"/>
  <c r="C15" i="5"/>
  <c r="D15" i="5" s="1"/>
  <c r="U14" i="5"/>
  <c r="S14" i="5"/>
  <c r="T14" i="5" s="1"/>
  <c r="C14" i="5"/>
  <c r="D14" i="5" s="1"/>
  <c r="U13" i="5"/>
  <c r="S13" i="5"/>
  <c r="T13" i="5" s="1"/>
  <c r="C13" i="5"/>
  <c r="D13" i="5" s="1"/>
  <c r="U12" i="5"/>
  <c r="S12" i="5"/>
  <c r="T12" i="5" s="1"/>
  <c r="AA12" i="5" s="1"/>
  <c r="C12" i="5"/>
  <c r="D12" i="5" s="1"/>
  <c r="U11" i="5"/>
  <c r="S11" i="5"/>
  <c r="T11" i="5" s="1"/>
  <c r="C11" i="5"/>
  <c r="D11" i="5" s="1"/>
  <c r="U10" i="5"/>
  <c r="S10" i="5"/>
  <c r="T10" i="5" s="1"/>
  <c r="C10" i="5"/>
  <c r="D10" i="5" s="1"/>
  <c r="U9" i="5"/>
  <c r="S9" i="5"/>
  <c r="T9" i="5" s="1"/>
  <c r="C9" i="5"/>
  <c r="D9" i="5" s="1"/>
  <c r="U8" i="5"/>
  <c r="S8" i="5"/>
  <c r="T8" i="5" s="1"/>
  <c r="C8" i="5"/>
  <c r="D8" i="5" s="1"/>
  <c r="U7" i="5"/>
  <c r="S7" i="5"/>
  <c r="T7" i="5" s="1"/>
  <c r="C7" i="5"/>
  <c r="D7" i="5" s="1"/>
  <c r="U6" i="5"/>
  <c r="S6" i="5"/>
  <c r="T6" i="5" s="1"/>
  <c r="C6" i="5"/>
  <c r="D6" i="5" s="1"/>
  <c r="U5" i="5"/>
  <c r="S5" i="5"/>
  <c r="T5" i="5" s="1"/>
  <c r="AA5" i="5" s="1"/>
  <c r="C5" i="5"/>
  <c r="D5" i="5" s="1"/>
  <c r="U4" i="5"/>
  <c r="S4" i="5"/>
  <c r="T4" i="5" s="1"/>
  <c r="C4" i="5"/>
  <c r="D4" i="5" s="1"/>
  <c r="C3" i="5"/>
  <c r="D3" i="5" s="1"/>
  <c r="C2" i="5"/>
  <c r="D2" i="5" s="1"/>
  <c r="C1" i="5"/>
  <c r="D1" i="5" s="1"/>
  <c r="W12" i="4"/>
  <c r="W14" i="4"/>
  <c r="T31" i="4"/>
  <c r="W31" i="4" s="1"/>
  <c r="X31" i="4" s="1"/>
  <c r="T32" i="4"/>
  <c r="W32" i="4" s="1"/>
  <c r="X32" i="4" s="1"/>
  <c r="R11" i="4"/>
  <c r="R12" i="4"/>
  <c r="S12" i="4" s="1"/>
  <c r="R13" i="4"/>
  <c r="R14" i="4"/>
  <c r="R15" i="4"/>
  <c r="R16" i="4"/>
  <c r="R17" i="4"/>
  <c r="R18" i="4"/>
  <c r="S18" i="4" s="1"/>
  <c r="T18" i="4" s="1"/>
  <c r="W18" i="4" s="1"/>
  <c r="X18" i="4" s="1"/>
  <c r="R19" i="4"/>
  <c r="S19" i="4" s="1"/>
  <c r="T19" i="4" s="1"/>
  <c r="W19" i="4" s="1"/>
  <c r="X19" i="4" s="1"/>
  <c r="R20" i="4"/>
  <c r="R21" i="4"/>
  <c r="S21" i="4" s="1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S37" i="4" s="1"/>
  <c r="R38" i="4"/>
  <c r="R10" i="4"/>
  <c r="J5" i="4"/>
  <c r="C1530" i="4"/>
  <c r="D1530" i="4" s="1"/>
  <c r="C1529" i="4"/>
  <c r="D1529" i="4" s="1"/>
  <c r="C1528" i="4"/>
  <c r="D1528" i="4" s="1"/>
  <c r="C1527" i="4"/>
  <c r="D1527" i="4" s="1"/>
  <c r="C1526" i="4"/>
  <c r="D1526" i="4" s="1"/>
  <c r="C1525" i="4"/>
  <c r="D1525" i="4" s="1"/>
  <c r="C1524" i="4"/>
  <c r="D1524" i="4" s="1"/>
  <c r="C1523" i="4"/>
  <c r="D1523" i="4" s="1"/>
  <c r="C1522" i="4"/>
  <c r="D1522" i="4" s="1"/>
  <c r="C1521" i="4"/>
  <c r="D1521" i="4" s="1"/>
  <c r="D1520" i="4"/>
  <c r="C1520" i="4"/>
  <c r="C1519" i="4"/>
  <c r="D1519" i="4" s="1"/>
  <c r="C1518" i="4"/>
  <c r="D1518" i="4" s="1"/>
  <c r="C1517" i="4"/>
  <c r="D1517" i="4" s="1"/>
  <c r="C1516" i="4"/>
  <c r="D1516" i="4" s="1"/>
  <c r="C1515" i="4"/>
  <c r="D1515" i="4" s="1"/>
  <c r="C1514" i="4"/>
  <c r="D1514" i="4" s="1"/>
  <c r="C1513" i="4"/>
  <c r="D1513" i="4" s="1"/>
  <c r="C1512" i="4"/>
  <c r="D1512" i="4" s="1"/>
  <c r="C1511" i="4"/>
  <c r="D1511" i="4" s="1"/>
  <c r="C1510" i="4"/>
  <c r="D1510" i="4" s="1"/>
  <c r="C1509" i="4"/>
  <c r="D1509" i="4" s="1"/>
  <c r="D1508" i="4"/>
  <c r="C1508" i="4"/>
  <c r="C1507" i="4"/>
  <c r="D1507" i="4" s="1"/>
  <c r="C1506" i="4"/>
  <c r="D1506" i="4" s="1"/>
  <c r="C1505" i="4"/>
  <c r="D1505" i="4" s="1"/>
  <c r="C1504" i="4"/>
  <c r="D1504" i="4" s="1"/>
  <c r="C1503" i="4"/>
  <c r="D1503" i="4" s="1"/>
  <c r="C1502" i="4"/>
  <c r="D1502" i="4" s="1"/>
  <c r="C1501" i="4"/>
  <c r="D1501" i="4" s="1"/>
  <c r="C1500" i="4"/>
  <c r="D1500" i="4" s="1"/>
  <c r="C1499" i="4"/>
  <c r="D1499" i="4" s="1"/>
  <c r="C1498" i="4"/>
  <c r="D1498" i="4" s="1"/>
  <c r="C1497" i="4"/>
  <c r="D1497" i="4" s="1"/>
  <c r="C1496" i="4"/>
  <c r="D1496" i="4" s="1"/>
  <c r="C1495" i="4"/>
  <c r="D1495" i="4" s="1"/>
  <c r="C1494" i="4"/>
  <c r="D1494" i="4" s="1"/>
  <c r="C1493" i="4"/>
  <c r="D1493" i="4" s="1"/>
  <c r="C1492" i="4"/>
  <c r="D1492" i="4" s="1"/>
  <c r="C1491" i="4"/>
  <c r="D1491" i="4" s="1"/>
  <c r="C1490" i="4"/>
  <c r="D1490" i="4" s="1"/>
  <c r="C1489" i="4"/>
  <c r="D1489" i="4" s="1"/>
  <c r="C1488" i="4"/>
  <c r="D1488" i="4" s="1"/>
  <c r="C1487" i="4"/>
  <c r="D1487" i="4" s="1"/>
  <c r="C1486" i="4"/>
  <c r="D1486" i="4" s="1"/>
  <c r="C1485" i="4"/>
  <c r="D1485" i="4" s="1"/>
  <c r="C1484" i="4"/>
  <c r="D1484" i="4" s="1"/>
  <c r="C1483" i="4"/>
  <c r="D1483" i="4" s="1"/>
  <c r="C1482" i="4"/>
  <c r="D1482" i="4" s="1"/>
  <c r="C1481" i="4"/>
  <c r="D1481" i="4" s="1"/>
  <c r="C1480" i="4"/>
  <c r="D1480" i="4" s="1"/>
  <c r="C1479" i="4"/>
  <c r="D1479" i="4" s="1"/>
  <c r="C1478" i="4"/>
  <c r="D1478" i="4" s="1"/>
  <c r="C1477" i="4"/>
  <c r="D1477" i="4" s="1"/>
  <c r="C1476" i="4"/>
  <c r="D1476" i="4" s="1"/>
  <c r="C1475" i="4"/>
  <c r="D1475" i="4" s="1"/>
  <c r="C1474" i="4"/>
  <c r="D1474" i="4" s="1"/>
  <c r="C1473" i="4"/>
  <c r="D1473" i="4" s="1"/>
  <c r="C1472" i="4"/>
  <c r="D1472" i="4" s="1"/>
  <c r="C1471" i="4"/>
  <c r="D1471" i="4" s="1"/>
  <c r="C1470" i="4"/>
  <c r="D1470" i="4" s="1"/>
  <c r="C1469" i="4"/>
  <c r="D1469" i="4" s="1"/>
  <c r="D1468" i="4"/>
  <c r="C1468" i="4"/>
  <c r="C1467" i="4"/>
  <c r="D1467" i="4" s="1"/>
  <c r="C1466" i="4"/>
  <c r="D1466" i="4" s="1"/>
  <c r="C1465" i="4"/>
  <c r="D1465" i="4" s="1"/>
  <c r="C1464" i="4"/>
  <c r="D1464" i="4" s="1"/>
  <c r="C1463" i="4"/>
  <c r="D1463" i="4" s="1"/>
  <c r="C1462" i="4"/>
  <c r="D1462" i="4" s="1"/>
  <c r="C1461" i="4"/>
  <c r="D1461" i="4" s="1"/>
  <c r="C1460" i="4"/>
  <c r="D1460" i="4" s="1"/>
  <c r="C1459" i="4"/>
  <c r="D1459" i="4" s="1"/>
  <c r="C1458" i="4"/>
  <c r="D1458" i="4" s="1"/>
  <c r="C1457" i="4"/>
  <c r="D1457" i="4" s="1"/>
  <c r="C1456" i="4"/>
  <c r="D1456" i="4" s="1"/>
  <c r="C1455" i="4"/>
  <c r="D1455" i="4" s="1"/>
  <c r="C1454" i="4"/>
  <c r="D1454" i="4" s="1"/>
  <c r="C1453" i="4"/>
  <c r="D1453" i="4" s="1"/>
  <c r="C1452" i="4"/>
  <c r="D1452" i="4" s="1"/>
  <c r="C1451" i="4"/>
  <c r="D1451" i="4" s="1"/>
  <c r="C1450" i="4"/>
  <c r="D1450" i="4" s="1"/>
  <c r="C1449" i="4"/>
  <c r="D1449" i="4" s="1"/>
  <c r="C1448" i="4"/>
  <c r="D1448" i="4" s="1"/>
  <c r="C1447" i="4"/>
  <c r="D1447" i="4" s="1"/>
  <c r="C1446" i="4"/>
  <c r="D1446" i="4" s="1"/>
  <c r="C1445" i="4"/>
  <c r="D1445" i="4" s="1"/>
  <c r="C1444" i="4"/>
  <c r="D1444" i="4" s="1"/>
  <c r="C1443" i="4"/>
  <c r="D1443" i="4" s="1"/>
  <c r="C1442" i="4"/>
  <c r="D1442" i="4" s="1"/>
  <c r="C1441" i="4"/>
  <c r="D1441" i="4" s="1"/>
  <c r="C1440" i="4"/>
  <c r="D1440" i="4" s="1"/>
  <c r="C1439" i="4"/>
  <c r="D1439" i="4" s="1"/>
  <c r="C1438" i="4"/>
  <c r="D1438" i="4" s="1"/>
  <c r="C1437" i="4"/>
  <c r="D1437" i="4" s="1"/>
  <c r="C1436" i="4"/>
  <c r="D1436" i="4" s="1"/>
  <c r="C1435" i="4"/>
  <c r="D1435" i="4" s="1"/>
  <c r="C1434" i="4"/>
  <c r="D1434" i="4" s="1"/>
  <c r="C1433" i="4"/>
  <c r="D1433" i="4" s="1"/>
  <c r="C1432" i="4"/>
  <c r="D1432" i="4" s="1"/>
  <c r="C1431" i="4"/>
  <c r="D1431" i="4" s="1"/>
  <c r="C1430" i="4"/>
  <c r="D1430" i="4" s="1"/>
  <c r="C1429" i="4"/>
  <c r="D1429" i="4" s="1"/>
  <c r="C1428" i="4"/>
  <c r="D1428" i="4" s="1"/>
  <c r="C1427" i="4"/>
  <c r="D1427" i="4" s="1"/>
  <c r="C1426" i="4"/>
  <c r="D1426" i="4" s="1"/>
  <c r="C1425" i="4"/>
  <c r="D1425" i="4" s="1"/>
  <c r="C1424" i="4"/>
  <c r="D1424" i="4" s="1"/>
  <c r="C1423" i="4"/>
  <c r="D1423" i="4" s="1"/>
  <c r="C1422" i="4"/>
  <c r="D1422" i="4" s="1"/>
  <c r="C1421" i="4"/>
  <c r="D1421" i="4" s="1"/>
  <c r="C1420" i="4"/>
  <c r="D1420" i="4" s="1"/>
  <c r="C1419" i="4"/>
  <c r="D1419" i="4" s="1"/>
  <c r="C1418" i="4"/>
  <c r="D1418" i="4" s="1"/>
  <c r="C1417" i="4"/>
  <c r="D1417" i="4" s="1"/>
  <c r="C1416" i="4"/>
  <c r="D1416" i="4" s="1"/>
  <c r="C1415" i="4"/>
  <c r="D1415" i="4" s="1"/>
  <c r="C1414" i="4"/>
  <c r="D1414" i="4" s="1"/>
  <c r="C1413" i="4"/>
  <c r="D1413" i="4" s="1"/>
  <c r="C1412" i="4"/>
  <c r="D1412" i="4" s="1"/>
  <c r="C1411" i="4"/>
  <c r="D1411" i="4" s="1"/>
  <c r="C1410" i="4"/>
  <c r="D1410" i="4" s="1"/>
  <c r="C1409" i="4"/>
  <c r="D1409" i="4" s="1"/>
  <c r="C1408" i="4"/>
  <c r="D1408" i="4" s="1"/>
  <c r="C1407" i="4"/>
  <c r="D1407" i="4" s="1"/>
  <c r="C1406" i="4"/>
  <c r="D1406" i="4" s="1"/>
  <c r="C1405" i="4"/>
  <c r="D1405" i="4" s="1"/>
  <c r="C1404" i="4"/>
  <c r="D1404" i="4" s="1"/>
  <c r="C1403" i="4"/>
  <c r="D1403" i="4" s="1"/>
  <c r="C1402" i="4"/>
  <c r="D1402" i="4" s="1"/>
  <c r="C1401" i="4"/>
  <c r="D1401" i="4" s="1"/>
  <c r="C1400" i="4"/>
  <c r="D1400" i="4" s="1"/>
  <c r="C1399" i="4"/>
  <c r="D1399" i="4" s="1"/>
  <c r="C1398" i="4"/>
  <c r="D1398" i="4" s="1"/>
  <c r="C1397" i="4"/>
  <c r="D1397" i="4" s="1"/>
  <c r="C1396" i="4"/>
  <c r="D1396" i="4" s="1"/>
  <c r="C1395" i="4"/>
  <c r="D1395" i="4" s="1"/>
  <c r="C1394" i="4"/>
  <c r="D1394" i="4" s="1"/>
  <c r="C1393" i="4"/>
  <c r="D1393" i="4" s="1"/>
  <c r="C1392" i="4"/>
  <c r="D1392" i="4" s="1"/>
  <c r="C1391" i="4"/>
  <c r="D1391" i="4" s="1"/>
  <c r="C1390" i="4"/>
  <c r="D1390" i="4" s="1"/>
  <c r="C1389" i="4"/>
  <c r="D1389" i="4" s="1"/>
  <c r="C1388" i="4"/>
  <c r="D1388" i="4" s="1"/>
  <c r="C1387" i="4"/>
  <c r="D1387" i="4" s="1"/>
  <c r="C1386" i="4"/>
  <c r="D1386" i="4" s="1"/>
  <c r="C1385" i="4"/>
  <c r="D1385" i="4" s="1"/>
  <c r="C1384" i="4"/>
  <c r="D1384" i="4" s="1"/>
  <c r="C1383" i="4"/>
  <c r="D1383" i="4" s="1"/>
  <c r="C1382" i="4"/>
  <c r="D1382" i="4" s="1"/>
  <c r="C1381" i="4"/>
  <c r="D1381" i="4" s="1"/>
  <c r="C1380" i="4"/>
  <c r="D1380" i="4" s="1"/>
  <c r="C1379" i="4"/>
  <c r="D1379" i="4" s="1"/>
  <c r="C1378" i="4"/>
  <c r="D1378" i="4" s="1"/>
  <c r="C1377" i="4"/>
  <c r="D1377" i="4" s="1"/>
  <c r="C1376" i="4"/>
  <c r="D1376" i="4" s="1"/>
  <c r="C1375" i="4"/>
  <c r="D1375" i="4" s="1"/>
  <c r="C1374" i="4"/>
  <c r="D1374" i="4" s="1"/>
  <c r="C1373" i="4"/>
  <c r="D1373" i="4" s="1"/>
  <c r="C1372" i="4"/>
  <c r="D1372" i="4" s="1"/>
  <c r="C1371" i="4"/>
  <c r="D1371" i="4" s="1"/>
  <c r="C1370" i="4"/>
  <c r="D1370" i="4" s="1"/>
  <c r="C1369" i="4"/>
  <c r="D1369" i="4" s="1"/>
  <c r="C1368" i="4"/>
  <c r="D1368" i="4" s="1"/>
  <c r="C1367" i="4"/>
  <c r="D1367" i="4" s="1"/>
  <c r="C1366" i="4"/>
  <c r="D1366" i="4" s="1"/>
  <c r="C1365" i="4"/>
  <c r="D1365" i="4" s="1"/>
  <c r="C1364" i="4"/>
  <c r="D1364" i="4" s="1"/>
  <c r="C1363" i="4"/>
  <c r="D1363" i="4" s="1"/>
  <c r="C1362" i="4"/>
  <c r="D1362" i="4" s="1"/>
  <c r="C1361" i="4"/>
  <c r="D1361" i="4" s="1"/>
  <c r="C1360" i="4"/>
  <c r="D1360" i="4" s="1"/>
  <c r="C1359" i="4"/>
  <c r="D1359" i="4" s="1"/>
  <c r="C1358" i="4"/>
  <c r="D1358" i="4" s="1"/>
  <c r="C1357" i="4"/>
  <c r="D1357" i="4" s="1"/>
  <c r="C1356" i="4"/>
  <c r="D1356" i="4" s="1"/>
  <c r="C1355" i="4"/>
  <c r="D1355" i="4" s="1"/>
  <c r="C1354" i="4"/>
  <c r="D1354" i="4" s="1"/>
  <c r="C1353" i="4"/>
  <c r="D1353" i="4" s="1"/>
  <c r="C1352" i="4"/>
  <c r="D1352" i="4" s="1"/>
  <c r="C1351" i="4"/>
  <c r="D1351" i="4" s="1"/>
  <c r="C1350" i="4"/>
  <c r="D1350" i="4" s="1"/>
  <c r="C1349" i="4"/>
  <c r="D1349" i="4" s="1"/>
  <c r="C1348" i="4"/>
  <c r="D1348" i="4" s="1"/>
  <c r="C1347" i="4"/>
  <c r="D1347" i="4" s="1"/>
  <c r="C1346" i="4"/>
  <c r="D1346" i="4" s="1"/>
  <c r="C1345" i="4"/>
  <c r="D1345" i="4" s="1"/>
  <c r="C1344" i="4"/>
  <c r="D1344" i="4" s="1"/>
  <c r="C1343" i="4"/>
  <c r="D1343" i="4" s="1"/>
  <c r="C1342" i="4"/>
  <c r="D1342" i="4" s="1"/>
  <c r="C1341" i="4"/>
  <c r="D1341" i="4" s="1"/>
  <c r="C1340" i="4"/>
  <c r="D1340" i="4" s="1"/>
  <c r="C1339" i="4"/>
  <c r="D1339" i="4" s="1"/>
  <c r="C1338" i="4"/>
  <c r="D1338" i="4" s="1"/>
  <c r="C1337" i="4"/>
  <c r="D1337" i="4" s="1"/>
  <c r="C1336" i="4"/>
  <c r="D1336" i="4" s="1"/>
  <c r="C1335" i="4"/>
  <c r="D1335" i="4" s="1"/>
  <c r="C1334" i="4"/>
  <c r="D1334" i="4" s="1"/>
  <c r="C1333" i="4"/>
  <c r="D1333" i="4" s="1"/>
  <c r="C1332" i="4"/>
  <c r="D1332" i="4" s="1"/>
  <c r="C1331" i="4"/>
  <c r="D1331" i="4" s="1"/>
  <c r="C1330" i="4"/>
  <c r="D1330" i="4" s="1"/>
  <c r="C1329" i="4"/>
  <c r="D1329" i="4" s="1"/>
  <c r="C1328" i="4"/>
  <c r="D1328" i="4" s="1"/>
  <c r="C1327" i="4"/>
  <c r="D1327" i="4" s="1"/>
  <c r="C1326" i="4"/>
  <c r="D1326" i="4" s="1"/>
  <c r="C1325" i="4"/>
  <c r="D1325" i="4" s="1"/>
  <c r="C1324" i="4"/>
  <c r="D1324" i="4" s="1"/>
  <c r="C1323" i="4"/>
  <c r="D1323" i="4" s="1"/>
  <c r="C1322" i="4"/>
  <c r="D1322" i="4" s="1"/>
  <c r="C1321" i="4"/>
  <c r="D1321" i="4" s="1"/>
  <c r="C1320" i="4"/>
  <c r="D1320" i="4" s="1"/>
  <c r="C1319" i="4"/>
  <c r="D1319" i="4" s="1"/>
  <c r="C1318" i="4"/>
  <c r="D1318" i="4" s="1"/>
  <c r="C1317" i="4"/>
  <c r="D1317" i="4" s="1"/>
  <c r="C1316" i="4"/>
  <c r="D1316" i="4" s="1"/>
  <c r="C1315" i="4"/>
  <c r="D1315" i="4" s="1"/>
  <c r="C1314" i="4"/>
  <c r="D1314" i="4" s="1"/>
  <c r="C1313" i="4"/>
  <c r="D1313" i="4" s="1"/>
  <c r="C1312" i="4"/>
  <c r="D1312" i="4" s="1"/>
  <c r="C1311" i="4"/>
  <c r="D1311" i="4" s="1"/>
  <c r="C1310" i="4"/>
  <c r="D1310" i="4" s="1"/>
  <c r="C1309" i="4"/>
  <c r="D1309" i="4" s="1"/>
  <c r="C1308" i="4"/>
  <c r="D1308" i="4" s="1"/>
  <c r="C1307" i="4"/>
  <c r="D1307" i="4" s="1"/>
  <c r="C1306" i="4"/>
  <c r="D1306" i="4" s="1"/>
  <c r="C1305" i="4"/>
  <c r="D1305" i="4" s="1"/>
  <c r="C1304" i="4"/>
  <c r="D1304" i="4" s="1"/>
  <c r="C1303" i="4"/>
  <c r="D1303" i="4" s="1"/>
  <c r="C1302" i="4"/>
  <c r="D1302" i="4" s="1"/>
  <c r="C1301" i="4"/>
  <c r="D1301" i="4" s="1"/>
  <c r="C1300" i="4"/>
  <c r="D1300" i="4" s="1"/>
  <c r="C1299" i="4"/>
  <c r="D1299" i="4" s="1"/>
  <c r="C1298" i="4"/>
  <c r="D1298" i="4" s="1"/>
  <c r="C1297" i="4"/>
  <c r="D1297" i="4" s="1"/>
  <c r="C1296" i="4"/>
  <c r="D1296" i="4" s="1"/>
  <c r="C1295" i="4"/>
  <c r="D1295" i="4" s="1"/>
  <c r="C1294" i="4"/>
  <c r="D1294" i="4" s="1"/>
  <c r="C1293" i="4"/>
  <c r="D1293" i="4" s="1"/>
  <c r="C1292" i="4"/>
  <c r="D1292" i="4" s="1"/>
  <c r="C1291" i="4"/>
  <c r="D1291" i="4" s="1"/>
  <c r="C1290" i="4"/>
  <c r="D1290" i="4" s="1"/>
  <c r="C1289" i="4"/>
  <c r="D1289" i="4" s="1"/>
  <c r="C1288" i="4"/>
  <c r="D1288" i="4" s="1"/>
  <c r="C1287" i="4"/>
  <c r="D1287" i="4" s="1"/>
  <c r="C1286" i="4"/>
  <c r="D1286" i="4" s="1"/>
  <c r="C1285" i="4"/>
  <c r="D1285" i="4" s="1"/>
  <c r="C1284" i="4"/>
  <c r="D1284" i="4" s="1"/>
  <c r="C1283" i="4"/>
  <c r="D1283" i="4" s="1"/>
  <c r="C1282" i="4"/>
  <c r="D1282" i="4" s="1"/>
  <c r="C1281" i="4"/>
  <c r="D1281" i="4" s="1"/>
  <c r="C1280" i="4"/>
  <c r="D1280" i="4" s="1"/>
  <c r="C1279" i="4"/>
  <c r="D1279" i="4" s="1"/>
  <c r="C1278" i="4"/>
  <c r="D1278" i="4" s="1"/>
  <c r="C1277" i="4"/>
  <c r="D1277" i="4" s="1"/>
  <c r="C1276" i="4"/>
  <c r="D1276" i="4" s="1"/>
  <c r="C1275" i="4"/>
  <c r="D1275" i="4" s="1"/>
  <c r="C1274" i="4"/>
  <c r="D1274" i="4" s="1"/>
  <c r="C1273" i="4"/>
  <c r="D1273" i="4" s="1"/>
  <c r="C1272" i="4"/>
  <c r="D1272" i="4" s="1"/>
  <c r="C1271" i="4"/>
  <c r="D1271" i="4" s="1"/>
  <c r="C1270" i="4"/>
  <c r="D1270" i="4" s="1"/>
  <c r="C1269" i="4"/>
  <c r="D1269" i="4" s="1"/>
  <c r="C1268" i="4"/>
  <c r="D1268" i="4" s="1"/>
  <c r="C1267" i="4"/>
  <c r="D1267" i="4" s="1"/>
  <c r="C1266" i="4"/>
  <c r="D1266" i="4" s="1"/>
  <c r="C1265" i="4"/>
  <c r="D1265" i="4" s="1"/>
  <c r="C1264" i="4"/>
  <c r="D1264" i="4" s="1"/>
  <c r="C1263" i="4"/>
  <c r="D1263" i="4" s="1"/>
  <c r="C1262" i="4"/>
  <c r="D1262" i="4" s="1"/>
  <c r="C1261" i="4"/>
  <c r="D1261" i="4" s="1"/>
  <c r="C1260" i="4"/>
  <c r="D1260" i="4" s="1"/>
  <c r="C1259" i="4"/>
  <c r="D1259" i="4" s="1"/>
  <c r="C1258" i="4"/>
  <c r="D1258" i="4" s="1"/>
  <c r="C1257" i="4"/>
  <c r="D1257" i="4" s="1"/>
  <c r="C1256" i="4"/>
  <c r="D1256" i="4" s="1"/>
  <c r="C1255" i="4"/>
  <c r="D1255" i="4" s="1"/>
  <c r="C1254" i="4"/>
  <c r="D1254" i="4" s="1"/>
  <c r="C1253" i="4"/>
  <c r="D1253" i="4" s="1"/>
  <c r="C1252" i="4"/>
  <c r="D1252" i="4" s="1"/>
  <c r="C1251" i="4"/>
  <c r="D1251" i="4" s="1"/>
  <c r="C1250" i="4"/>
  <c r="D1250" i="4" s="1"/>
  <c r="C1249" i="4"/>
  <c r="D1249" i="4" s="1"/>
  <c r="C1248" i="4"/>
  <c r="D1248" i="4" s="1"/>
  <c r="C1247" i="4"/>
  <c r="D1247" i="4" s="1"/>
  <c r="C1246" i="4"/>
  <c r="D1246" i="4" s="1"/>
  <c r="C1245" i="4"/>
  <c r="D1245" i="4" s="1"/>
  <c r="D1244" i="4"/>
  <c r="C1244" i="4"/>
  <c r="C1243" i="4"/>
  <c r="D1243" i="4" s="1"/>
  <c r="C1242" i="4"/>
  <c r="D1242" i="4" s="1"/>
  <c r="C1241" i="4"/>
  <c r="D1241" i="4" s="1"/>
  <c r="C1240" i="4"/>
  <c r="D1240" i="4" s="1"/>
  <c r="C1239" i="4"/>
  <c r="D1239" i="4" s="1"/>
  <c r="C1238" i="4"/>
  <c r="D1238" i="4" s="1"/>
  <c r="C1237" i="4"/>
  <c r="D1237" i="4" s="1"/>
  <c r="C1236" i="4"/>
  <c r="D1236" i="4" s="1"/>
  <c r="C1235" i="4"/>
  <c r="D1235" i="4" s="1"/>
  <c r="C1234" i="4"/>
  <c r="D1234" i="4" s="1"/>
  <c r="C1233" i="4"/>
  <c r="D1233" i="4" s="1"/>
  <c r="C1232" i="4"/>
  <c r="D1232" i="4" s="1"/>
  <c r="C1231" i="4"/>
  <c r="D1231" i="4" s="1"/>
  <c r="C1230" i="4"/>
  <c r="D1230" i="4" s="1"/>
  <c r="C1229" i="4"/>
  <c r="D1229" i="4" s="1"/>
  <c r="C1228" i="4"/>
  <c r="D1228" i="4" s="1"/>
  <c r="C1227" i="4"/>
  <c r="D1227" i="4" s="1"/>
  <c r="C1226" i="4"/>
  <c r="D1226" i="4" s="1"/>
  <c r="C1225" i="4"/>
  <c r="D1225" i="4" s="1"/>
  <c r="C1224" i="4"/>
  <c r="D1224" i="4" s="1"/>
  <c r="C1223" i="4"/>
  <c r="D1223" i="4" s="1"/>
  <c r="C1222" i="4"/>
  <c r="D1222" i="4" s="1"/>
  <c r="C1221" i="4"/>
  <c r="D1221" i="4" s="1"/>
  <c r="C1220" i="4"/>
  <c r="D1220" i="4" s="1"/>
  <c r="C1219" i="4"/>
  <c r="D1219" i="4" s="1"/>
  <c r="C1218" i="4"/>
  <c r="D1218" i="4" s="1"/>
  <c r="C1217" i="4"/>
  <c r="D1217" i="4" s="1"/>
  <c r="C1216" i="4"/>
  <c r="D1216" i="4" s="1"/>
  <c r="C1215" i="4"/>
  <c r="D1215" i="4" s="1"/>
  <c r="C1214" i="4"/>
  <c r="D1214" i="4" s="1"/>
  <c r="C1213" i="4"/>
  <c r="D1213" i="4" s="1"/>
  <c r="C1212" i="4"/>
  <c r="D1212" i="4" s="1"/>
  <c r="C1211" i="4"/>
  <c r="D1211" i="4" s="1"/>
  <c r="C1210" i="4"/>
  <c r="D1210" i="4" s="1"/>
  <c r="C1209" i="4"/>
  <c r="D1209" i="4" s="1"/>
  <c r="D1208" i="4"/>
  <c r="C1208" i="4"/>
  <c r="C1207" i="4"/>
  <c r="D1207" i="4" s="1"/>
  <c r="C1206" i="4"/>
  <c r="D1206" i="4" s="1"/>
  <c r="C1205" i="4"/>
  <c r="D1205" i="4" s="1"/>
  <c r="C1204" i="4"/>
  <c r="D1204" i="4" s="1"/>
  <c r="C1203" i="4"/>
  <c r="D1203" i="4" s="1"/>
  <c r="C1202" i="4"/>
  <c r="D1202" i="4" s="1"/>
  <c r="C1201" i="4"/>
  <c r="D1201" i="4" s="1"/>
  <c r="D1200" i="4"/>
  <c r="C1200" i="4"/>
  <c r="C1199" i="4"/>
  <c r="D1199" i="4" s="1"/>
  <c r="C1198" i="4"/>
  <c r="D1198" i="4" s="1"/>
  <c r="C1197" i="4"/>
  <c r="D1197" i="4" s="1"/>
  <c r="C1196" i="4"/>
  <c r="D1196" i="4" s="1"/>
  <c r="C1195" i="4"/>
  <c r="D1195" i="4" s="1"/>
  <c r="D1194" i="4"/>
  <c r="C1194" i="4"/>
  <c r="C1193" i="4"/>
  <c r="D1193" i="4" s="1"/>
  <c r="C1192" i="4"/>
  <c r="D1192" i="4" s="1"/>
  <c r="C1191" i="4"/>
  <c r="D1191" i="4" s="1"/>
  <c r="C1190" i="4"/>
  <c r="D1190" i="4" s="1"/>
  <c r="D1189" i="4"/>
  <c r="C1189" i="4"/>
  <c r="C1188" i="4"/>
  <c r="D1188" i="4" s="1"/>
  <c r="C1187" i="4"/>
  <c r="D1187" i="4" s="1"/>
  <c r="C1186" i="4"/>
  <c r="D1186" i="4" s="1"/>
  <c r="D1185" i="4"/>
  <c r="C1185" i="4"/>
  <c r="C1184" i="4"/>
  <c r="D1184" i="4" s="1"/>
  <c r="C1183" i="4"/>
  <c r="D1183" i="4" s="1"/>
  <c r="C1182" i="4"/>
  <c r="D1182" i="4" s="1"/>
  <c r="C1181" i="4"/>
  <c r="D1181" i="4" s="1"/>
  <c r="C1180" i="4"/>
  <c r="D1180" i="4" s="1"/>
  <c r="C1179" i="4"/>
  <c r="D1179" i="4" s="1"/>
  <c r="C1178" i="4"/>
  <c r="D1178" i="4" s="1"/>
  <c r="C1177" i="4"/>
  <c r="D1177" i="4" s="1"/>
  <c r="C1176" i="4"/>
  <c r="D1176" i="4" s="1"/>
  <c r="C1175" i="4"/>
  <c r="D1175" i="4" s="1"/>
  <c r="C1174" i="4"/>
  <c r="D1174" i="4" s="1"/>
  <c r="C1173" i="4"/>
  <c r="D1173" i="4" s="1"/>
  <c r="C1172" i="4"/>
  <c r="D1172" i="4" s="1"/>
  <c r="D1171" i="4"/>
  <c r="C1171" i="4"/>
  <c r="C1170" i="4"/>
  <c r="D1170" i="4" s="1"/>
  <c r="C1169" i="4"/>
  <c r="D1169" i="4" s="1"/>
  <c r="C1168" i="4"/>
  <c r="D1168" i="4" s="1"/>
  <c r="C1167" i="4"/>
  <c r="D1167" i="4" s="1"/>
  <c r="C1166" i="4"/>
  <c r="D1166" i="4" s="1"/>
  <c r="C1165" i="4"/>
  <c r="D1165" i="4" s="1"/>
  <c r="C1164" i="4"/>
  <c r="D1164" i="4" s="1"/>
  <c r="C1163" i="4"/>
  <c r="D1163" i="4" s="1"/>
  <c r="C1162" i="4"/>
  <c r="D1162" i="4" s="1"/>
  <c r="C1161" i="4"/>
  <c r="D1161" i="4" s="1"/>
  <c r="C1160" i="4"/>
  <c r="D1160" i="4" s="1"/>
  <c r="C1159" i="4"/>
  <c r="D1159" i="4" s="1"/>
  <c r="C1158" i="4"/>
  <c r="D1158" i="4" s="1"/>
  <c r="C1157" i="4"/>
  <c r="D1157" i="4" s="1"/>
  <c r="C1156" i="4"/>
  <c r="D1156" i="4" s="1"/>
  <c r="C1155" i="4"/>
  <c r="D1155" i="4" s="1"/>
  <c r="C1154" i="4"/>
  <c r="D1154" i="4" s="1"/>
  <c r="C1153" i="4"/>
  <c r="D1153" i="4" s="1"/>
  <c r="C1152" i="4"/>
  <c r="D1152" i="4" s="1"/>
  <c r="C1151" i="4"/>
  <c r="D1151" i="4" s="1"/>
  <c r="C1150" i="4"/>
  <c r="D1150" i="4" s="1"/>
  <c r="D1149" i="4"/>
  <c r="C1149" i="4"/>
  <c r="C1148" i="4"/>
  <c r="D1148" i="4" s="1"/>
  <c r="D1147" i="4"/>
  <c r="C1147" i="4"/>
  <c r="C1146" i="4"/>
  <c r="D1146" i="4" s="1"/>
  <c r="C1145" i="4"/>
  <c r="D1145" i="4" s="1"/>
  <c r="C1144" i="4"/>
  <c r="D1144" i="4" s="1"/>
  <c r="D1143" i="4"/>
  <c r="C1143" i="4"/>
  <c r="C1142" i="4"/>
  <c r="D1142" i="4" s="1"/>
  <c r="C1141" i="4"/>
  <c r="D1141" i="4" s="1"/>
  <c r="C1140" i="4"/>
  <c r="D1140" i="4" s="1"/>
  <c r="C1139" i="4"/>
  <c r="D1139" i="4" s="1"/>
  <c r="D1138" i="4"/>
  <c r="C1138" i="4"/>
  <c r="C1137" i="4"/>
  <c r="D1137" i="4" s="1"/>
  <c r="C1136" i="4"/>
  <c r="D1136" i="4" s="1"/>
  <c r="C1135" i="4"/>
  <c r="D1135" i="4" s="1"/>
  <c r="D1134" i="4"/>
  <c r="C1134" i="4"/>
  <c r="C1133" i="4"/>
  <c r="D1133" i="4" s="1"/>
  <c r="C1132" i="4"/>
  <c r="D1132" i="4" s="1"/>
  <c r="C1131" i="4"/>
  <c r="D1131" i="4" s="1"/>
  <c r="D1130" i="4"/>
  <c r="C1130" i="4"/>
  <c r="D1129" i="4"/>
  <c r="C1129" i="4"/>
  <c r="C1128" i="4"/>
  <c r="D1128" i="4" s="1"/>
  <c r="C1127" i="4"/>
  <c r="D1127" i="4" s="1"/>
  <c r="C1126" i="4"/>
  <c r="D1126" i="4" s="1"/>
  <c r="D1125" i="4"/>
  <c r="C1125" i="4"/>
  <c r="C1124" i="4"/>
  <c r="D1124" i="4" s="1"/>
  <c r="C1123" i="4"/>
  <c r="D1123" i="4" s="1"/>
  <c r="C1122" i="4"/>
  <c r="D1122" i="4" s="1"/>
  <c r="D1121" i="4"/>
  <c r="C1121" i="4"/>
  <c r="C1120" i="4"/>
  <c r="D1120" i="4" s="1"/>
  <c r="C1119" i="4"/>
  <c r="D1119" i="4" s="1"/>
  <c r="C1118" i="4"/>
  <c r="D1118" i="4" s="1"/>
  <c r="C1117" i="4"/>
  <c r="D1117" i="4" s="1"/>
  <c r="C1116" i="4"/>
  <c r="D1116" i="4" s="1"/>
  <c r="C1115" i="4"/>
  <c r="D1115" i="4" s="1"/>
  <c r="C1114" i="4"/>
  <c r="D1114" i="4" s="1"/>
  <c r="C1113" i="4"/>
  <c r="D1113" i="4" s="1"/>
  <c r="C1112" i="4"/>
  <c r="D1112" i="4" s="1"/>
  <c r="D1111" i="4"/>
  <c r="C1111" i="4"/>
  <c r="C1110" i="4"/>
  <c r="D1110" i="4" s="1"/>
  <c r="C1109" i="4"/>
  <c r="D1109" i="4" s="1"/>
  <c r="C1108" i="4"/>
  <c r="D1108" i="4" s="1"/>
  <c r="D1107" i="4"/>
  <c r="C1107" i="4"/>
  <c r="C1106" i="4"/>
  <c r="D1106" i="4" s="1"/>
  <c r="C1105" i="4"/>
  <c r="D1105" i="4" s="1"/>
  <c r="C1104" i="4"/>
  <c r="D1104" i="4" s="1"/>
  <c r="C1103" i="4"/>
  <c r="D1103" i="4" s="1"/>
  <c r="C1102" i="4"/>
  <c r="D1102" i="4" s="1"/>
  <c r="C1101" i="4"/>
  <c r="D1101" i="4" s="1"/>
  <c r="C1100" i="4"/>
  <c r="D1100" i="4" s="1"/>
  <c r="C1099" i="4"/>
  <c r="D1099" i="4" s="1"/>
  <c r="D1098" i="4"/>
  <c r="C1098" i="4"/>
  <c r="C1097" i="4"/>
  <c r="D1097" i="4" s="1"/>
  <c r="C1096" i="4"/>
  <c r="D1096" i="4" s="1"/>
  <c r="C1095" i="4"/>
  <c r="D1095" i="4" s="1"/>
  <c r="C1094" i="4"/>
  <c r="D1094" i="4" s="1"/>
  <c r="C1093" i="4"/>
  <c r="D1093" i="4" s="1"/>
  <c r="C1092" i="4"/>
  <c r="D1092" i="4" s="1"/>
  <c r="C1091" i="4"/>
  <c r="D1091" i="4" s="1"/>
  <c r="C1090" i="4"/>
  <c r="D1090" i="4" s="1"/>
  <c r="C1089" i="4"/>
  <c r="D1089" i="4" s="1"/>
  <c r="C1088" i="4"/>
  <c r="D1088" i="4" s="1"/>
  <c r="D1087" i="4"/>
  <c r="C1087" i="4"/>
  <c r="C1086" i="4"/>
  <c r="D1086" i="4" s="1"/>
  <c r="D1085" i="4"/>
  <c r="C1085" i="4"/>
  <c r="C1084" i="4"/>
  <c r="D1084" i="4" s="1"/>
  <c r="D1083" i="4"/>
  <c r="C1083" i="4"/>
  <c r="C1082" i="4"/>
  <c r="D1082" i="4" s="1"/>
  <c r="C1081" i="4"/>
  <c r="D1081" i="4" s="1"/>
  <c r="C1080" i="4"/>
  <c r="D1080" i="4" s="1"/>
  <c r="D1079" i="4"/>
  <c r="C1079" i="4"/>
  <c r="D1078" i="4"/>
  <c r="C1078" i="4"/>
  <c r="C1077" i="4"/>
  <c r="D1077" i="4" s="1"/>
  <c r="C1076" i="4"/>
  <c r="D1076" i="4" s="1"/>
  <c r="D1075" i="4"/>
  <c r="C1075" i="4"/>
  <c r="D1074" i="4"/>
  <c r="C1074" i="4"/>
  <c r="C1073" i="4"/>
  <c r="D1073" i="4" s="1"/>
  <c r="C1072" i="4"/>
  <c r="D1072" i="4" s="1"/>
  <c r="C1071" i="4"/>
  <c r="D1071" i="4" s="1"/>
  <c r="D1070" i="4"/>
  <c r="C1070" i="4"/>
  <c r="D1069" i="4"/>
  <c r="C1069" i="4"/>
  <c r="C1068" i="4"/>
  <c r="D1068" i="4" s="1"/>
  <c r="C1067" i="4"/>
  <c r="D1067" i="4" s="1"/>
  <c r="C1066" i="4"/>
  <c r="D1066" i="4" s="1"/>
  <c r="D1065" i="4"/>
  <c r="C1065" i="4"/>
  <c r="C1064" i="4"/>
  <c r="D1064" i="4" s="1"/>
  <c r="C1063" i="4"/>
  <c r="D1063" i="4" s="1"/>
  <c r="C1062" i="4"/>
  <c r="D1062" i="4" s="1"/>
  <c r="D1061" i="4"/>
  <c r="C1061" i="4"/>
  <c r="C1060" i="4"/>
  <c r="D1060" i="4" s="1"/>
  <c r="C1059" i="4"/>
  <c r="D1059" i="4" s="1"/>
  <c r="C1058" i="4"/>
  <c r="D1058" i="4" s="1"/>
  <c r="C1057" i="4"/>
  <c r="D1057" i="4" s="1"/>
  <c r="C1056" i="4"/>
  <c r="D1056" i="4" s="1"/>
  <c r="C1055" i="4"/>
  <c r="D1055" i="4" s="1"/>
  <c r="C1054" i="4"/>
  <c r="D1054" i="4" s="1"/>
  <c r="C1053" i="4"/>
  <c r="D1053" i="4" s="1"/>
  <c r="C1052" i="4"/>
  <c r="D1052" i="4" s="1"/>
  <c r="C1051" i="4"/>
  <c r="D1051" i="4" s="1"/>
  <c r="C1050" i="4"/>
  <c r="D1050" i="4" s="1"/>
  <c r="C1049" i="4"/>
  <c r="D1049" i="4" s="1"/>
  <c r="C1048" i="4"/>
  <c r="D1048" i="4" s="1"/>
  <c r="C1047" i="4"/>
  <c r="D1047" i="4" s="1"/>
  <c r="C1046" i="4"/>
  <c r="D1046" i="4" s="1"/>
  <c r="C1045" i="4"/>
  <c r="D1045" i="4" s="1"/>
  <c r="C1044" i="4"/>
  <c r="D1044" i="4" s="1"/>
  <c r="C1043" i="4"/>
  <c r="D1043" i="4" s="1"/>
  <c r="C1042" i="4"/>
  <c r="D1042" i="4" s="1"/>
  <c r="C1041" i="4"/>
  <c r="D1041" i="4" s="1"/>
  <c r="C1040" i="4"/>
  <c r="D1040" i="4" s="1"/>
  <c r="D1039" i="4"/>
  <c r="C1039" i="4"/>
  <c r="C1038" i="4"/>
  <c r="D1038" i="4" s="1"/>
  <c r="C1037" i="4"/>
  <c r="D1037" i="4" s="1"/>
  <c r="C1036" i="4"/>
  <c r="D1036" i="4" s="1"/>
  <c r="C1035" i="4"/>
  <c r="D1035" i="4" s="1"/>
  <c r="C1034" i="4"/>
  <c r="D1034" i="4" s="1"/>
  <c r="C1033" i="4"/>
  <c r="D1033" i="4" s="1"/>
  <c r="C1032" i="4"/>
  <c r="D1032" i="4" s="1"/>
  <c r="C1031" i="4"/>
  <c r="D1031" i="4" s="1"/>
  <c r="C1030" i="4"/>
  <c r="D1030" i="4" s="1"/>
  <c r="C1029" i="4"/>
  <c r="D1029" i="4" s="1"/>
  <c r="C1028" i="4"/>
  <c r="D1028" i="4" s="1"/>
  <c r="D1027" i="4"/>
  <c r="C1027" i="4"/>
  <c r="C1026" i="4"/>
  <c r="D1026" i="4" s="1"/>
  <c r="C1025" i="4"/>
  <c r="D1025" i="4" s="1"/>
  <c r="C1024" i="4"/>
  <c r="D1024" i="4" s="1"/>
  <c r="C1023" i="4"/>
  <c r="D1023" i="4" s="1"/>
  <c r="C1022" i="4"/>
  <c r="D1022" i="4" s="1"/>
  <c r="D1021" i="4"/>
  <c r="C1021" i="4"/>
  <c r="C1020" i="4"/>
  <c r="D1020" i="4" s="1"/>
  <c r="D1019" i="4"/>
  <c r="C1019" i="4"/>
  <c r="C1018" i="4"/>
  <c r="D1018" i="4" s="1"/>
  <c r="C1017" i="4"/>
  <c r="D1017" i="4" s="1"/>
  <c r="C1016" i="4"/>
  <c r="D1016" i="4" s="1"/>
  <c r="D1015" i="4"/>
  <c r="C1015" i="4"/>
  <c r="C1014" i="4"/>
  <c r="D1014" i="4" s="1"/>
  <c r="C1013" i="4"/>
  <c r="D1013" i="4" s="1"/>
  <c r="C1012" i="4"/>
  <c r="D1012" i="4" s="1"/>
  <c r="C1011" i="4"/>
  <c r="D1011" i="4" s="1"/>
  <c r="D1010" i="4"/>
  <c r="C1010" i="4"/>
  <c r="C1009" i="4"/>
  <c r="D1009" i="4" s="1"/>
  <c r="C1008" i="4"/>
  <c r="D1008" i="4" s="1"/>
  <c r="C1007" i="4"/>
  <c r="D1007" i="4" s="1"/>
  <c r="D1006" i="4"/>
  <c r="C1006" i="4"/>
  <c r="C1005" i="4"/>
  <c r="D1005" i="4" s="1"/>
  <c r="C1004" i="4"/>
  <c r="D1004" i="4" s="1"/>
  <c r="C1003" i="4"/>
  <c r="D1003" i="4" s="1"/>
  <c r="C1002" i="4"/>
  <c r="D1002" i="4" s="1"/>
  <c r="C1001" i="4"/>
  <c r="D1001" i="4" s="1"/>
  <c r="C1000" i="4"/>
  <c r="D1000" i="4" s="1"/>
  <c r="C999" i="4"/>
  <c r="D999" i="4" s="1"/>
  <c r="C998" i="4"/>
  <c r="D998" i="4" s="1"/>
  <c r="C997" i="4"/>
  <c r="D997" i="4" s="1"/>
  <c r="C996" i="4"/>
  <c r="D996" i="4" s="1"/>
  <c r="C995" i="4"/>
  <c r="D995" i="4" s="1"/>
  <c r="C994" i="4"/>
  <c r="D994" i="4" s="1"/>
  <c r="C993" i="4"/>
  <c r="D993" i="4" s="1"/>
  <c r="C992" i="4"/>
  <c r="D992" i="4" s="1"/>
  <c r="C991" i="4"/>
  <c r="D991" i="4" s="1"/>
  <c r="D990" i="4"/>
  <c r="C990" i="4"/>
  <c r="C989" i="4"/>
  <c r="D989" i="4" s="1"/>
  <c r="C988" i="4"/>
  <c r="D988" i="4" s="1"/>
  <c r="C987" i="4"/>
  <c r="D987" i="4" s="1"/>
  <c r="C986" i="4"/>
  <c r="D986" i="4" s="1"/>
  <c r="C985" i="4"/>
  <c r="D985" i="4" s="1"/>
  <c r="C984" i="4"/>
  <c r="D984" i="4" s="1"/>
  <c r="C983" i="4"/>
  <c r="D983" i="4" s="1"/>
  <c r="C982" i="4"/>
  <c r="D982" i="4" s="1"/>
  <c r="C981" i="4"/>
  <c r="D981" i="4" s="1"/>
  <c r="C980" i="4"/>
  <c r="D980" i="4" s="1"/>
  <c r="C979" i="4"/>
  <c r="D979" i="4" s="1"/>
  <c r="C978" i="4"/>
  <c r="D978" i="4" s="1"/>
  <c r="C977" i="4"/>
  <c r="D977" i="4" s="1"/>
  <c r="C976" i="4"/>
  <c r="D976" i="4" s="1"/>
  <c r="C975" i="4"/>
  <c r="D975" i="4" s="1"/>
  <c r="C974" i="4"/>
  <c r="D974" i="4" s="1"/>
  <c r="C973" i="4"/>
  <c r="D973" i="4" s="1"/>
  <c r="C972" i="4"/>
  <c r="D972" i="4" s="1"/>
  <c r="C971" i="4"/>
  <c r="D971" i="4" s="1"/>
  <c r="C970" i="4"/>
  <c r="D970" i="4" s="1"/>
  <c r="C969" i="4"/>
  <c r="D969" i="4" s="1"/>
  <c r="C968" i="4"/>
  <c r="D968" i="4" s="1"/>
  <c r="D967" i="4"/>
  <c r="C967" i="4"/>
  <c r="C966" i="4"/>
  <c r="D966" i="4" s="1"/>
  <c r="C965" i="4"/>
  <c r="D965" i="4" s="1"/>
  <c r="C964" i="4"/>
  <c r="D964" i="4" s="1"/>
  <c r="C963" i="4"/>
  <c r="D963" i="4" s="1"/>
  <c r="D962" i="4"/>
  <c r="C962" i="4"/>
  <c r="C961" i="4"/>
  <c r="D961" i="4" s="1"/>
  <c r="C960" i="4"/>
  <c r="D960" i="4" s="1"/>
  <c r="C959" i="4"/>
  <c r="D959" i="4" s="1"/>
  <c r="C958" i="4"/>
  <c r="D958" i="4" s="1"/>
  <c r="C957" i="4"/>
  <c r="D957" i="4" s="1"/>
  <c r="C956" i="4"/>
  <c r="D956" i="4" s="1"/>
  <c r="C955" i="4"/>
  <c r="D955" i="4" s="1"/>
  <c r="C954" i="4"/>
  <c r="D954" i="4" s="1"/>
  <c r="C953" i="4"/>
  <c r="D953" i="4" s="1"/>
  <c r="C952" i="4"/>
  <c r="D952" i="4" s="1"/>
  <c r="C951" i="4"/>
  <c r="D951" i="4" s="1"/>
  <c r="C950" i="4"/>
  <c r="D950" i="4" s="1"/>
  <c r="C949" i="4"/>
  <c r="D949" i="4" s="1"/>
  <c r="C948" i="4"/>
  <c r="D948" i="4" s="1"/>
  <c r="C947" i="4"/>
  <c r="D947" i="4" s="1"/>
  <c r="C946" i="4"/>
  <c r="D946" i="4" s="1"/>
  <c r="C945" i="4"/>
  <c r="D945" i="4" s="1"/>
  <c r="C944" i="4"/>
  <c r="D944" i="4" s="1"/>
  <c r="C943" i="4"/>
  <c r="D943" i="4" s="1"/>
  <c r="C942" i="4"/>
  <c r="D942" i="4" s="1"/>
  <c r="C941" i="4"/>
  <c r="D941" i="4" s="1"/>
  <c r="C940" i="4"/>
  <c r="D940" i="4" s="1"/>
  <c r="C939" i="4"/>
  <c r="D939" i="4" s="1"/>
  <c r="C938" i="4"/>
  <c r="D938" i="4" s="1"/>
  <c r="C937" i="4"/>
  <c r="D937" i="4" s="1"/>
  <c r="C936" i="4"/>
  <c r="D936" i="4" s="1"/>
  <c r="D935" i="4"/>
  <c r="C935" i="4"/>
  <c r="D934" i="4"/>
  <c r="C934" i="4"/>
  <c r="C933" i="4"/>
  <c r="D933" i="4" s="1"/>
  <c r="C932" i="4"/>
  <c r="D932" i="4" s="1"/>
  <c r="C931" i="4"/>
  <c r="D931" i="4" s="1"/>
  <c r="C930" i="4"/>
  <c r="D930" i="4" s="1"/>
  <c r="C929" i="4"/>
  <c r="D929" i="4" s="1"/>
  <c r="C928" i="4"/>
  <c r="D928" i="4" s="1"/>
  <c r="C927" i="4"/>
  <c r="D927" i="4" s="1"/>
  <c r="C926" i="4"/>
  <c r="D926" i="4" s="1"/>
  <c r="C925" i="4"/>
  <c r="D925" i="4" s="1"/>
  <c r="C924" i="4"/>
  <c r="D924" i="4" s="1"/>
  <c r="C923" i="4"/>
  <c r="D923" i="4" s="1"/>
  <c r="C922" i="4"/>
  <c r="D922" i="4" s="1"/>
  <c r="C921" i="4"/>
  <c r="D921" i="4" s="1"/>
  <c r="C920" i="4"/>
  <c r="D920" i="4" s="1"/>
  <c r="C919" i="4"/>
  <c r="D919" i="4" s="1"/>
  <c r="C918" i="4"/>
  <c r="D918" i="4" s="1"/>
  <c r="C917" i="4"/>
  <c r="D917" i="4" s="1"/>
  <c r="C916" i="4"/>
  <c r="D916" i="4" s="1"/>
  <c r="C915" i="4"/>
  <c r="D915" i="4" s="1"/>
  <c r="D914" i="4"/>
  <c r="C914" i="4"/>
  <c r="C913" i="4"/>
  <c r="D913" i="4" s="1"/>
  <c r="C912" i="4"/>
  <c r="D912" i="4" s="1"/>
  <c r="C911" i="4"/>
  <c r="D911" i="4" s="1"/>
  <c r="C910" i="4"/>
  <c r="D910" i="4" s="1"/>
  <c r="C909" i="4"/>
  <c r="D909" i="4" s="1"/>
  <c r="C908" i="4"/>
  <c r="D908" i="4" s="1"/>
  <c r="D907" i="4"/>
  <c r="C907" i="4"/>
  <c r="C906" i="4"/>
  <c r="D906" i="4" s="1"/>
  <c r="C905" i="4"/>
  <c r="D905" i="4" s="1"/>
  <c r="C904" i="4"/>
  <c r="D904" i="4" s="1"/>
  <c r="C903" i="4"/>
  <c r="D903" i="4" s="1"/>
  <c r="C902" i="4"/>
  <c r="D902" i="4" s="1"/>
  <c r="C901" i="4"/>
  <c r="D901" i="4" s="1"/>
  <c r="C900" i="4"/>
  <c r="D900" i="4" s="1"/>
  <c r="C899" i="4"/>
  <c r="D899" i="4" s="1"/>
  <c r="C898" i="4"/>
  <c r="D898" i="4" s="1"/>
  <c r="D897" i="4"/>
  <c r="C897" i="4"/>
  <c r="C896" i="4"/>
  <c r="D896" i="4" s="1"/>
  <c r="C895" i="4"/>
  <c r="D895" i="4" s="1"/>
  <c r="C894" i="4"/>
  <c r="D894" i="4" s="1"/>
  <c r="D893" i="4"/>
  <c r="C893" i="4"/>
  <c r="C892" i="4"/>
  <c r="D892" i="4" s="1"/>
  <c r="D891" i="4"/>
  <c r="C891" i="4"/>
  <c r="C890" i="4"/>
  <c r="D890" i="4" s="1"/>
  <c r="C889" i="4"/>
  <c r="D889" i="4" s="1"/>
  <c r="C888" i="4"/>
  <c r="D888" i="4" s="1"/>
  <c r="C887" i="4"/>
  <c r="D887" i="4" s="1"/>
  <c r="C886" i="4"/>
  <c r="D886" i="4" s="1"/>
  <c r="C885" i="4"/>
  <c r="D885" i="4" s="1"/>
  <c r="C884" i="4"/>
  <c r="D884" i="4" s="1"/>
  <c r="C883" i="4"/>
  <c r="D883" i="4" s="1"/>
  <c r="C882" i="4"/>
  <c r="D882" i="4" s="1"/>
  <c r="D881" i="4"/>
  <c r="C881" i="4"/>
  <c r="C880" i="4"/>
  <c r="D880" i="4" s="1"/>
  <c r="C879" i="4"/>
  <c r="D879" i="4" s="1"/>
  <c r="C878" i="4"/>
  <c r="D878" i="4" s="1"/>
  <c r="C877" i="4"/>
  <c r="D877" i="4" s="1"/>
  <c r="C876" i="4"/>
  <c r="D876" i="4" s="1"/>
  <c r="C875" i="4"/>
  <c r="D875" i="4" s="1"/>
  <c r="C874" i="4"/>
  <c r="D874" i="4" s="1"/>
  <c r="C873" i="4"/>
  <c r="D873" i="4" s="1"/>
  <c r="C872" i="4"/>
  <c r="D872" i="4" s="1"/>
  <c r="C871" i="4"/>
  <c r="D871" i="4" s="1"/>
  <c r="C870" i="4"/>
  <c r="D870" i="4" s="1"/>
  <c r="C869" i="4"/>
  <c r="D869" i="4" s="1"/>
  <c r="C868" i="4"/>
  <c r="D868" i="4" s="1"/>
  <c r="C867" i="4"/>
  <c r="D867" i="4" s="1"/>
  <c r="C866" i="4"/>
  <c r="D866" i="4" s="1"/>
  <c r="C865" i="4"/>
  <c r="D865" i="4" s="1"/>
  <c r="C864" i="4"/>
  <c r="D864" i="4" s="1"/>
  <c r="C863" i="4"/>
  <c r="D863" i="4" s="1"/>
  <c r="C862" i="4"/>
  <c r="D862" i="4" s="1"/>
  <c r="C861" i="4"/>
  <c r="D861" i="4" s="1"/>
  <c r="C860" i="4"/>
  <c r="D860" i="4" s="1"/>
  <c r="C859" i="4"/>
  <c r="D859" i="4" s="1"/>
  <c r="C858" i="4"/>
  <c r="D858" i="4" s="1"/>
  <c r="C857" i="4"/>
  <c r="D857" i="4" s="1"/>
  <c r="C856" i="4"/>
  <c r="D856" i="4" s="1"/>
  <c r="C855" i="4"/>
  <c r="D855" i="4" s="1"/>
  <c r="C854" i="4"/>
  <c r="D854" i="4" s="1"/>
  <c r="C853" i="4"/>
  <c r="D853" i="4" s="1"/>
  <c r="C852" i="4"/>
  <c r="D852" i="4" s="1"/>
  <c r="C851" i="4"/>
  <c r="D851" i="4" s="1"/>
  <c r="C850" i="4"/>
  <c r="D850" i="4" s="1"/>
  <c r="D849" i="4"/>
  <c r="C849" i="4"/>
  <c r="C848" i="4"/>
  <c r="D848" i="4" s="1"/>
  <c r="C847" i="4"/>
  <c r="D847" i="4" s="1"/>
  <c r="C846" i="4"/>
  <c r="D846" i="4" s="1"/>
  <c r="C845" i="4"/>
  <c r="D845" i="4" s="1"/>
  <c r="C844" i="4"/>
  <c r="D844" i="4" s="1"/>
  <c r="C843" i="4"/>
  <c r="D843" i="4" s="1"/>
  <c r="C842" i="4"/>
  <c r="D842" i="4" s="1"/>
  <c r="C841" i="4"/>
  <c r="D841" i="4" s="1"/>
  <c r="C840" i="4"/>
  <c r="D840" i="4" s="1"/>
  <c r="C839" i="4"/>
  <c r="D839" i="4" s="1"/>
  <c r="C838" i="4"/>
  <c r="D838" i="4" s="1"/>
  <c r="C837" i="4"/>
  <c r="D837" i="4" s="1"/>
  <c r="C836" i="4"/>
  <c r="D836" i="4" s="1"/>
  <c r="C835" i="4"/>
  <c r="D835" i="4" s="1"/>
  <c r="C834" i="4"/>
  <c r="D834" i="4" s="1"/>
  <c r="C833" i="4"/>
  <c r="D833" i="4" s="1"/>
  <c r="C832" i="4"/>
  <c r="D832" i="4" s="1"/>
  <c r="C831" i="4"/>
  <c r="D831" i="4" s="1"/>
  <c r="C830" i="4"/>
  <c r="D830" i="4" s="1"/>
  <c r="C829" i="4"/>
  <c r="D829" i="4" s="1"/>
  <c r="C828" i="4"/>
  <c r="D828" i="4" s="1"/>
  <c r="C827" i="4"/>
  <c r="D827" i="4" s="1"/>
  <c r="C826" i="4"/>
  <c r="D826" i="4" s="1"/>
  <c r="C825" i="4"/>
  <c r="D825" i="4" s="1"/>
  <c r="C824" i="4"/>
  <c r="D824" i="4" s="1"/>
  <c r="C823" i="4"/>
  <c r="D823" i="4" s="1"/>
  <c r="D822" i="4"/>
  <c r="C822" i="4"/>
  <c r="C821" i="4"/>
  <c r="D821" i="4" s="1"/>
  <c r="C820" i="4"/>
  <c r="D820" i="4" s="1"/>
  <c r="C819" i="4"/>
  <c r="D819" i="4" s="1"/>
  <c r="C818" i="4"/>
  <c r="D818" i="4" s="1"/>
  <c r="C817" i="4"/>
  <c r="D817" i="4" s="1"/>
  <c r="C816" i="4"/>
  <c r="D816" i="4" s="1"/>
  <c r="C815" i="4"/>
  <c r="D815" i="4" s="1"/>
  <c r="C814" i="4"/>
  <c r="D814" i="4" s="1"/>
  <c r="C813" i="4"/>
  <c r="D813" i="4" s="1"/>
  <c r="C812" i="4"/>
  <c r="D812" i="4" s="1"/>
  <c r="C811" i="4"/>
  <c r="D811" i="4" s="1"/>
  <c r="C810" i="4"/>
  <c r="D810" i="4" s="1"/>
  <c r="C809" i="4"/>
  <c r="D809" i="4" s="1"/>
  <c r="C808" i="4"/>
  <c r="D808" i="4" s="1"/>
  <c r="C807" i="4"/>
  <c r="D807" i="4" s="1"/>
  <c r="C806" i="4"/>
  <c r="D806" i="4" s="1"/>
  <c r="C805" i="4"/>
  <c r="D805" i="4" s="1"/>
  <c r="C804" i="4"/>
  <c r="D804" i="4" s="1"/>
  <c r="C803" i="4"/>
  <c r="D803" i="4" s="1"/>
  <c r="D802" i="4"/>
  <c r="C802" i="4"/>
  <c r="D801" i="4"/>
  <c r="C801" i="4"/>
  <c r="C800" i="4"/>
  <c r="D800" i="4" s="1"/>
  <c r="C799" i="4"/>
  <c r="D799" i="4" s="1"/>
  <c r="C798" i="4"/>
  <c r="D798" i="4" s="1"/>
  <c r="D797" i="4"/>
  <c r="C797" i="4"/>
  <c r="C796" i="4"/>
  <c r="D796" i="4" s="1"/>
  <c r="C795" i="4"/>
  <c r="D795" i="4" s="1"/>
  <c r="C794" i="4"/>
  <c r="D794" i="4" s="1"/>
  <c r="C793" i="4"/>
  <c r="D793" i="4" s="1"/>
  <c r="C792" i="4"/>
  <c r="D792" i="4" s="1"/>
  <c r="C791" i="4"/>
  <c r="D791" i="4" s="1"/>
  <c r="D790" i="4"/>
  <c r="C790" i="4"/>
  <c r="C789" i="4"/>
  <c r="D789" i="4" s="1"/>
  <c r="C788" i="4"/>
  <c r="D788" i="4" s="1"/>
  <c r="C787" i="4"/>
  <c r="D787" i="4" s="1"/>
  <c r="C786" i="4"/>
  <c r="D786" i="4" s="1"/>
  <c r="C785" i="4"/>
  <c r="D785" i="4" s="1"/>
  <c r="C784" i="4"/>
  <c r="D784" i="4" s="1"/>
  <c r="C783" i="4"/>
  <c r="D783" i="4" s="1"/>
  <c r="C782" i="4"/>
  <c r="D782" i="4" s="1"/>
  <c r="C781" i="4"/>
  <c r="D781" i="4" s="1"/>
  <c r="C780" i="4"/>
  <c r="D780" i="4" s="1"/>
  <c r="C779" i="4"/>
  <c r="D779" i="4" s="1"/>
  <c r="C778" i="4"/>
  <c r="D778" i="4" s="1"/>
  <c r="C777" i="4"/>
  <c r="D777" i="4" s="1"/>
  <c r="C776" i="4"/>
  <c r="D776" i="4" s="1"/>
  <c r="C775" i="4"/>
  <c r="D775" i="4" s="1"/>
  <c r="C774" i="4"/>
  <c r="D774" i="4" s="1"/>
  <c r="C773" i="4"/>
  <c r="D773" i="4" s="1"/>
  <c r="C772" i="4"/>
  <c r="D772" i="4" s="1"/>
  <c r="C771" i="4"/>
  <c r="D771" i="4" s="1"/>
  <c r="C770" i="4"/>
  <c r="D770" i="4" s="1"/>
  <c r="C769" i="4"/>
  <c r="D769" i="4" s="1"/>
  <c r="C768" i="4"/>
  <c r="D768" i="4" s="1"/>
  <c r="C767" i="4"/>
  <c r="D767" i="4" s="1"/>
  <c r="C766" i="4"/>
  <c r="D766" i="4" s="1"/>
  <c r="D765" i="4"/>
  <c r="C765" i="4"/>
  <c r="C764" i="4"/>
  <c r="D764" i="4" s="1"/>
  <c r="C763" i="4"/>
  <c r="D763" i="4" s="1"/>
  <c r="C762" i="4"/>
  <c r="D762" i="4" s="1"/>
  <c r="C761" i="4"/>
  <c r="D761" i="4" s="1"/>
  <c r="C760" i="4"/>
  <c r="D760" i="4" s="1"/>
  <c r="C759" i="4"/>
  <c r="D759" i="4" s="1"/>
  <c r="D758" i="4"/>
  <c r="C758" i="4"/>
  <c r="C757" i="4"/>
  <c r="D757" i="4" s="1"/>
  <c r="C756" i="4"/>
  <c r="D756" i="4" s="1"/>
  <c r="C755" i="4"/>
  <c r="D755" i="4" s="1"/>
  <c r="C754" i="4"/>
  <c r="D754" i="4" s="1"/>
  <c r="C753" i="4"/>
  <c r="D753" i="4" s="1"/>
  <c r="C752" i="4"/>
  <c r="D752" i="4" s="1"/>
  <c r="C751" i="4"/>
  <c r="D751" i="4" s="1"/>
  <c r="C750" i="4"/>
  <c r="D750" i="4" s="1"/>
  <c r="C749" i="4"/>
  <c r="D749" i="4" s="1"/>
  <c r="C748" i="4"/>
  <c r="D748" i="4" s="1"/>
  <c r="C747" i="4"/>
  <c r="D747" i="4" s="1"/>
  <c r="D746" i="4"/>
  <c r="C746" i="4"/>
  <c r="C745" i="4"/>
  <c r="D745" i="4" s="1"/>
  <c r="C744" i="4"/>
  <c r="D744" i="4" s="1"/>
  <c r="C743" i="4"/>
  <c r="D743" i="4" s="1"/>
  <c r="C742" i="4"/>
  <c r="D742" i="4" s="1"/>
  <c r="C741" i="4"/>
  <c r="D741" i="4" s="1"/>
  <c r="C740" i="4"/>
  <c r="D740" i="4" s="1"/>
  <c r="C739" i="4"/>
  <c r="D739" i="4" s="1"/>
  <c r="C738" i="4"/>
  <c r="D738" i="4" s="1"/>
  <c r="C737" i="4"/>
  <c r="D737" i="4" s="1"/>
  <c r="C736" i="4"/>
  <c r="D736" i="4" s="1"/>
  <c r="C735" i="4"/>
  <c r="D735" i="4" s="1"/>
  <c r="C734" i="4"/>
  <c r="D734" i="4" s="1"/>
  <c r="C733" i="4"/>
  <c r="D733" i="4" s="1"/>
  <c r="C732" i="4"/>
  <c r="D732" i="4" s="1"/>
  <c r="C731" i="4"/>
  <c r="D731" i="4" s="1"/>
  <c r="C730" i="4"/>
  <c r="D730" i="4" s="1"/>
  <c r="C729" i="4"/>
  <c r="D729" i="4" s="1"/>
  <c r="C728" i="4"/>
  <c r="D728" i="4" s="1"/>
  <c r="C727" i="4"/>
  <c r="D727" i="4" s="1"/>
  <c r="C726" i="4"/>
  <c r="D726" i="4" s="1"/>
  <c r="C725" i="4"/>
  <c r="D725" i="4" s="1"/>
  <c r="C724" i="4"/>
  <c r="D724" i="4" s="1"/>
  <c r="C723" i="4"/>
  <c r="D723" i="4" s="1"/>
  <c r="C722" i="4"/>
  <c r="D722" i="4" s="1"/>
  <c r="D721" i="4"/>
  <c r="C721" i="4"/>
  <c r="C720" i="4"/>
  <c r="D720" i="4" s="1"/>
  <c r="C719" i="4"/>
  <c r="D719" i="4" s="1"/>
  <c r="C718" i="4"/>
  <c r="D718" i="4" s="1"/>
  <c r="C717" i="4"/>
  <c r="D717" i="4" s="1"/>
  <c r="C716" i="4"/>
  <c r="D716" i="4" s="1"/>
  <c r="C715" i="4"/>
  <c r="D715" i="4" s="1"/>
  <c r="C714" i="4"/>
  <c r="D714" i="4" s="1"/>
  <c r="C713" i="4"/>
  <c r="D713" i="4" s="1"/>
  <c r="C712" i="4"/>
  <c r="D712" i="4" s="1"/>
  <c r="C711" i="4"/>
  <c r="D711" i="4" s="1"/>
  <c r="C710" i="4"/>
  <c r="D710" i="4" s="1"/>
  <c r="D709" i="4"/>
  <c r="C709" i="4"/>
  <c r="C708" i="4"/>
  <c r="D708" i="4" s="1"/>
  <c r="C707" i="4"/>
  <c r="D707" i="4" s="1"/>
  <c r="C706" i="4"/>
  <c r="D706" i="4" s="1"/>
  <c r="C705" i="4"/>
  <c r="D705" i="4" s="1"/>
  <c r="C704" i="4"/>
  <c r="D704" i="4" s="1"/>
  <c r="C703" i="4"/>
  <c r="D703" i="4" s="1"/>
  <c r="C702" i="4"/>
  <c r="D702" i="4" s="1"/>
  <c r="C701" i="4"/>
  <c r="D701" i="4" s="1"/>
  <c r="C700" i="4"/>
  <c r="D700" i="4" s="1"/>
  <c r="C699" i="4"/>
  <c r="D699" i="4" s="1"/>
  <c r="C698" i="4"/>
  <c r="D698" i="4" s="1"/>
  <c r="C697" i="4"/>
  <c r="D697" i="4" s="1"/>
  <c r="C696" i="4"/>
  <c r="D696" i="4" s="1"/>
  <c r="C695" i="4"/>
  <c r="D695" i="4" s="1"/>
  <c r="C694" i="4"/>
  <c r="D694" i="4" s="1"/>
  <c r="C693" i="4"/>
  <c r="D693" i="4" s="1"/>
  <c r="C692" i="4"/>
  <c r="D692" i="4" s="1"/>
  <c r="C691" i="4"/>
  <c r="D691" i="4" s="1"/>
  <c r="C690" i="4"/>
  <c r="D690" i="4" s="1"/>
  <c r="D689" i="4"/>
  <c r="C689" i="4"/>
  <c r="C688" i="4"/>
  <c r="D688" i="4" s="1"/>
  <c r="C687" i="4"/>
  <c r="D687" i="4" s="1"/>
  <c r="C686" i="4"/>
  <c r="D686" i="4" s="1"/>
  <c r="C685" i="4"/>
  <c r="D685" i="4" s="1"/>
  <c r="D684" i="4"/>
  <c r="C684" i="4"/>
  <c r="C683" i="4"/>
  <c r="D683" i="4" s="1"/>
  <c r="C682" i="4"/>
  <c r="D682" i="4" s="1"/>
  <c r="C681" i="4"/>
  <c r="D681" i="4" s="1"/>
  <c r="C680" i="4"/>
  <c r="D680" i="4" s="1"/>
  <c r="C679" i="4"/>
  <c r="D679" i="4" s="1"/>
  <c r="C678" i="4"/>
  <c r="D678" i="4" s="1"/>
  <c r="C677" i="4"/>
  <c r="D677" i="4" s="1"/>
  <c r="C676" i="4"/>
  <c r="D676" i="4" s="1"/>
  <c r="C675" i="4"/>
  <c r="D675" i="4" s="1"/>
  <c r="C674" i="4"/>
  <c r="D674" i="4" s="1"/>
  <c r="C673" i="4"/>
  <c r="D673" i="4" s="1"/>
  <c r="C672" i="4"/>
  <c r="D672" i="4" s="1"/>
  <c r="C671" i="4"/>
  <c r="D671" i="4" s="1"/>
  <c r="C670" i="4"/>
  <c r="D670" i="4" s="1"/>
  <c r="C669" i="4"/>
  <c r="D669" i="4" s="1"/>
  <c r="C668" i="4"/>
  <c r="D668" i="4" s="1"/>
  <c r="C667" i="4"/>
  <c r="D667" i="4" s="1"/>
  <c r="C666" i="4"/>
  <c r="D666" i="4" s="1"/>
  <c r="C665" i="4"/>
  <c r="D665" i="4" s="1"/>
  <c r="C664" i="4"/>
  <c r="D664" i="4" s="1"/>
  <c r="C663" i="4"/>
  <c r="D663" i="4" s="1"/>
  <c r="C662" i="4"/>
  <c r="D662" i="4" s="1"/>
  <c r="C661" i="4"/>
  <c r="D661" i="4" s="1"/>
  <c r="C660" i="4"/>
  <c r="D660" i="4" s="1"/>
  <c r="C659" i="4"/>
  <c r="D659" i="4" s="1"/>
  <c r="C658" i="4"/>
  <c r="D658" i="4" s="1"/>
  <c r="C657" i="4"/>
  <c r="D657" i="4" s="1"/>
  <c r="C656" i="4"/>
  <c r="D656" i="4" s="1"/>
  <c r="C655" i="4"/>
  <c r="D655" i="4" s="1"/>
  <c r="C654" i="4"/>
  <c r="D654" i="4" s="1"/>
  <c r="C653" i="4"/>
  <c r="D653" i="4" s="1"/>
  <c r="C652" i="4"/>
  <c r="D652" i="4" s="1"/>
  <c r="C651" i="4"/>
  <c r="D651" i="4" s="1"/>
  <c r="C650" i="4"/>
  <c r="D650" i="4" s="1"/>
  <c r="C649" i="4"/>
  <c r="D649" i="4" s="1"/>
  <c r="C648" i="4"/>
  <c r="D648" i="4" s="1"/>
  <c r="C647" i="4"/>
  <c r="D647" i="4" s="1"/>
  <c r="C646" i="4"/>
  <c r="D646" i="4" s="1"/>
  <c r="D645" i="4"/>
  <c r="C645" i="4"/>
  <c r="C644" i="4"/>
  <c r="D644" i="4" s="1"/>
  <c r="C643" i="4"/>
  <c r="D643" i="4" s="1"/>
  <c r="C642" i="4"/>
  <c r="D642" i="4" s="1"/>
  <c r="C641" i="4"/>
  <c r="D641" i="4" s="1"/>
  <c r="C640" i="4"/>
  <c r="D640" i="4" s="1"/>
  <c r="C639" i="4"/>
  <c r="D639" i="4" s="1"/>
  <c r="C638" i="4"/>
  <c r="D638" i="4" s="1"/>
  <c r="C637" i="4"/>
  <c r="D637" i="4" s="1"/>
  <c r="C636" i="4"/>
  <c r="D636" i="4" s="1"/>
  <c r="C635" i="4"/>
  <c r="D635" i="4" s="1"/>
  <c r="C634" i="4"/>
  <c r="D634" i="4" s="1"/>
  <c r="C633" i="4"/>
  <c r="D633" i="4" s="1"/>
  <c r="C632" i="4"/>
  <c r="D632" i="4" s="1"/>
  <c r="C631" i="4"/>
  <c r="D631" i="4" s="1"/>
  <c r="C630" i="4"/>
  <c r="D630" i="4" s="1"/>
  <c r="C629" i="4"/>
  <c r="D629" i="4" s="1"/>
  <c r="C628" i="4"/>
  <c r="D628" i="4" s="1"/>
  <c r="C627" i="4"/>
  <c r="D627" i="4" s="1"/>
  <c r="C626" i="4"/>
  <c r="D626" i="4" s="1"/>
  <c r="D625" i="4"/>
  <c r="C625" i="4"/>
  <c r="D624" i="4"/>
  <c r="C624" i="4"/>
  <c r="C623" i="4"/>
  <c r="D623" i="4" s="1"/>
  <c r="C622" i="4"/>
  <c r="D622" i="4" s="1"/>
  <c r="C621" i="4"/>
  <c r="D621" i="4" s="1"/>
  <c r="D620" i="4"/>
  <c r="C620" i="4"/>
  <c r="C619" i="4"/>
  <c r="D619" i="4" s="1"/>
  <c r="C618" i="4"/>
  <c r="D618" i="4" s="1"/>
  <c r="C617" i="4"/>
  <c r="D617" i="4" s="1"/>
  <c r="C616" i="4"/>
  <c r="D616" i="4" s="1"/>
  <c r="C615" i="4"/>
  <c r="D615" i="4" s="1"/>
  <c r="C614" i="4"/>
  <c r="D614" i="4" s="1"/>
  <c r="C613" i="4"/>
  <c r="D613" i="4" s="1"/>
  <c r="C612" i="4"/>
  <c r="D612" i="4" s="1"/>
  <c r="C611" i="4"/>
  <c r="D611" i="4" s="1"/>
  <c r="C610" i="4"/>
  <c r="D610" i="4" s="1"/>
  <c r="C609" i="4"/>
  <c r="D609" i="4" s="1"/>
  <c r="C608" i="4"/>
  <c r="D608" i="4" s="1"/>
  <c r="C607" i="4"/>
  <c r="D607" i="4" s="1"/>
  <c r="C606" i="4"/>
  <c r="D606" i="4" s="1"/>
  <c r="C605" i="4"/>
  <c r="D605" i="4" s="1"/>
  <c r="C604" i="4"/>
  <c r="D604" i="4" s="1"/>
  <c r="C603" i="4"/>
  <c r="D603" i="4" s="1"/>
  <c r="C602" i="4"/>
  <c r="D602" i="4" s="1"/>
  <c r="C601" i="4"/>
  <c r="D601" i="4" s="1"/>
  <c r="C600" i="4"/>
  <c r="D600" i="4" s="1"/>
  <c r="C599" i="4"/>
  <c r="D599" i="4" s="1"/>
  <c r="C598" i="4"/>
  <c r="D598" i="4" s="1"/>
  <c r="C597" i="4"/>
  <c r="D597" i="4" s="1"/>
  <c r="C596" i="4"/>
  <c r="D596" i="4" s="1"/>
  <c r="C595" i="4"/>
  <c r="D595" i="4" s="1"/>
  <c r="C594" i="4"/>
  <c r="D594" i="4" s="1"/>
  <c r="C593" i="4"/>
  <c r="D593" i="4" s="1"/>
  <c r="C592" i="4"/>
  <c r="D592" i="4" s="1"/>
  <c r="C591" i="4"/>
  <c r="D591" i="4" s="1"/>
  <c r="C590" i="4"/>
  <c r="D590" i="4" s="1"/>
  <c r="C589" i="4"/>
  <c r="D589" i="4" s="1"/>
  <c r="C588" i="4"/>
  <c r="D588" i="4" s="1"/>
  <c r="C587" i="4"/>
  <c r="D587" i="4" s="1"/>
  <c r="C586" i="4"/>
  <c r="D586" i="4" s="1"/>
  <c r="C585" i="4"/>
  <c r="D585" i="4" s="1"/>
  <c r="C584" i="4"/>
  <c r="D584" i="4" s="1"/>
  <c r="C583" i="4"/>
  <c r="D583" i="4" s="1"/>
  <c r="C582" i="4"/>
  <c r="D582" i="4" s="1"/>
  <c r="D581" i="4"/>
  <c r="C581" i="4"/>
  <c r="C580" i="4"/>
  <c r="D580" i="4" s="1"/>
  <c r="C579" i="4"/>
  <c r="D579" i="4" s="1"/>
  <c r="C578" i="4"/>
  <c r="D578" i="4" s="1"/>
  <c r="C577" i="4"/>
  <c r="D577" i="4" s="1"/>
  <c r="D576" i="4"/>
  <c r="C576" i="4"/>
  <c r="C575" i="4"/>
  <c r="D575" i="4" s="1"/>
  <c r="C574" i="4"/>
  <c r="D574" i="4" s="1"/>
  <c r="C573" i="4"/>
  <c r="D573" i="4" s="1"/>
  <c r="C572" i="4"/>
  <c r="D572" i="4" s="1"/>
  <c r="C571" i="4"/>
  <c r="D571" i="4" s="1"/>
  <c r="C570" i="4"/>
  <c r="D570" i="4" s="1"/>
  <c r="C569" i="4"/>
  <c r="D569" i="4" s="1"/>
  <c r="C568" i="4"/>
  <c r="D568" i="4" s="1"/>
  <c r="C567" i="4"/>
  <c r="D567" i="4" s="1"/>
  <c r="C566" i="4"/>
  <c r="D566" i="4" s="1"/>
  <c r="C565" i="4"/>
  <c r="D565" i="4" s="1"/>
  <c r="C564" i="4"/>
  <c r="D564" i="4" s="1"/>
  <c r="C563" i="4"/>
  <c r="D563" i="4" s="1"/>
  <c r="C562" i="4"/>
  <c r="D562" i="4" s="1"/>
  <c r="C561" i="4"/>
  <c r="D561" i="4" s="1"/>
  <c r="C560" i="4"/>
  <c r="D560" i="4" s="1"/>
  <c r="C559" i="4"/>
  <c r="D559" i="4" s="1"/>
  <c r="C558" i="4"/>
  <c r="D558" i="4" s="1"/>
  <c r="C557" i="4"/>
  <c r="D557" i="4" s="1"/>
  <c r="D556" i="4"/>
  <c r="C556" i="4"/>
  <c r="C555" i="4"/>
  <c r="D555" i="4" s="1"/>
  <c r="C554" i="4"/>
  <c r="D554" i="4" s="1"/>
  <c r="C553" i="4"/>
  <c r="D553" i="4" s="1"/>
  <c r="C552" i="4"/>
  <c r="D552" i="4" s="1"/>
  <c r="D551" i="4"/>
  <c r="C551" i="4"/>
  <c r="C550" i="4"/>
  <c r="D550" i="4" s="1"/>
  <c r="C549" i="4"/>
  <c r="D549" i="4" s="1"/>
  <c r="C548" i="4"/>
  <c r="D548" i="4" s="1"/>
  <c r="C547" i="4"/>
  <c r="D547" i="4" s="1"/>
  <c r="C546" i="4"/>
  <c r="D546" i="4" s="1"/>
  <c r="C545" i="4"/>
  <c r="D545" i="4" s="1"/>
  <c r="C544" i="4"/>
  <c r="D544" i="4" s="1"/>
  <c r="C543" i="4"/>
  <c r="D543" i="4" s="1"/>
  <c r="C542" i="4"/>
  <c r="D542" i="4" s="1"/>
  <c r="C541" i="4"/>
  <c r="D541" i="4" s="1"/>
  <c r="C540" i="4"/>
  <c r="D540" i="4" s="1"/>
  <c r="D539" i="4"/>
  <c r="C539" i="4"/>
  <c r="C538" i="4"/>
  <c r="D538" i="4" s="1"/>
  <c r="C537" i="4"/>
  <c r="D537" i="4" s="1"/>
  <c r="C536" i="4"/>
  <c r="D536" i="4" s="1"/>
  <c r="C535" i="4"/>
  <c r="D535" i="4" s="1"/>
  <c r="C534" i="4"/>
  <c r="D534" i="4" s="1"/>
  <c r="C533" i="4"/>
  <c r="D533" i="4" s="1"/>
  <c r="C532" i="4"/>
  <c r="D532" i="4" s="1"/>
  <c r="C531" i="4"/>
  <c r="D531" i="4" s="1"/>
  <c r="C530" i="4"/>
  <c r="D530" i="4" s="1"/>
  <c r="C529" i="4"/>
  <c r="D529" i="4" s="1"/>
  <c r="C528" i="4"/>
  <c r="D528" i="4" s="1"/>
  <c r="C527" i="4"/>
  <c r="D527" i="4" s="1"/>
  <c r="C526" i="4"/>
  <c r="D526" i="4" s="1"/>
  <c r="C525" i="4"/>
  <c r="D525" i="4" s="1"/>
  <c r="C524" i="4"/>
  <c r="D524" i="4" s="1"/>
  <c r="C523" i="4"/>
  <c r="D523" i="4" s="1"/>
  <c r="C522" i="4"/>
  <c r="D522" i="4" s="1"/>
  <c r="C521" i="4"/>
  <c r="D521" i="4" s="1"/>
  <c r="C520" i="4"/>
  <c r="D520" i="4" s="1"/>
  <c r="C519" i="4"/>
  <c r="D519" i="4" s="1"/>
  <c r="C518" i="4"/>
  <c r="D518" i="4" s="1"/>
  <c r="C517" i="4"/>
  <c r="D517" i="4" s="1"/>
  <c r="C516" i="4"/>
  <c r="D516" i="4" s="1"/>
  <c r="C515" i="4"/>
  <c r="D515" i="4" s="1"/>
  <c r="C514" i="4"/>
  <c r="D514" i="4" s="1"/>
  <c r="C513" i="4"/>
  <c r="D513" i="4" s="1"/>
  <c r="C512" i="4"/>
  <c r="D512" i="4" s="1"/>
  <c r="C511" i="4"/>
  <c r="D511" i="4" s="1"/>
  <c r="C510" i="4"/>
  <c r="D510" i="4" s="1"/>
  <c r="C509" i="4"/>
  <c r="D509" i="4" s="1"/>
  <c r="C508" i="4"/>
  <c r="D508" i="4" s="1"/>
  <c r="C507" i="4"/>
  <c r="D507" i="4" s="1"/>
  <c r="C506" i="4"/>
  <c r="D506" i="4" s="1"/>
  <c r="C505" i="4"/>
  <c r="D505" i="4" s="1"/>
  <c r="C504" i="4"/>
  <c r="D504" i="4" s="1"/>
  <c r="D503" i="4"/>
  <c r="C503" i="4"/>
  <c r="C502" i="4"/>
  <c r="D502" i="4" s="1"/>
  <c r="C501" i="4"/>
  <c r="D501" i="4" s="1"/>
  <c r="C500" i="4"/>
  <c r="D500" i="4" s="1"/>
  <c r="C499" i="4"/>
  <c r="D499" i="4" s="1"/>
  <c r="C498" i="4"/>
  <c r="D498" i="4" s="1"/>
  <c r="C497" i="4"/>
  <c r="D497" i="4" s="1"/>
  <c r="C496" i="4"/>
  <c r="D496" i="4" s="1"/>
  <c r="D495" i="4"/>
  <c r="C495" i="4"/>
  <c r="C494" i="4"/>
  <c r="D494" i="4" s="1"/>
  <c r="C493" i="4"/>
  <c r="D493" i="4" s="1"/>
  <c r="C492" i="4"/>
  <c r="D492" i="4" s="1"/>
  <c r="C491" i="4"/>
  <c r="D491" i="4" s="1"/>
  <c r="C490" i="4"/>
  <c r="D490" i="4" s="1"/>
  <c r="C489" i="4"/>
  <c r="D489" i="4" s="1"/>
  <c r="C488" i="4"/>
  <c r="D488" i="4" s="1"/>
  <c r="C487" i="4"/>
  <c r="D487" i="4" s="1"/>
  <c r="C486" i="4"/>
  <c r="D486" i="4" s="1"/>
  <c r="C485" i="4"/>
  <c r="D485" i="4" s="1"/>
  <c r="C484" i="4"/>
  <c r="D484" i="4" s="1"/>
  <c r="C483" i="4"/>
  <c r="D483" i="4" s="1"/>
  <c r="C482" i="4"/>
  <c r="D482" i="4" s="1"/>
  <c r="C481" i="4"/>
  <c r="D481" i="4" s="1"/>
  <c r="C480" i="4"/>
  <c r="D480" i="4" s="1"/>
  <c r="C479" i="4"/>
  <c r="D479" i="4" s="1"/>
  <c r="C478" i="4"/>
  <c r="D478" i="4" s="1"/>
  <c r="C477" i="4"/>
  <c r="D477" i="4" s="1"/>
  <c r="C476" i="4"/>
  <c r="D476" i="4" s="1"/>
  <c r="D475" i="4"/>
  <c r="C475" i="4"/>
  <c r="C474" i="4"/>
  <c r="D474" i="4" s="1"/>
  <c r="C473" i="4"/>
  <c r="D473" i="4" s="1"/>
  <c r="C472" i="4"/>
  <c r="D472" i="4" s="1"/>
  <c r="C471" i="4"/>
  <c r="D471" i="4" s="1"/>
  <c r="C470" i="4"/>
  <c r="D470" i="4" s="1"/>
  <c r="C469" i="4"/>
  <c r="D469" i="4" s="1"/>
  <c r="C468" i="4"/>
  <c r="D468" i="4" s="1"/>
  <c r="C467" i="4"/>
  <c r="D467" i="4" s="1"/>
  <c r="C466" i="4"/>
  <c r="D466" i="4" s="1"/>
  <c r="C465" i="4"/>
  <c r="D465" i="4" s="1"/>
  <c r="C464" i="4"/>
  <c r="D464" i="4" s="1"/>
  <c r="D463" i="4"/>
  <c r="C463" i="4"/>
  <c r="C462" i="4"/>
  <c r="D462" i="4" s="1"/>
  <c r="C461" i="4"/>
  <c r="D461" i="4" s="1"/>
  <c r="C460" i="4"/>
  <c r="D460" i="4" s="1"/>
  <c r="C459" i="4"/>
  <c r="D459" i="4" s="1"/>
  <c r="C458" i="4"/>
  <c r="D458" i="4" s="1"/>
  <c r="C457" i="4"/>
  <c r="D457" i="4" s="1"/>
  <c r="C456" i="4"/>
  <c r="D456" i="4" s="1"/>
  <c r="C455" i="4"/>
  <c r="D455" i="4" s="1"/>
  <c r="C454" i="4"/>
  <c r="D454" i="4" s="1"/>
  <c r="C453" i="4"/>
  <c r="D453" i="4" s="1"/>
  <c r="C452" i="4"/>
  <c r="D452" i="4" s="1"/>
  <c r="C451" i="4"/>
  <c r="D451" i="4" s="1"/>
  <c r="C450" i="4"/>
  <c r="D450" i="4" s="1"/>
  <c r="C449" i="4"/>
  <c r="D449" i="4" s="1"/>
  <c r="C448" i="4"/>
  <c r="D448" i="4" s="1"/>
  <c r="C447" i="4"/>
  <c r="D447" i="4" s="1"/>
  <c r="C446" i="4"/>
  <c r="D446" i="4" s="1"/>
  <c r="C445" i="4"/>
  <c r="D445" i="4" s="1"/>
  <c r="C444" i="4"/>
  <c r="D444" i="4" s="1"/>
  <c r="C443" i="4"/>
  <c r="D443" i="4" s="1"/>
  <c r="C442" i="4"/>
  <c r="D442" i="4" s="1"/>
  <c r="C441" i="4"/>
  <c r="D441" i="4" s="1"/>
  <c r="C440" i="4"/>
  <c r="D440" i="4" s="1"/>
  <c r="C439" i="4"/>
  <c r="D439" i="4" s="1"/>
  <c r="C438" i="4"/>
  <c r="D438" i="4" s="1"/>
  <c r="C437" i="4"/>
  <c r="D437" i="4" s="1"/>
  <c r="C436" i="4"/>
  <c r="D436" i="4" s="1"/>
  <c r="D435" i="4"/>
  <c r="C435" i="4"/>
  <c r="C434" i="4"/>
  <c r="D434" i="4" s="1"/>
  <c r="C433" i="4"/>
  <c r="D433" i="4" s="1"/>
  <c r="C432" i="4"/>
  <c r="D432" i="4" s="1"/>
  <c r="D431" i="4"/>
  <c r="C431" i="4"/>
  <c r="C430" i="4"/>
  <c r="D430" i="4" s="1"/>
  <c r="C429" i="4"/>
  <c r="D429" i="4" s="1"/>
  <c r="C428" i="4"/>
  <c r="D428" i="4" s="1"/>
  <c r="C427" i="4"/>
  <c r="D427" i="4" s="1"/>
  <c r="C426" i="4"/>
  <c r="D426" i="4" s="1"/>
  <c r="C425" i="4"/>
  <c r="D425" i="4" s="1"/>
  <c r="C424" i="4"/>
  <c r="D424" i="4" s="1"/>
  <c r="C423" i="4"/>
  <c r="D423" i="4" s="1"/>
  <c r="C422" i="4"/>
  <c r="D422" i="4" s="1"/>
  <c r="C421" i="4"/>
  <c r="D421" i="4" s="1"/>
  <c r="C420" i="4"/>
  <c r="D420" i="4" s="1"/>
  <c r="C419" i="4"/>
  <c r="D419" i="4" s="1"/>
  <c r="C418" i="4"/>
  <c r="D418" i="4" s="1"/>
  <c r="C417" i="4"/>
  <c r="D417" i="4" s="1"/>
  <c r="C416" i="4"/>
  <c r="D416" i="4" s="1"/>
  <c r="C415" i="4"/>
  <c r="D415" i="4" s="1"/>
  <c r="C414" i="4"/>
  <c r="D414" i="4" s="1"/>
  <c r="C413" i="4"/>
  <c r="D413" i="4" s="1"/>
  <c r="C412" i="4"/>
  <c r="D412" i="4" s="1"/>
  <c r="D411" i="4"/>
  <c r="C411" i="4"/>
  <c r="C410" i="4"/>
  <c r="D410" i="4" s="1"/>
  <c r="C409" i="4"/>
  <c r="D409" i="4" s="1"/>
  <c r="C408" i="4"/>
  <c r="D408" i="4" s="1"/>
  <c r="C407" i="4"/>
  <c r="D407" i="4" s="1"/>
  <c r="C406" i="4"/>
  <c r="D406" i="4" s="1"/>
  <c r="C405" i="4"/>
  <c r="D405" i="4" s="1"/>
  <c r="C404" i="4"/>
  <c r="D404" i="4" s="1"/>
  <c r="C403" i="4"/>
  <c r="D403" i="4" s="1"/>
  <c r="C402" i="4"/>
  <c r="D402" i="4" s="1"/>
  <c r="C401" i="4"/>
  <c r="D401" i="4" s="1"/>
  <c r="C400" i="4"/>
  <c r="D400" i="4" s="1"/>
  <c r="C399" i="4"/>
  <c r="D399" i="4" s="1"/>
  <c r="C398" i="4"/>
  <c r="D398" i="4" s="1"/>
  <c r="C397" i="4"/>
  <c r="D397" i="4" s="1"/>
  <c r="C396" i="4"/>
  <c r="D396" i="4" s="1"/>
  <c r="C395" i="4"/>
  <c r="D395" i="4" s="1"/>
  <c r="C394" i="4"/>
  <c r="D394" i="4" s="1"/>
  <c r="C393" i="4"/>
  <c r="D393" i="4" s="1"/>
  <c r="C392" i="4"/>
  <c r="D392" i="4" s="1"/>
  <c r="D391" i="4"/>
  <c r="C391" i="4"/>
  <c r="C390" i="4"/>
  <c r="D390" i="4" s="1"/>
  <c r="C389" i="4"/>
  <c r="D389" i="4" s="1"/>
  <c r="C388" i="4"/>
  <c r="D388" i="4" s="1"/>
  <c r="C387" i="4"/>
  <c r="D387" i="4" s="1"/>
  <c r="C386" i="4"/>
  <c r="D386" i="4" s="1"/>
  <c r="C385" i="4"/>
  <c r="D385" i="4" s="1"/>
  <c r="C384" i="4"/>
  <c r="D384" i="4" s="1"/>
  <c r="C383" i="4"/>
  <c r="D383" i="4" s="1"/>
  <c r="C382" i="4"/>
  <c r="D382" i="4" s="1"/>
  <c r="C381" i="4"/>
  <c r="D381" i="4" s="1"/>
  <c r="C380" i="4"/>
  <c r="D380" i="4" s="1"/>
  <c r="C379" i="4"/>
  <c r="D379" i="4" s="1"/>
  <c r="C378" i="4"/>
  <c r="D378" i="4" s="1"/>
  <c r="C377" i="4"/>
  <c r="D377" i="4" s="1"/>
  <c r="C376" i="4"/>
  <c r="D376" i="4" s="1"/>
  <c r="D375" i="4"/>
  <c r="C375" i="4"/>
  <c r="C374" i="4"/>
  <c r="D374" i="4" s="1"/>
  <c r="C373" i="4"/>
  <c r="D373" i="4" s="1"/>
  <c r="C372" i="4"/>
  <c r="D372" i="4" s="1"/>
  <c r="D371" i="4"/>
  <c r="C371" i="4"/>
  <c r="C370" i="4"/>
  <c r="D370" i="4" s="1"/>
  <c r="C369" i="4"/>
  <c r="D369" i="4" s="1"/>
  <c r="C368" i="4"/>
  <c r="D368" i="4" s="1"/>
  <c r="D367" i="4"/>
  <c r="C367" i="4"/>
  <c r="C366" i="4"/>
  <c r="D366" i="4" s="1"/>
  <c r="C365" i="4"/>
  <c r="D365" i="4" s="1"/>
  <c r="C364" i="4"/>
  <c r="D364" i="4" s="1"/>
  <c r="C363" i="4"/>
  <c r="D363" i="4" s="1"/>
  <c r="C362" i="4"/>
  <c r="D362" i="4" s="1"/>
  <c r="C361" i="4"/>
  <c r="D361" i="4" s="1"/>
  <c r="C360" i="4"/>
  <c r="D360" i="4" s="1"/>
  <c r="C359" i="4"/>
  <c r="D359" i="4" s="1"/>
  <c r="C358" i="4"/>
  <c r="D358" i="4" s="1"/>
  <c r="C357" i="4"/>
  <c r="D357" i="4" s="1"/>
  <c r="C356" i="4"/>
  <c r="D356" i="4" s="1"/>
  <c r="C355" i="4"/>
  <c r="D355" i="4" s="1"/>
  <c r="C354" i="4"/>
  <c r="D354" i="4" s="1"/>
  <c r="C353" i="4"/>
  <c r="D353" i="4" s="1"/>
  <c r="C352" i="4"/>
  <c r="D352" i="4" s="1"/>
  <c r="C351" i="4"/>
  <c r="D351" i="4" s="1"/>
  <c r="C350" i="4"/>
  <c r="D350" i="4" s="1"/>
  <c r="C349" i="4"/>
  <c r="D349" i="4" s="1"/>
  <c r="C348" i="4"/>
  <c r="D348" i="4" s="1"/>
  <c r="D347" i="4"/>
  <c r="C347" i="4"/>
  <c r="C346" i="4"/>
  <c r="D346" i="4" s="1"/>
  <c r="C345" i="4"/>
  <c r="D345" i="4" s="1"/>
  <c r="C344" i="4"/>
  <c r="D344" i="4" s="1"/>
  <c r="C343" i="4"/>
  <c r="D343" i="4" s="1"/>
  <c r="C342" i="4"/>
  <c r="D342" i="4" s="1"/>
  <c r="C341" i="4"/>
  <c r="D341" i="4" s="1"/>
  <c r="C340" i="4"/>
  <c r="D340" i="4" s="1"/>
  <c r="C339" i="4"/>
  <c r="D339" i="4" s="1"/>
  <c r="C338" i="4"/>
  <c r="D338" i="4" s="1"/>
  <c r="C337" i="4"/>
  <c r="D337" i="4" s="1"/>
  <c r="C336" i="4"/>
  <c r="D336" i="4" s="1"/>
  <c r="D335" i="4"/>
  <c r="C335" i="4"/>
  <c r="C334" i="4"/>
  <c r="D334" i="4" s="1"/>
  <c r="C333" i="4"/>
  <c r="D333" i="4" s="1"/>
  <c r="C332" i="4"/>
  <c r="D332" i="4" s="1"/>
  <c r="C331" i="4"/>
  <c r="D331" i="4" s="1"/>
  <c r="C330" i="4"/>
  <c r="D330" i="4" s="1"/>
  <c r="C329" i="4"/>
  <c r="D329" i="4" s="1"/>
  <c r="C328" i="4"/>
  <c r="D328" i="4" s="1"/>
  <c r="C327" i="4"/>
  <c r="D327" i="4" s="1"/>
  <c r="C326" i="4"/>
  <c r="D326" i="4" s="1"/>
  <c r="C325" i="4"/>
  <c r="D325" i="4" s="1"/>
  <c r="C324" i="4"/>
  <c r="D324" i="4" s="1"/>
  <c r="C323" i="4"/>
  <c r="D323" i="4" s="1"/>
  <c r="C322" i="4"/>
  <c r="D322" i="4" s="1"/>
  <c r="C321" i="4"/>
  <c r="D321" i="4" s="1"/>
  <c r="C320" i="4"/>
  <c r="D320" i="4" s="1"/>
  <c r="C319" i="4"/>
  <c r="D319" i="4" s="1"/>
  <c r="C318" i="4"/>
  <c r="D318" i="4" s="1"/>
  <c r="C317" i="4"/>
  <c r="D317" i="4" s="1"/>
  <c r="C316" i="4"/>
  <c r="D316" i="4" s="1"/>
  <c r="C315" i="4"/>
  <c r="D315" i="4" s="1"/>
  <c r="C314" i="4"/>
  <c r="D314" i="4" s="1"/>
  <c r="C313" i="4"/>
  <c r="D313" i="4" s="1"/>
  <c r="C312" i="4"/>
  <c r="D312" i="4" s="1"/>
  <c r="C311" i="4"/>
  <c r="D311" i="4" s="1"/>
  <c r="C310" i="4"/>
  <c r="D310" i="4" s="1"/>
  <c r="C309" i="4"/>
  <c r="D309" i="4" s="1"/>
  <c r="C308" i="4"/>
  <c r="D308" i="4" s="1"/>
  <c r="C307" i="4"/>
  <c r="D307" i="4" s="1"/>
  <c r="C306" i="4"/>
  <c r="D306" i="4" s="1"/>
  <c r="C305" i="4"/>
  <c r="D305" i="4" s="1"/>
  <c r="C304" i="4"/>
  <c r="D304" i="4" s="1"/>
  <c r="C303" i="4"/>
  <c r="D303" i="4" s="1"/>
  <c r="C302" i="4"/>
  <c r="D302" i="4" s="1"/>
  <c r="C301" i="4"/>
  <c r="D301" i="4" s="1"/>
  <c r="C300" i="4"/>
  <c r="D300" i="4" s="1"/>
  <c r="C299" i="4"/>
  <c r="D299" i="4" s="1"/>
  <c r="C298" i="4"/>
  <c r="D298" i="4" s="1"/>
  <c r="C297" i="4"/>
  <c r="D297" i="4" s="1"/>
  <c r="C296" i="4"/>
  <c r="D296" i="4" s="1"/>
  <c r="C295" i="4"/>
  <c r="D295" i="4" s="1"/>
  <c r="C294" i="4"/>
  <c r="D294" i="4" s="1"/>
  <c r="C293" i="4"/>
  <c r="D293" i="4" s="1"/>
  <c r="C292" i="4"/>
  <c r="D292" i="4" s="1"/>
  <c r="C291" i="4"/>
  <c r="D291" i="4" s="1"/>
  <c r="C290" i="4"/>
  <c r="D290" i="4" s="1"/>
  <c r="C289" i="4"/>
  <c r="D289" i="4" s="1"/>
  <c r="C288" i="4"/>
  <c r="D288" i="4" s="1"/>
  <c r="C287" i="4"/>
  <c r="D287" i="4" s="1"/>
  <c r="C286" i="4"/>
  <c r="D286" i="4" s="1"/>
  <c r="C285" i="4"/>
  <c r="D285" i="4" s="1"/>
  <c r="C284" i="4"/>
  <c r="D284" i="4" s="1"/>
  <c r="C283" i="4"/>
  <c r="D283" i="4" s="1"/>
  <c r="C282" i="4"/>
  <c r="D282" i="4" s="1"/>
  <c r="C281" i="4"/>
  <c r="D281" i="4" s="1"/>
  <c r="C280" i="4"/>
  <c r="D280" i="4" s="1"/>
  <c r="C279" i="4"/>
  <c r="D279" i="4" s="1"/>
  <c r="C278" i="4"/>
  <c r="D278" i="4" s="1"/>
  <c r="C277" i="4"/>
  <c r="D277" i="4" s="1"/>
  <c r="C276" i="4"/>
  <c r="D276" i="4" s="1"/>
  <c r="D275" i="4"/>
  <c r="C275" i="4"/>
  <c r="C274" i="4"/>
  <c r="D274" i="4" s="1"/>
  <c r="C273" i="4"/>
  <c r="D273" i="4" s="1"/>
  <c r="C272" i="4"/>
  <c r="D272" i="4" s="1"/>
  <c r="C271" i="4"/>
  <c r="D271" i="4" s="1"/>
  <c r="C270" i="4"/>
  <c r="D270" i="4" s="1"/>
  <c r="C269" i="4"/>
  <c r="D269" i="4" s="1"/>
  <c r="C268" i="4"/>
  <c r="D268" i="4" s="1"/>
  <c r="C267" i="4"/>
  <c r="D267" i="4" s="1"/>
  <c r="C266" i="4"/>
  <c r="D266" i="4" s="1"/>
  <c r="C265" i="4"/>
  <c r="D265" i="4" s="1"/>
  <c r="C264" i="4"/>
  <c r="D264" i="4" s="1"/>
  <c r="C263" i="4"/>
  <c r="D263" i="4" s="1"/>
  <c r="C262" i="4"/>
  <c r="D262" i="4" s="1"/>
  <c r="C261" i="4"/>
  <c r="D261" i="4" s="1"/>
  <c r="C260" i="4"/>
  <c r="D260" i="4" s="1"/>
  <c r="C259" i="4"/>
  <c r="D259" i="4" s="1"/>
  <c r="C258" i="4"/>
  <c r="D258" i="4" s="1"/>
  <c r="C257" i="4"/>
  <c r="D257" i="4" s="1"/>
  <c r="C256" i="4"/>
  <c r="D256" i="4" s="1"/>
  <c r="C255" i="4"/>
  <c r="D255" i="4" s="1"/>
  <c r="C254" i="4"/>
  <c r="D254" i="4" s="1"/>
  <c r="C253" i="4"/>
  <c r="D253" i="4" s="1"/>
  <c r="C252" i="4"/>
  <c r="D252" i="4" s="1"/>
  <c r="C251" i="4"/>
  <c r="D251" i="4" s="1"/>
  <c r="C250" i="4"/>
  <c r="D250" i="4" s="1"/>
  <c r="C249" i="4"/>
  <c r="D249" i="4" s="1"/>
  <c r="C248" i="4"/>
  <c r="D248" i="4" s="1"/>
  <c r="C247" i="4"/>
  <c r="D247" i="4" s="1"/>
  <c r="C246" i="4"/>
  <c r="D246" i="4" s="1"/>
  <c r="D245" i="4"/>
  <c r="C245" i="4"/>
  <c r="C244" i="4"/>
  <c r="D244" i="4" s="1"/>
  <c r="C243" i="4"/>
  <c r="D243" i="4" s="1"/>
  <c r="C242" i="4"/>
  <c r="D242" i="4" s="1"/>
  <c r="C241" i="4"/>
  <c r="D241" i="4" s="1"/>
  <c r="C240" i="4"/>
  <c r="D240" i="4" s="1"/>
  <c r="C239" i="4"/>
  <c r="D239" i="4" s="1"/>
  <c r="D238" i="4"/>
  <c r="C238" i="4"/>
  <c r="C237" i="4"/>
  <c r="D237" i="4" s="1"/>
  <c r="C236" i="4"/>
  <c r="D236" i="4" s="1"/>
  <c r="C235" i="4"/>
  <c r="D235" i="4" s="1"/>
  <c r="C234" i="4"/>
  <c r="D234" i="4" s="1"/>
  <c r="C233" i="4"/>
  <c r="D233" i="4" s="1"/>
  <c r="C232" i="4"/>
  <c r="D232" i="4" s="1"/>
  <c r="D231" i="4"/>
  <c r="C231" i="4"/>
  <c r="C230" i="4"/>
  <c r="D230" i="4" s="1"/>
  <c r="C229" i="4"/>
  <c r="D229" i="4" s="1"/>
  <c r="C228" i="4"/>
  <c r="D228" i="4" s="1"/>
  <c r="C227" i="4"/>
  <c r="D227" i="4" s="1"/>
  <c r="C226" i="4"/>
  <c r="D226" i="4" s="1"/>
  <c r="C225" i="4"/>
  <c r="D225" i="4" s="1"/>
  <c r="C224" i="4"/>
  <c r="D224" i="4" s="1"/>
  <c r="C223" i="4"/>
  <c r="D223" i="4" s="1"/>
  <c r="C222" i="4"/>
  <c r="D222" i="4" s="1"/>
  <c r="C221" i="4"/>
  <c r="D221" i="4" s="1"/>
  <c r="C220" i="4"/>
  <c r="D220" i="4" s="1"/>
  <c r="C219" i="4"/>
  <c r="D219" i="4" s="1"/>
  <c r="C218" i="4"/>
  <c r="D218" i="4" s="1"/>
  <c r="C217" i="4"/>
  <c r="D217" i="4" s="1"/>
  <c r="D216" i="4"/>
  <c r="C216" i="4"/>
  <c r="C215" i="4"/>
  <c r="D215" i="4" s="1"/>
  <c r="C214" i="4"/>
  <c r="D214" i="4" s="1"/>
  <c r="C213" i="4"/>
  <c r="D213" i="4" s="1"/>
  <c r="C212" i="4"/>
  <c r="D212" i="4" s="1"/>
  <c r="C211" i="4"/>
  <c r="D211" i="4" s="1"/>
  <c r="D210" i="4"/>
  <c r="C210" i="4"/>
  <c r="C209" i="4"/>
  <c r="D209" i="4" s="1"/>
  <c r="C208" i="4"/>
  <c r="D208" i="4" s="1"/>
  <c r="C207" i="4"/>
  <c r="D207" i="4" s="1"/>
  <c r="D206" i="4"/>
  <c r="C206" i="4"/>
  <c r="D205" i="4"/>
  <c r="C205" i="4"/>
  <c r="C204" i="4"/>
  <c r="D204" i="4" s="1"/>
  <c r="C203" i="4"/>
  <c r="D203" i="4" s="1"/>
  <c r="C202" i="4"/>
  <c r="D202" i="4" s="1"/>
  <c r="D201" i="4"/>
  <c r="C201" i="4"/>
  <c r="C200" i="4"/>
  <c r="D200" i="4" s="1"/>
  <c r="C199" i="4"/>
  <c r="D199" i="4" s="1"/>
  <c r="C198" i="4"/>
  <c r="D198" i="4" s="1"/>
  <c r="D197" i="4"/>
  <c r="C197" i="4"/>
  <c r="C196" i="4"/>
  <c r="D196" i="4" s="1"/>
  <c r="C195" i="4"/>
  <c r="D195" i="4" s="1"/>
  <c r="C194" i="4"/>
  <c r="D194" i="4" s="1"/>
  <c r="C193" i="4"/>
  <c r="D193" i="4" s="1"/>
  <c r="D192" i="4"/>
  <c r="C192" i="4"/>
  <c r="C191" i="4"/>
  <c r="D191" i="4" s="1"/>
  <c r="C190" i="4"/>
  <c r="D190" i="4" s="1"/>
  <c r="C189" i="4"/>
  <c r="D189" i="4" s="1"/>
  <c r="D188" i="4"/>
  <c r="C188" i="4"/>
  <c r="C187" i="4"/>
  <c r="D187" i="4" s="1"/>
  <c r="C186" i="4"/>
  <c r="D186" i="4" s="1"/>
  <c r="C185" i="4"/>
  <c r="D185" i="4" s="1"/>
  <c r="C184" i="4"/>
  <c r="D184" i="4" s="1"/>
  <c r="C183" i="4"/>
  <c r="D183" i="4" s="1"/>
  <c r="C182" i="4"/>
  <c r="D182" i="4" s="1"/>
  <c r="C181" i="4"/>
  <c r="D181" i="4" s="1"/>
  <c r="D180" i="4"/>
  <c r="C180" i="4"/>
  <c r="C179" i="4"/>
  <c r="D179" i="4" s="1"/>
  <c r="C178" i="4"/>
  <c r="D178" i="4" s="1"/>
  <c r="C177" i="4"/>
  <c r="D177" i="4" s="1"/>
  <c r="C176" i="4"/>
  <c r="D176" i="4" s="1"/>
  <c r="C175" i="4"/>
  <c r="D175" i="4" s="1"/>
  <c r="C174" i="4"/>
  <c r="D174" i="4" s="1"/>
  <c r="C173" i="4"/>
  <c r="D173" i="4" s="1"/>
  <c r="C172" i="4"/>
  <c r="D172" i="4" s="1"/>
  <c r="C171" i="4"/>
  <c r="D171" i="4" s="1"/>
  <c r="C170" i="4"/>
  <c r="D170" i="4" s="1"/>
  <c r="C169" i="4"/>
  <c r="D169" i="4" s="1"/>
  <c r="C168" i="4"/>
  <c r="D168" i="4" s="1"/>
  <c r="C167" i="4"/>
  <c r="D167" i="4" s="1"/>
  <c r="C166" i="4"/>
  <c r="D166" i="4" s="1"/>
  <c r="C165" i="4"/>
  <c r="D165" i="4" s="1"/>
  <c r="C164" i="4"/>
  <c r="D164" i="4" s="1"/>
  <c r="C163" i="4"/>
  <c r="D163" i="4" s="1"/>
  <c r="C162" i="4"/>
  <c r="D162" i="4" s="1"/>
  <c r="C161" i="4"/>
  <c r="D161" i="4" s="1"/>
  <c r="C160" i="4"/>
  <c r="D160" i="4" s="1"/>
  <c r="C159" i="4"/>
  <c r="D159" i="4" s="1"/>
  <c r="C158" i="4"/>
  <c r="D158" i="4" s="1"/>
  <c r="D157" i="4"/>
  <c r="C157" i="4"/>
  <c r="C156" i="4"/>
  <c r="D156" i="4" s="1"/>
  <c r="C155" i="4"/>
  <c r="D155" i="4" s="1"/>
  <c r="C154" i="4"/>
  <c r="D154" i="4" s="1"/>
  <c r="C153" i="4"/>
  <c r="D153" i="4" s="1"/>
  <c r="C152" i="4"/>
  <c r="D152" i="4" s="1"/>
  <c r="C151" i="4"/>
  <c r="D151" i="4" s="1"/>
  <c r="C150" i="4"/>
  <c r="D150" i="4" s="1"/>
  <c r="C149" i="4"/>
  <c r="D149" i="4" s="1"/>
  <c r="C148" i="4"/>
  <c r="D148" i="4" s="1"/>
  <c r="C147" i="4"/>
  <c r="D147" i="4" s="1"/>
  <c r="D146" i="4"/>
  <c r="C146" i="4"/>
  <c r="C145" i="4"/>
  <c r="D145" i="4" s="1"/>
  <c r="C144" i="4"/>
  <c r="D144" i="4" s="1"/>
  <c r="C143" i="4"/>
  <c r="D143" i="4" s="1"/>
  <c r="D142" i="4"/>
  <c r="C142" i="4"/>
  <c r="C141" i="4"/>
  <c r="D141" i="4" s="1"/>
  <c r="C140" i="4"/>
  <c r="D140" i="4" s="1"/>
  <c r="C139" i="4"/>
  <c r="D139" i="4" s="1"/>
  <c r="D138" i="4"/>
  <c r="C138" i="4"/>
  <c r="D137" i="4"/>
  <c r="C137" i="4"/>
  <c r="C136" i="4"/>
  <c r="D136" i="4" s="1"/>
  <c r="C135" i="4"/>
  <c r="D135" i="4" s="1"/>
  <c r="C134" i="4"/>
  <c r="D134" i="4" s="1"/>
  <c r="D133" i="4"/>
  <c r="C133" i="4"/>
  <c r="C132" i="4"/>
  <c r="D132" i="4" s="1"/>
  <c r="C131" i="4"/>
  <c r="D131" i="4" s="1"/>
  <c r="C130" i="4"/>
  <c r="D130" i="4" s="1"/>
  <c r="C129" i="4"/>
  <c r="D129" i="4" s="1"/>
  <c r="D128" i="4"/>
  <c r="C128" i="4"/>
  <c r="C127" i="4"/>
  <c r="D127" i="4" s="1"/>
  <c r="C126" i="4"/>
  <c r="D126" i="4" s="1"/>
  <c r="C125" i="4"/>
  <c r="D125" i="4" s="1"/>
  <c r="D124" i="4"/>
  <c r="C124" i="4"/>
  <c r="C123" i="4"/>
  <c r="D123" i="4" s="1"/>
  <c r="C122" i="4"/>
  <c r="D122" i="4" s="1"/>
  <c r="C121" i="4"/>
  <c r="D121" i="4" s="1"/>
  <c r="D120" i="4"/>
  <c r="C120" i="4"/>
  <c r="C119" i="4"/>
  <c r="D119" i="4" s="1"/>
  <c r="C118" i="4"/>
  <c r="D118" i="4" s="1"/>
  <c r="C117" i="4"/>
  <c r="D117" i="4" s="1"/>
  <c r="C116" i="4"/>
  <c r="D116" i="4" s="1"/>
  <c r="C115" i="4"/>
  <c r="D115" i="4" s="1"/>
  <c r="C114" i="4"/>
  <c r="D114" i="4" s="1"/>
  <c r="C113" i="4"/>
  <c r="D113" i="4" s="1"/>
  <c r="C112" i="4"/>
  <c r="D112" i="4" s="1"/>
  <c r="C111" i="4"/>
  <c r="D111" i="4" s="1"/>
  <c r="C110" i="4"/>
  <c r="D110" i="4" s="1"/>
  <c r="C109" i="4"/>
  <c r="D109" i="4" s="1"/>
  <c r="C108" i="4"/>
  <c r="D108" i="4" s="1"/>
  <c r="C107" i="4"/>
  <c r="D107" i="4" s="1"/>
  <c r="C106" i="4"/>
  <c r="D106" i="4" s="1"/>
  <c r="C105" i="4"/>
  <c r="D105" i="4" s="1"/>
  <c r="C104" i="4"/>
  <c r="D104" i="4" s="1"/>
  <c r="C103" i="4"/>
  <c r="D103" i="4" s="1"/>
  <c r="D102" i="4"/>
  <c r="C102" i="4"/>
  <c r="C101" i="4"/>
  <c r="D101" i="4" s="1"/>
  <c r="C100" i="4"/>
  <c r="D100" i="4" s="1"/>
  <c r="C99" i="4"/>
  <c r="D99" i="4" s="1"/>
  <c r="C98" i="4"/>
  <c r="D98" i="4" s="1"/>
  <c r="D97" i="4"/>
  <c r="C97" i="4"/>
  <c r="C96" i="4"/>
  <c r="D96" i="4" s="1"/>
  <c r="C95" i="4"/>
  <c r="D95" i="4" s="1"/>
  <c r="C94" i="4"/>
  <c r="D94" i="4" s="1"/>
  <c r="D93" i="4"/>
  <c r="C93" i="4"/>
  <c r="C92" i="4"/>
  <c r="D92" i="4" s="1"/>
  <c r="C91" i="4"/>
  <c r="D91" i="4" s="1"/>
  <c r="C90" i="4"/>
  <c r="D90" i="4" s="1"/>
  <c r="C89" i="4"/>
  <c r="D89" i="4" s="1"/>
  <c r="C88" i="4"/>
  <c r="D88" i="4" s="1"/>
  <c r="C87" i="4"/>
  <c r="D87" i="4" s="1"/>
  <c r="C86" i="4"/>
  <c r="D86" i="4" s="1"/>
  <c r="C85" i="4"/>
  <c r="D85" i="4" s="1"/>
  <c r="D84" i="4"/>
  <c r="C84" i="4"/>
  <c r="C83" i="4"/>
  <c r="D83" i="4" s="1"/>
  <c r="D82" i="4"/>
  <c r="C82" i="4"/>
  <c r="C81" i="4"/>
  <c r="D81" i="4" s="1"/>
  <c r="C80" i="4"/>
  <c r="D80" i="4" s="1"/>
  <c r="C79" i="4"/>
  <c r="D79" i="4" s="1"/>
  <c r="D78" i="4"/>
  <c r="C78" i="4"/>
  <c r="C77" i="4"/>
  <c r="D77" i="4" s="1"/>
  <c r="C76" i="4"/>
  <c r="D76" i="4" s="1"/>
  <c r="C75" i="4"/>
  <c r="D75" i="4" s="1"/>
  <c r="C74" i="4"/>
  <c r="D74" i="4" s="1"/>
  <c r="D73" i="4"/>
  <c r="C73" i="4"/>
  <c r="C72" i="4"/>
  <c r="D72" i="4" s="1"/>
  <c r="C71" i="4"/>
  <c r="D71" i="4" s="1"/>
  <c r="C70" i="4"/>
  <c r="D70" i="4" s="1"/>
  <c r="D69" i="4"/>
  <c r="C69" i="4"/>
  <c r="C68" i="4"/>
  <c r="D68" i="4" s="1"/>
  <c r="C67" i="4"/>
  <c r="D67" i="4" s="1"/>
  <c r="C66" i="4"/>
  <c r="D66" i="4" s="1"/>
  <c r="C65" i="4"/>
  <c r="D65" i="4" s="1"/>
  <c r="D64" i="4"/>
  <c r="C64" i="4"/>
  <c r="C63" i="4"/>
  <c r="D63" i="4" s="1"/>
  <c r="C62" i="4"/>
  <c r="D62" i="4" s="1"/>
  <c r="D61" i="4"/>
  <c r="C61" i="4"/>
  <c r="D60" i="4"/>
  <c r="C60" i="4"/>
  <c r="C59" i="4"/>
  <c r="D59" i="4" s="1"/>
  <c r="C58" i="4"/>
  <c r="D58" i="4" s="1"/>
  <c r="C57" i="4"/>
  <c r="D57" i="4" s="1"/>
  <c r="C56" i="4"/>
  <c r="D56" i="4" s="1"/>
  <c r="C55" i="4"/>
  <c r="D55" i="4" s="1"/>
  <c r="C54" i="4"/>
  <c r="D54" i="4" s="1"/>
  <c r="C53" i="4"/>
  <c r="D53" i="4" s="1"/>
  <c r="C52" i="4"/>
  <c r="D52" i="4" s="1"/>
  <c r="C51" i="4"/>
  <c r="D51" i="4" s="1"/>
  <c r="C50" i="4"/>
  <c r="D50" i="4" s="1"/>
  <c r="C49" i="4"/>
  <c r="D49" i="4" s="1"/>
  <c r="C48" i="4"/>
  <c r="D48" i="4" s="1"/>
  <c r="C47" i="4"/>
  <c r="D47" i="4" s="1"/>
  <c r="C46" i="4"/>
  <c r="D46" i="4" s="1"/>
  <c r="C45" i="4"/>
  <c r="D45" i="4" s="1"/>
  <c r="C44" i="4"/>
  <c r="D44" i="4" s="1"/>
  <c r="C43" i="4"/>
  <c r="D43" i="4" s="1"/>
  <c r="C42" i="4"/>
  <c r="D42" i="4" s="1"/>
  <c r="C41" i="4"/>
  <c r="D41" i="4" s="1"/>
  <c r="C40" i="4"/>
  <c r="D40" i="4" s="1"/>
  <c r="C39" i="4"/>
  <c r="D39" i="4" s="1"/>
  <c r="C38" i="4"/>
  <c r="D38" i="4" s="1"/>
  <c r="C37" i="4"/>
  <c r="D37" i="4" s="1"/>
  <c r="S36" i="4"/>
  <c r="D36" i="4"/>
  <c r="C36" i="4"/>
  <c r="C35" i="4"/>
  <c r="D35" i="4" s="1"/>
  <c r="C34" i="4"/>
  <c r="D34" i="4" s="1"/>
  <c r="S33" i="4"/>
  <c r="C33" i="4"/>
  <c r="D33" i="4" s="1"/>
  <c r="S32" i="4"/>
  <c r="C32" i="4"/>
  <c r="D32" i="4" s="1"/>
  <c r="S31" i="4"/>
  <c r="C31" i="4"/>
  <c r="D31" i="4" s="1"/>
  <c r="C30" i="4"/>
  <c r="D30" i="4" s="1"/>
  <c r="C29" i="4"/>
  <c r="D29" i="4" s="1"/>
  <c r="C28" i="4"/>
  <c r="D28" i="4" s="1"/>
  <c r="C27" i="4"/>
  <c r="D27" i="4" s="1"/>
  <c r="C26" i="4"/>
  <c r="D26" i="4" s="1"/>
  <c r="S25" i="4"/>
  <c r="T25" i="4" s="1"/>
  <c r="W25" i="4" s="1"/>
  <c r="X25" i="4" s="1"/>
  <c r="C25" i="4"/>
  <c r="D25" i="4" s="1"/>
  <c r="C24" i="4"/>
  <c r="D24" i="4" s="1"/>
  <c r="D23" i="4"/>
  <c r="C23" i="4"/>
  <c r="C22" i="4"/>
  <c r="D22" i="4" s="1"/>
  <c r="C21" i="4"/>
  <c r="D21" i="4" s="1"/>
  <c r="S20" i="4"/>
  <c r="T20" i="4" s="1"/>
  <c r="W20" i="4" s="1"/>
  <c r="X20" i="4" s="1"/>
  <c r="C20" i="4"/>
  <c r="D20" i="4" s="1"/>
  <c r="D19" i="4"/>
  <c r="C19" i="4"/>
  <c r="C18" i="4"/>
  <c r="D18" i="4" s="1"/>
  <c r="C17" i="4"/>
  <c r="D17" i="4" s="1"/>
  <c r="D16" i="4"/>
  <c r="C16" i="4"/>
  <c r="C15" i="4"/>
  <c r="D15" i="4" s="1"/>
  <c r="S14" i="4"/>
  <c r="T14" i="4" s="1"/>
  <c r="C14" i="4"/>
  <c r="D14" i="4" s="1"/>
  <c r="S13" i="4"/>
  <c r="T13" i="4" s="1"/>
  <c r="W13" i="4" s="1"/>
  <c r="C13" i="4"/>
  <c r="D13" i="4" s="1"/>
  <c r="C12" i="4"/>
  <c r="D12" i="4" s="1"/>
  <c r="C11" i="4"/>
  <c r="D11" i="4" s="1"/>
  <c r="C10" i="4"/>
  <c r="D10" i="4" s="1"/>
  <c r="C9" i="4"/>
  <c r="D9" i="4" s="1"/>
  <c r="C8" i="4"/>
  <c r="D8" i="4" s="1"/>
  <c r="C7" i="4"/>
  <c r="D7" i="4" s="1"/>
  <c r="C6" i="4"/>
  <c r="D6" i="4" s="1"/>
  <c r="C5" i="4"/>
  <c r="D5" i="4" s="1"/>
  <c r="C4" i="4"/>
  <c r="D4" i="4" s="1"/>
  <c r="C3" i="4"/>
  <c r="D3" i="4" s="1"/>
  <c r="C2" i="4"/>
  <c r="D2" i="4" s="1"/>
  <c r="C1" i="4"/>
  <c r="D1" i="4" s="1"/>
  <c r="G791" i="5" l="1"/>
  <c r="F792" i="5"/>
  <c r="G792" i="5"/>
  <c r="F793" i="5"/>
  <c r="G793" i="5"/>
  <c r="G797" i="5"/>
  <c r="F797" i="5"/>
  <c r="F787" i="5"/>
  <c r="G787" i="5"/>
  <c r="G794" i="5"/>
  <c r="F795" i="5"/>
  <c r="G795" i="5"/>
  <c r="F789" i="5"/>
  <c r="J792" i="5" s="1"/>
  <c r="G789" i="5"/>
  <c r="G798" i="5"/>
  <c r="F798" i="5"/>
  <c r="F785" i="5"/>
  <c r="G785" i="5"/>
  <c r="F788" i="5"/>
  <c r="G788" i="5"/>
  <c r="F790" i="5"/>
  <c r="J793" i="5" s="1"/>
  <c r="G790" i="5"/>
  <c r="F796" i="5"/>
  <c r="G796" i="5"/>
  <c r="G786" i="5"/>
  <c r="F786" i="5"/>
  <c r="T49" i="5"/>
  <c r="Z49" i="5" s="1"/>
  <c r="U7" i="3"/>
  <c r="Z42" i="5"/>
  <c r="T37" i="4"/>
  <c r="W37" i="4" s="1"/>
  <c r="X37" i="4" s="1"/>
  <c r="Z58" i="5"/>
  <c r="S34" i="4"/>
  <c r="T34" i="4"/>
  <c r="W34" i="4" s="1"/>
  <c r="X34" i="4" s="1"/>
  <c r="S27" i="4"/>
  <c r="T27" i="4"/>
  <c r="W27" i="4" s="1"/>
  <c r="X27" i="4" s="1"/>
  <c r="T57" i="5"/>
  <c r="Z57" i="5" s="1"/>
  <c r="T36" i="4"/>
  <c r="W36" i="4" s="1"/>
  <c r="X36" i="4" s="1"/>
  <c r="T33" i="4"/>
  <c r="W33" i="4" s="1"/>
  <c r="X33" i="4" s="1"/>
  <c r="T45" i="5"/>
  <c r="Z45" i="5" s="1"/>
  <c r="T58" i="5"/>
  <c r="T46" i="5"/>
  <c r="Z46" i="5" s="1"/>
  <c r="Z43" i="5"/>
  <c r="Z56" i="5"/>
  <c r="Z63" i="5"/>
  <c r="Z51" i="5"/>
  <c r="T62" i="5"/>
  <c r="Z62" i="5" s="1"/>
  <c r="Z41" i="5"/>
  <c r="Z71" i="5"/>
  <c r="Z70" i="5"/>
  <c r="U6" i="3"/>
  <c r="Z60" i="5"/>
  <c r="T43" i="5"/>
  <c r="P7" i="3"/>
  <c r="P6" i="3"/>
  <c r="Z69" i="5"/>
  <c r="Z53" i="5"/>
  <c r="AA9" i="5"/>
  <c r="Z9" i="5"/>
  <c r="Z20" i="5"/>
  <c r="AA20" i="5"/>
  <c r="Z32" i="5"/>
  <c r="AA32" i="5"/>
  <c r="AA27" i="5"/>
  <c r="Z27" i="5"/>
  <c r="Z15" i="5"/>
  <c r="AA15" i="5"/>
  <c r="Z8" i="5"/>
  <c r="AA8" i="5"/>
  <c r="AA18" i="5"/>
  <c r="Z18" i="5"/>
  <c r="Z35" i="5"/>
  <c r="AA35" i="5"/>
  <c r="AA26" i="5"/>
  <c r="Z26" i="5"/>
  <c r="AA6" i="5"/>
  <c r="Z6" i="5"/>
  <c r="Z34" i="5"/>
  <c r="AA34" i="5"/>
  <c r="AA14" i="5"/>
  <c r="Z14" i="5"/>
  <c r="Z12" i="5"/>
  <c r="Z21" i="5"/>
  <c r="Z37" i="5"/>
  <c r="Z13" i="5"/>
  <c r="AA13" i="5"/>
  <c r="AA10" i="5"/>
  <c r="Z10" i="5"/>
  <c r="AA22" i="5"/>
  <c r="Z22" i="5"/>
  <c r="AA36" i="5"/>
  <c r="Z36" i="5"/>
  <c r="Z7" i="5"/>
  <c r="AA7" i="5"/>
  <c r="AA24" i="5"/>
  <c r="Z24" i="5"/>
  <c r="AA19" i="5"/>
  <c r="Z19" i="5"/>
  <c r="Z33" i="5"/>
  <c r="AA33" i="5"/>
  <c r="AA4" i="5"/>
  <c r="Z4" i="5"/>
  <c r="AA28" i="5"/>
  <c r="Z28" i="5"/>
  <c r="AA30" i="5"/>
  <c r="Z30" i="5"/>
  <c r="Z5" i="5"/>
  <c r="Z17" i="5"/>
  <c r="Z31" i="5"/>
  <c r="Z23" i="5"/>
  <c r="Z29" i="5"/>
  <c r="S22" i="4"/>
  <c r="T22" i="4" s="1"/>
  <c r="W22" i="4" s="1"/>
  <c r="X22" i="4" s="1"/>
  <c r="S38" i="4"/>
  <c r="T38" i="4" s="1"/>
  <c r="W38" i="4" s="1"/>
  <c r="S28" i="4"/>
  <c r="T28" i="4" s="1"/>
  <c r="W28" i="4" s="1"/>
  <c r="X28" i="4" s="1"/>
  <c r="S15" i="4"/>
  <c r="T15" i="4" s="1"/>
  <c r="W15" i="4" s="1"/>
  <c r="X15" i="4" s="1"/>
  <c r="T21" i="4"/>
  <c r="W21" i="4" s="1"/>
  <c r="X21" i="4" s="1"/>
  <c r="S26" i="4"/>
  <c r="T26" i="4" s="1"/>
  <c r="W26" i="4" s="1"/>
  <c r="X26" i="4" s="1"/>
  <c r="S11" i="4"/>
  <c r="T11" i="4" s="1"/>
  <c r="W11" i="4" s="1"/>
  <c r="X11" i="4" s="1"/>
  <c r="S17" i="4"/>
  <c r="T17" i="4" s="1"/>
  <c r="W17" i="4" s="1"/>
  <c r="S24" i="4"/>
  <c r="T24" i="4" s="1"/>
  <c r="W24" i="4" s="1"/>
  <c r="S30" i="4"/>
  <c r="T30" i="4" s="1"/>
  <c r="W30" i="4" s="1"/>
  <c r="X30" i="4" s="1"/>
  <c r="S10" i="4"/>
  <c r="T10" i="4" s="1"/>
  <c r="W10" i="4" s="1"/>
  <c r="X10" i="4" s="1"/>
  <c r="S16" i="4"/>
  <c r="T16" i="4" s="1"/>
  <c r="W16" i="4" s="1"/>
  <c r="X16" i="4" s="1"/>
  <c r="S23" i="4"/>
  <c r="T23" i="4" s="1"/>
  <c r="W23" i="4" s="1"/>
  <c r="X23" i="4" s="1"/>
  <c r="S29" i="4"/>
  <c r="T29" i="4" s="1"/>
  <c r="W29" i="4" s="1"/>
  <c r="X29" i="4" s="1"/>
  <c r="S35" i="4"/>
  <c r="T35" i="4" s="1"/>
  <c r="W35" i="4" s="1"/>
  <c r="F794" i="5" l="1"/>
  <c r="F791" i="5"/>
  <c r="J794" i="5" s="1"/>
  <c r="W791" i="5" s="1"/>
  <c r="K745" i="2"/>
  <c r="L793" i="5" l="1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J797" i="5" l="1"/>
  <c r="J796" i="5"/>
  <c r="U791" i="5" s="1"/>
  <c r="J795" i="5"/>
  <c r="S791" i="5" s="1"/>
  <c r="N793" i="5"/>
  <c r="P793" i="5" s="1"/>
  <c r="R791" i="5" s="1"/>
  <c r="E34" i="3"/>
  <c r="C34" i="3"/>
  <c r="L797" i="5" l="1"/>
  <c r="N797" i="5" s="1"/>
  <c r="T791" i="5" s="1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6" i="3"/>
  <c r="G34" i="3" l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4" i="1"/>
  <c r="S46" i="1"/>
  <c r="T46" i="1" s="1"/>
  <c r="Z46" i="1" s="1"/>
  <c r="S47" i="1"/>
  <c r="T47" i="1" s="1"/>
  <c r="S48" i="1"/>
  <c r="T48" i="1" s="1"/>
  <c r="S49" i="1"/>
  <c r="T49" i="1"/>
  <c r="Z49" i="1" s="1"/>
  <c r="S50" i="1"/>
  <c r="T50" i="1" s="1"/>
  <c r="Z50" i="1" s="1"/>
  <c r="S51" i="1"/>
  <c r="T51" i="1" s="1"/>
  <c r="Z51" i="1" s="1"/>
  <c r="S52" i="1"/>
  <c r="T52" i="1" s="1"/>
  <c r="S53" i="1"/>
  <c r="T53" i="1" s="1"/>
  <c r="Z53" i="1" s="1"/>
  <c r="S54" i="1"/>
  <c r="T54" i="1" s="1"/>
  <c r="Z54" i="1" s="1"/>
  <c r="S55" i="1"/>
  <c r="T55" i="1" s="1"/>
  <c r="Z55" i="1" s="1"/>
  <c r="S56" i="1"/>
  <c r="T56" i="1" s="1"/>
  <c r="Z56" i="1" s="1"/>
  <c r="S57" i="1"/>
  <c r="T57" i="1" s="1"/>
  <c r="Z57" i="1" s="1"/>
  <c r="S58" i="1"/>
  <c r="T58" i="1" s="1"/>
  <c r="Z58" i="1" s="1"/>
  <c r="S59" i="1"/>
  <c r="T59" i="1" s="1"/>
  <c r="Z59" i="1" s="1"/>
  <c r="S60" i="1"/>
  <c r="T60" i="1"/>
  <c r="Z60" i="1" s="1"/>
  <c r="S61" i="1"/>
  <c r="T61" i="1" s="1"/>
  <c r="S62" i="1"/>
  <c r="T62" i="1" s="1"/>
  <c r="Z62" i="1" s="1"/>
  <c r="S63" i="1"/>
  <c r="T63" i="1" s="1"/>
  <c r="Z63" i="1" s="1"/>
  <c r="S10" i="1"/>
  <c r="T10" i="1" s="1"/>
  <c r="Z10" i="1" s="1"/>
  <c r="S11" i="1"/>
  <c r="T11" i="1" s="1"/>
  <c r="S12" i="1"/>
  <c r="T12" i="1" s="1"/>
  <c r="Z12" i="1" s="1"/>
  <c r="S13" i="1"/>
  <c r="T13" i="1" s="1"/>
  <c r="Z13" i="1" s="1"/>
  <c r="S14" i="1"/>
  <c r="T14" i="1" s="1"/>
  <c r="Z14" i="1" s="1"/>
  <c r="S15" i="1"/>
  <c r="T15" i="1" s="1"/>
  <c r="Z15" i="1" s="1"/>
  <c r="S16" i="1"/>
  <c r="T16" i="1" s="1"/>
  <c r="S17" i="1"/>
  <c r="T17" i="1" s="1"/>
  <c r="Z17" i="1" s="1"/>
  <c r="S18" i="1"/>
  <c r="T18" i="1" s="1"/>
  <c r="Z18" i="1" s="1"/>
  <c r="S19" i="1"/>
  <c r="T19" i="1" s="1"/>
  <c r="Z19" i="1" s="1"/>
  <c r="S20" i="1"/>
  <c r="T20" i="1" s="1"/>
  <c r="Z20" i="1" s="1"/>
  <c r="S21" i="1"/>
  <c r="T21" i="1" s="1"/>
  <c r="Z21" i="1" s="1"/>
  <c r="S22" i="1"/>
  <c r="T22" i="1" s="1"/>
  <c r="Z22" i="1" s="1"/>
  <c r="S23" i="1"/>
  <c r="T23" i="1" s="1"/>
  <c r="Z23" i="1" s="1"/>
  <c r="S24" i="1"/>
  <c r="T24" i="1" s="1"/>
  <c r="Z24" i="1" s="1"/>
  <c r="S25" i="1"/>
  <c r="T25" i="1" s="1"/>
  <c r="S26" i="1"/>
  <c r="T26" i="1" s="1"/>
  <c r="Z26" i="1" s="1"/>
  <c r="S27" i="1"/>
  <c r="T27" i="1" s="1"/>
  <c r="Z27" i="1" s="1"/>
  <c r="S41" i="1" l="1"/>
  <c r="T41" i="1" s="1"/>
  <c r="Z41" i="1" s="1"/>
  <c r="S42" i="1"/>
  <c r="T42" i="1" s="1"/>
  <c r="S43" i="1"/>
  <c r="T43" i="1" s="1"/>
  <c r="Z43" i="1" s="1"/>
  <c r="S44" i="1"/>
  <c r="T44" i="1" s="1"/>
  <c r="Z44" i="1" s="1"/>
  <c r="S45" i="1"/>
  <c r="T45" i="1" s="1"/>
  <c r="Z45" i="1" s="1"/>
  <c r="S64" i="1"/>
  <c r="T64" i="1" s="1"/>
  <c r="Z64" i="1" s="1"/>
  <c r="S65" i="1"/>
  <c r="T65" i="1" s="1"/>
  <c r="Z65" i="1" s="1"/>
  <c r="S66" i="1"/>
  <c r="T66" i="1" s="1"/>
  <c r="Z66" i="1" s="1"/>
  <c r="S67" i="1"/>
  <c r="T67" i="1" s="1"/>
  <c r="Z67" i="1" s="1"/>
  <c r="S68" i="1"/>
  <c r="T68" i="1" s="1"/>
  <c r="Z68" i="1" s="1"/>
  <c r="S69" i="1"/>
  <c r="T69" i="1" s="1"/>
  <c r="Z69" i="1" s="1"/>
  <c r="S70" i="1"/>
  <c r="T70" i="1" s="1"/>
  <c r="Z70" i="1" s="1"/>
  <c r="S71" i="1"/>
  <c r="T71" i="1" s="1"/>
  <c r="Z71" i="1" s="1"/>
  <c r="S72" i="1"/>
  <c r="T72" i="1" s="1"/>
  <c r="S73" i="1"/>
  <c r="T73" i="1" s="1"/>
  <c r="Z73" i="1" s="1"/>
  <c r="S40" i="1"/>
  <c r="T40" i="1" s="1"/>
  <c r="S5" i="1"/>
  <c r="T5" i="1" s="1"/>
  <c r="Z5" i="1" s="1"/>
  <c r="S6" i="1"/>
  <c r="T6" i="1" s="1"/>
  <c r="S7" i="1"/>
  <c r="T7" i="1" s="1"/>
  <c r="Z7" i="1" s="1"/>
  <c r="S8" i="1"/>
  <c r="T8" i="1" s="1"/>
  <c r="Z8" i="1" s="1"/>
  <c r="S9" i="1"/>
  <c r="T9" i="1" s="1"/>
  <c r="Z9" i="1" s="1"/>
  <c r="S28" i="1"/>
  <c r="T28" i="1" s="1"/>
  <c r="Z28" i="1" s="1"/>
  <c r="S29" i="1"/>
  <c r="T29" i="1" s="1"/>
  <c r="Z29" i="1" s="1"/>
  <c r="S30" i="1"/>
  <c r="T30" i="1" s="1"/>
  <c r="Z30" i="1" s="1"/>
  <c r="S31" i="1"/>
  <c r="T31" i="1" s="1"/>
  <c r="Z31" i="1" s="1"/>
  <c r="S32" i="1"/>
  <c r="T32" i="1" s="1"/>
  <c r="Z32" i="1" s="1"/>
  <c r="S33" i="1"/>
  <c r="T33" i="1" s="1"/>
  <c r="Z33" i="1" s="1"/>
  <c r="S34" i="1"/>
  <c r="T34" i="1" s="1"/>
  <c r="Z34" i="1" s="1"/>
  <c r="S35" i="1"/>
  <c r="T35" i="1" s="1"/>
  <c r="Z35" i="1" s="1"/>
  <c r="S36" i="1"/>
  <c r="T36" i="1" s="1"/>
  <c r="Z36" i="1" s="1"/>
  <c r="S37" i="1"/>
  <c r="T37" i="1" s="1"/>
  <c r="Z37" i="1" s="1"/>
  <c r="S4" i="1"/>
  <c r="T4" i="1" s="1"/>
  <c r="Z4" i="1" s="1"/>
  <c r="AB35" i="1" s="1"/>
  <c r="V27" i="2" l="1"/>
  <c r="V36" i="2"/>
  <c r="C2" i="1"/>
  <c r="D2" i="1" s="1"/>
  <c r="C3" i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C102" i="1"/>
  <c r="D102" i="1" s="1"/>
  <c r="C103" i="1"/>
  <c r="D103" i="1" s="1"/>
  <c r="C104" i="1"/>
  <c r="D104" i="1" s="1"/>
  <c r="C105" i="1"/>
  <c r="D105" i="1" s="1"/>
  <c r="C106" i="1"/>
  <c r="D106" i="1" s="1"/>
  <c r="C107" i="1"/>
  <c r="D107" i="1" s="1"/>
  <c r="C108" i="1"/>
  <c r="D108" i="1" s="1"/>
  <c r="C109" i="1"/>
  <c r="D109" i="1" s="1"/>
  <c r="C110" i="1"/>
  <c r="D110" i="1" s="1"/>
  <c r="C111" i="1"/>
  <c r="D111" i="1" s="1"/>
  <c r="C112" i="1"/>
  <c r="D112" i="1" s="1"/>
  <c r="C113" i="1"/>
  <c r="D113" i="1" s="1"/>
  <c r="C114" i="1"/>
  <c r="D114" i="1" s="1"/>
  <c r="C115" i="1"/>
  <c r="D115" i="1" s="1"/>
  <c r="C116" i="1"/>
  <c r="D116" i="1" s="1"/>
  <c r="C117" i="1"/>
  <c r="D117" i="1" s="1"/>
  <c r="C118" i="1"/>
  <c r="D118" i="1" s="1"/>
  <c r="C119" i="1"/>
  <c r="D119" i="1" s="1"/>
  <c r="C120" i="1"/>
  <c r="D120" i="1" s="1"/>
  <c r="C121" i="1"/>
  <c r="D121" i="1" s="1"/>
  <c r="C122" i="1"/>
  <c r="D122" i="1" s="1"/>
  <c r="C123" i="1"/>
  <c r="D123" i="1" s="1"/>
  <c r="C124" i="1"/>
  <c r="D124" i="1" s="1"/>
  <c r="C125" i="1"/>
  <c r="D125" i="1" s="1"/>
  <c r="C126" i="1"/>
  <c r="D126" i="1" s="1"/>
  <c r="C127" i="1"/>
  <c r="D127" i="1" s="1"/>
  <c r="C128" i="1"/>
  <c r="D128" i="1" s="1"/>
  <c r="C129" i="1"/>
  <c r="D129" i="1" s="1"/>
  <c r="C130" i="1"/>
  <c r="D130" i="1" s="1"/>
  <c r="C131" i="1"/>
  <c r="D131" i="1" s="1"/>
  <c r="C132" i="1"/>
  <c r="D132" i="1" s="1"/>
  <c r="C133" i="1"/>
  <c r="D133" i="1" s="1"/>
  <c r="C134" i="1"/>
  <c r="D134" i="1" s="1"/>
  <c r="C135" i="1"/>
  <c r="D135" i="1" s="1"/>
  <c r="C136" i="1"/>
  <c r="D136" i="1" s="1"/>
  <c r="C137" i="1"/>
  <c r="D137" i="1" s="1"/>
  <c r="C138" i="1"/>
  <c r="D138" i="1" s="1"/>
  <c r="C139" i="1"/>
  <c r="D139" i="1" s="1"/>
  <c r="C140" i="1"/>
  <c r="D140" i="1" s="1"/>
  <c r="C141" i="1"/>
  <c r="D141" i="1" s="1"/>
  <c r="C142" i="1"/>
  <c r="D142" i="1" s="1"/>
  <c r="C143" i="1"/>
  <c r="D143" i="1" s="1"/>
  <c r="C144" i="1"/>
  <c r="D144" i="1" s="1"/>
  <c r="C145" i="1"/>
  <c r="D145" i="1" s="1"/>
  <c r="C146" i="1"/>
  <c r="D146" i="1" s="1"/>
  <c r="C147" i="1"/>
  <c r="D147" i="1" s="1"/>
  <c r="C148" i="1"/>
  <c r="D148" i="1" s="1"/>
  <c r="C149" i="1"/>
  <c r="D149" i="1" s="1"/>
  <c r="C150" i="1"/>
  <c r="D150" i="1" s="1"/>
  <c r="C151" i="1"/>
  <c r="D151" i="1" s="1"/>
  <c r="C152" i="1"/>
  <c r="D152" i="1" s="1"/>
  <c r="C153" i="1"/>
  <c r="D153" i="1" s="1"/>
  <c r="C154" i="1"/>
  <c r="D154" i="1" s="1"/>
  <c r="C155" i="1"/>
  <c r="D155" i="1" s="1"/>
  <c r="C156" i="1"/>
  <c r="D156" i="1" s="1"/>
  <c r="C157" i="1"/>
  <c r="D157" i="1" s="1"/>
  <c r="C158" i="1"/>
  <c r="D158" i="1" s="1"/>
  <c r="C159" i="1"/>
  <c r="D159" i="1" s="1"/>
  <c r="C160" i="1"/>
  <c r="D160" i="1" s="1"/>
  <c r="C161" i="1"/>
  <c r="D161" i="1" s="1"/>
  <c r="C162" i="1"/>
  <c r="D162" i="1" s="1"/>
  <c r="C163" i="1"/>
  <c r="D163" i="1" s="1"/>
  <c r="C164" i="1"/>
  <c r="D164" i="1" s="1"/>
  <c r="C165" i="1"/>
  <c r="D165" i="1" s="1"/>
  <c r="C166" i="1"/>
  <c r="D166" i="1" s="1"/>
  <c r="C167" i="1"/>
  <c r="D167" i="1" s="1"/>
  <c r="C168" i="1"/>
  <c r="D168" i="1" s="1"/>
  <c r="C169" i="1"/>
  <c r="D169" i="1" s="1"/>
  <c r="C170" i="1"/>
  <c r="D170" i="1" s="1"/>
  <c r="C171" i="1"/>
  <c r="D171" i="1" s="1"/>
  <c r="C172" i="1"/>
  <c r="D172" i="1" s="1"/>
  <c r="C173" i="1"/>
  <c r="D173" i="1" s="1"/>
  <c r="C174" i="1"/>
  <c r="D174" i="1" s="1"/>
  <c r="C175" i="1"/>
  <c r="D175" i="1" s="1"/>
  <c r="C176" i="1"/>
  <c r="D176" i="1" s="1"/>
  <c r="C177" i="1"/>
  <c r="D177" i="1" s="1"/>
  <c r="C178" i="1"/>
  <c r="D178" i="1" s="1"/>
  <c r="C179" i="1"/>
  <c r="D179" i="1" s="1"/>
  <c r="C180" i="1"/>
  <c r="D180" i="1" s="1"/>
  <c r="C181" i="1"/>
  <c r="D181" i="1" s="1"/>
  <c r="C182" i="1"/>
  <c r="D182" i="1" s="1"/>
  <c r="C183" i="1"/>
  <c r="D183" i="1" s="1"/>
  <c r="C184" i="1"/>
  <c r="D184" i="1" s="1"/>
  <c r="C185" i="1"/>
  <c r="D185" i="1" s="1"/>
  <c r="C186" i="1"/>
  <c r="D186" i="1" s="1"/>
  <c r="C187" i="1"/>
  <c r="D187" i="1" s="1"/>
  <c r="C188" i="1"/>
  <c r="D188" i="1" s="1"/>
  <c r="C189" i="1"/>
  <c r="D189" i="1" s="1"/>
  <c r="C190" i="1"/>
  <c r="D190" i="1" s="1"/>
  <c r="C191" i="1"/>
  <c r="D191" i="1" s="1"/>
  <c r="C192" i="1"/>
  <c r="D192" i="1" s="1"/>
  <c r="C193" i="1"/>
  <c r="D193" i="1" s="1"/>
  <c r="C194" i="1"/>
  <c r="D194" i="1" s="1"/>
  <c r="C195" i="1"/>
  <c r="D195" i="1" s="1"/>
  <c r="C196" i="1"/>
  <c r="D196" i="1" s="1"/>
  <c r="C197" i="1"/>
  <c r="D197" i="1" s="1"/>
  <c r="C198" i="1"/>
  <c r="D198" i="1" s="1"/>
  <c r="C199" i="1"/>
  <c r="D199" i="1" s="1"/>
  <c r="C200" i="1"/>
  <c r="D200" i="1" s="1"/>
  <c r="C201" i="1"/>
  <c r="D201" i="1" s="1"/>
  <c r="C202" i="1"/>
  <c r="D202" i="1" s="1"/>
  <c r="C203" i="1"/>
  <c r="D203" i="1" s="1"/>
  <c r="C204" i="1"/>
  <c r="D204" i="1" s="1"/>
  <c r="C205" i="1"/>
  <c r="D205" i="1" s="1"/>
  <c r="C206" i="1"/>
  <c r="D206" i="1" s="1"/>
  <c r="C207" i="1"/>
  <c r="D207" i="1" s="1"/>
  <c r="C208" i="1"/>
  <c r="D208" i="1" s="1"/>
  <c r="C209" i="1"/>
  <c r="D209" i="1" s="1"/>
  <c r="C210" i="1"/>
  <c r="D210" i="1" s="1"/>
  <c r="C211" i="1"/>
  <c r="D211" i="1" s="1"/>
  <c r="C212" i="1"/>
  <c r="D212" i="1" s="1"/>
  <c r="C213" i="1"/>
  <c r="D213" i="1" s="1"/>
  <c r="C214" i="1"/>
  <c r="D214" i="1" s="1"/>
  <c r="C215" i="1"/>
  <c r="D215" i="1" s="1"/>
  <c r="C216" i="1"/>
  <c r="D216" i="1" s="1"/>
  <c r="C217" i="1"/>
  <c r="D217" i="1" s="1"/>
  <c r="C218" i="1"/>
  <c r="D218" i="1" s="1"/>
  <c r="C219" i="1"/>
  <c r="D219" i="1" s="1"/>
  <c r="C220" i="1"/>
  <c r="D220" i="1" s="1"/>
  <c r="C221" i="1"/>
  <c r="D221" i="1" s="1"/>
  <c r="C222" i="1"/>
  <c r="D222" i="1" s="1"/>
  <c r="C223" i="1"/>
  <c r="D223" i="1" s="1"/>
  <c r="C224" i="1"/>
  <c r="D224" i="1" s="1"/>
  <c r="C225" i="1"/>
  <c r="D225" i="1" s="1"/>
  <c r="C226" i="1"/>
  <c r="D226" i="1" s="1"/>
  <c r="C227" i="1"/>
  <c r="D227" i="1" s="1"/>
  <c r="C228" i="1"/>
  <c r="D228" i="1" s="1"/>
  <c r="C229" i="1"/>
  <c r="D229" i="1" s="1"/>
  <c r="C230" i="1"/>
  <c r="D230" i="1" s="1"/>
  <c r="C231" i="1"/>
  <c r="D231" i="1" s="1"/>
  <c r="C232" i="1"/>
  <c r="D232" i="1" s="1"/>
  <c r="C233" i="1"/>
  <c r="D233" i="1" s="1"/>
  <c r="C234" i="1"/>
  <c r="D234" i="1" s="1"/>
  <c r="C235" i="1"/>
  <c r="D235" i="1" s="1"/>
  <c r="C236" i="1"/>
  <c r="D236" i="1" s="1"/>
  <c r="C237" i="1"/>
  <c r="D237" i="1" s="1"/>
  <c r="C238" i="1"/>
  <c r="D238" i="1" s="1"/>
  <c r="C239" i="1"/>
  <c r="D239" i="1" s="1"/>
  <c r="C240" i="1"/>
  <c r="D240" i="1" s="1"/>
  <c r="C241" i="1"/>
  <c r="D241" i="1" s="1"/>
  <c r="C242" i="1"/>
  <c r="D242" i="1" s="1"/>
  <c r="C243" i="1"/>
  <c r="D243" i="1" s="1"/>
  <c r="C244" i="1"/>
  <c r="D244" i="1" s="1"/>
  <c r="C245" i="1"/>
  <c r="D245" i="1" s="1"/>
  <c r="C246" i="1"/>
  <c r="D246" i="1" s="1"/>
  <c r="C247" i="1"/>
  <c r="D247" i="1" s="1"/>
  <c r="C248" i="1"/>
  <c r="D248" i="1" s="1"/>
  <c r="C249" i="1"/>
  <c r="D249" i="1" s="1"/>
  <c r="C250" i="1"/>
  <c r="D250" i="1" s="1"/>
  <c r="C251" i="1"/>
  <c r="D251" i="1" s="1"/>
  <c r="C252" i="1"/>
  <c r="D252" i="1" s="1"/>
  <c r="C253" i="1"/>
  <c r="D253" i="1" s="1"/>
  <c r="C254" i="1"/>
  <c r="D254" i="1" s="1"/>
  <c r="C255" i="1"/>
  <c r="D255" i="1" s="1"/>
  <c r="C256" i="1"/>
  <c r="D256" i="1" s="1"/>
  <c r="C257" i="1"/>
  <c r="D257" i="1" s="1"/>
  <c r="C258" i="1"/>
  <c r="D258" i="1" s="1"/>
  <c r="C259" i="1"/>
  <c r="D259" i="1" s="1"/>
  <c r="C260" i="1"/>
  <c r="D260" i="1" s="1"/>
  <c r="C261" i="1"/>
  <c r="D261" i="1" s="1"/>
  <c r="C262" i="1"/>
  <c r="D262" i="1" s="1"/>
  <c r="C263" i="1"/>
  <c r="D263" i="1" s="1"/>
  <c r="C264" i="1"/>
  <c r="D264" i="1" s="1"/>
  <c r="C265" i="1"/>
  <c r="D265" i="1" s="1"/>
  <c r="C266" i="1"/>
  <c r="D266" i="1" s="1"/>
  <c r="C267" i="1"/>
  <c r="D267" i="1" s="1"/>
  <c r="C268" i="1"/>
  <c r="D268" i="1" s="1"/>
  <c r="C269" i="1"/>
  <c r="D269" i="1" s="1"/>
  <c r="C270" i="1"/>
  <c r="D270" i="1" s="1"/>
  <c r="C271" i="1"/>
  <c r="D271" i="1" s="1"/>
  <c r="C272" i="1"/>
  <c r="D272" i="1" s="1"/>
  <c r="C273" i="1"/>
  <c r="D273" i="1" s="1"/>
  <c r="C274" i="1"/>
  <c r="D274" i="1" s="1"/>
  <c r="C275" i="1"/>
  <c r="D275" i="1" s="1"/>
  <c r="C276" i="1"/>
  <c r="D276" i="1" s="1"/>
  <c r="C277" i="1"/>
  <c r="D277" i="1" s="1"/>
  <c r="C278" i="1"/>
  <c r="D278" i="1" s="1"/>
  <c r="C279" i="1"/>
  <c r="D279" i="1" s="1"/>
  <c r="C280" i="1"/>
  <c r="D280" i="1" s="1"/>
  <c r="C281" i="1"/>
  <c r="D281" i="1" s="1"/>
  <c r="C282" i="1"/>
  <c r="D282" i="1" s="1"/>
  <c r="C283" i="1"/>
  <c r="D283" i="1" s="1"/>
  <c r="C284" i="1"/>
  <c r="D284" i="1" s="1"/>
  <c r="C285" i="1"/>
  <c r="D285" i="1" s="1"/>
  <c r="C286" i="1"/>
  <c r="D286" i="1" s="1"/>
  <c r="C287" i="1"/>
  <c r="D287" i="1" s="1"/>
  <c r="C288" i="1"/>
  <c r="D288" i="1" s="1"/>
  <c r="C289" i="1"/>
  <c r="D289" i="1" s="1"/>
  <c r="C290" i="1"/>
  <c r="D290" i="1" s="1"/>
  <c r="C291" i="1"/>
  <c r="D291" i="1" s="1"/>
  <c r="C292" i="1"/>
  <c r="D292" i="1" s="1"/>
  <c r="C293" i="1"/>
  <c r="D293" i="1" s="1"/>
  <c r="C294" i="1"/>
  <c r="D294" i="1" s="1"/>
  <c r="C295" i="1"/>
  <c r="D295" i="1" s="1"/>
  <c r="C296" i="1"/>
  <c r="D296" i="1" s="1"/>
  <c r="C297" i="1"/>
  <c r="D297" i="1" s="1"/>
  <c r="C298" i="1"/>
  <c r="D298" i="1" s="1"/>
  <c r="C299" i="1"/>
  <c r="D299" i="1" s="1"/>
  <c r="C300" i="1"/>
  <c r="D300" i="1" s="1"/>
  <c r="C301" i="1"/>
  <c r="D301" i="1" s="1"/>
  <c r="C302" i="1"/>
  <c r="D302" i="1" s="1"/>
  <c r="C303" i="1"/>
  <c r="D303" i="1" s="1"/>
  <c r="C304" i="1"/>
  <c r="D304" i="1" s="1"/>
  <c r="C305" i="1"/>
  <c r="D305" i="1" s="1"/>
  <c r="C306" i="1"/>
  <c r="D306" i="1" s="1"/>
  <c r="C307" i="1"/>
  <c r="D307" i="1" s="1"/>
  <c r="C308" i="1"/>
  <c r="D308" i="1" s="1"/>
  <c r="C309" i="1"/>
  <c r="D309" i="1" s="1"/>
  <c r="C310" i="1"/>
  <c r="D310" i="1" s="1"/>
  <c r="C311" i="1"/>
  <c r="D311" i="1" s="1"/>
  <c r="C312" i="1"/>
  <c r="D312" i="1" s="1"/>
  <c r="C313" i="1"/>
  <c r="D313" i="1" s="1"/>
  <c r="C314" i="1"/>
  <c r="D314" i="1" s="1"/>
  <c r="C315" i="1"/>
  <c r="D315" i="1" s="1"/>
  <c r="C316" i="1"/>
  <c r="D316" i="1" s="1"/>
  <c r="C317" i="1"/>
  <c r="D317" i="1" s="1"/>
  <c r="C318" i="1"/>
  <c r="D318" i="1" s="1"/>
  <c r="C319" i="1"/>
  <c r="D319" i="1" s="1"/>
  <c r="C320" i="1"/>
  <c r="D320" i="1" s="1"/>
  <c r="C321" i="1"/>
  <c r="D321" i="1" s="1"/>
  <c r="C322" i="1"/>
  <c r="D322" i="1" s="1"/>
  <c r="C323" i="1"/>
  <c r="D323" i="1" s="1"/>
  <c r="C324" i="1"/>
  <c r="D324" i="1" s="1"/>
  <c r="C325" i="1"/>
  <c r="D325" i="1" s="1"/>
  <c r="C326" i="1"/>
  <c r="D326" i="1" s="1"/>
  <c r="C327" i="1"/>
  <c r="D327" i="1" s="1"/>
  <c r="C328" i="1"/>
  <c r="D328" i="1" s="1"/>
  <c r="C329" i="1"/>
  <c r="D329" i="1" s="1"/>
  <c r="C330" i="1"/>
  <c r="D330" i="1" s="1"/>
  <c r="C331" i="1"/>
  <c r="D331" i="1" s="1"/>
  <c r="C332" i="1"/>
  <c r="D332" i="1" s="1"/>
  <c r="C333" i="1"/>
  <c r="D333" i="1" s="1"/>
  <c r="C334" i="1"/>
  <c r="D334" i="1" s="1"/>
  <c r="C335" i="1"/>
  <c r="D335" i="1" s="1"/>
  <c r="C336" i="1"/>
  <c r="D336" i="1" s="1"/>
  <c r="C337" i="1"/>
  <c r="D337" i="1" s="1"/>
  <c r="C338" i="1"/>
  <c r="D338" i="1" s="1"/>
  <c r="C339" i="1"/>
  <c r="D339" i="1" s="1"/>
  <c r="C340" i="1"/>
  <c r="D340" i="1" s="1"/>
  <c r="C341" i="1"/>
  <c r="D341" i="1" s="1"/>
  <c r="C342" i="1"/>
  <c r="D342" i="1" s="1"/>
  <c r="C343" i="1"/>
  <c r="D343" i="1" s="1"/>
  <c r="C344" i="1"/>
  <c r="D344" i="1" s="1"/>
  <c r="C345" i="1"/>
  <c r="D345" i="1" s="1"/>
  <c r="C346" i="1"/>
  <c r="D346" i="1" s="1"/>
  <c r="C347" i="1"/>
  <c r="D347" i="1" s="1"/>
  <c r="C348" i="1"/>
  <c r="D348" i="1" s="1"/>
  <c r="C349" i="1"/>
  <c r="D349" i="1" s="1"/>
  <c r="C350" i="1"/>
  <c r="D350" i="1" s="1"/>
  <c r="C351" i="1"/>
  <c r="D351" i="1" s="1"/>
  <c r="C352" i="1"/>
  <c r="D352" i="1" s="1"/>
  <c r="C353" i="1"/>
  <c r="D353" i="1" s="1"/>
  <c r="C354" i="1"/>
  <c r="D354" i="1" s="1"/>
  <c r="C355" i="1"/>
  <c r="D355" i="1" s="1"/>
  <c r="C356" i="1"/>
  <c r="D356" i="1" s="1"/>
  <c r="C357" i="1"/>
  <c r="D357" i="1" s="1"/>
  <c r="C358" i="1"/>
  <c r="D358" i="1" s="1"/>
  <c r="C359" i="1"/>
  <c r="D359" i="1" s="1"/>
  <c r="C360" i="1"/>
  <c r="D360" i="1" s="1"/>
  <c r="C361" i="1"/>
  <c r="D361" i="1" s="1"/>
  <c r="C362" i="1"/>
  <c r="D362" i="1" s="1"/>
  <c r="C363" i="1"/>
  <c r="D363" i="1" s="1"/>
  <c r="C364" i="1"/>
  <c r="D364" i="1" s="1"/>
  <c r="C365" i="1"/>
  <c r="D365" i="1" s="1"/>
  <c r="C366" i="1"/>
  <c r="D366" i="1" s="1"/>
  <c r="C367" i="1"/>
  <c r="D367" i="1" s="1"/>
  <c r="C368" i="1"/>
  <c r="D368" i="1" s="1"/>
  <c r="C369" i="1"/>
  <c r="D369" i="1" s="1"/>
  <c r="C370" i="1"/>
  <c r="D370" i="1" s="1"/>
  <c r="C371" i="1"/>
  <c r="D371" i="1" s="1"/>
  <c r="C372" i="1"/>
  <c r="D372" i="1" s="1"/>
  <c r="C373" i="1"/>
  <c r="D373" i="1" s="1"/>
  <c r="C374" i="1"/>
  <c r="D374" i="1" s="1"/>
  <c r="C375" i="1"/>
  <c r="D375" i="1" s="1"/>
  <c r="C376" i="1"/>
  <c r="D376" i="1" s="1"/>
  <c r="C377" i="1"/>
  <c r="D377" i="1" s="1"/>
  <c r="C378" i="1"/>
  <c r="D378" i="1" s="1"/>
  <c r="C379" i="1"/>
  <c r="D379" i="1" s="1"/>
  <c r="C380" i="1"/>
  <c r="D380" i="1" s="1"/>
  <c r="C381" i="1"/>
  <c r="D381" i="1" s="1"/>
  <c r="C382" i="1"/>
  <c r="D382" i="1" s="1"/>
  <c r="C383" i="1"/>
  <c r="D383" i="1" s="1"/>
  <c r="C384" i="1"/>
  <c r="D384" i="1" s="1"/>
  <c r="C385" i="1"/>
  <c r="D385" i="1" s="1"/>
  <c r="C386" i="1"/>
  <c r="D386" i="1" s="1"/>
  <c r="C387" i="1"/>
  <c r="D387" i="1" s="1"/>
  <c r="C388" i="1"/>
  <c r="D388" i="1" s="1"/>
  <c r="C389" i="1"/>
  <c r="D389" i="1" s="1"/>
  <c r="C390" i="1"/>
  <c r="D390" i="1" s="1"/>
  <c r="C391" i="1"/>
  <c r="D391" i="1" s="1"/>
  <c r="C392" i="1"/>
  <c r="D392" i="1" s="1"/>
  <c r="C393" i="1"/>
  <c r="D393" i="1" s="1"/>
  <c r="C394" i="1"/>
  <c r="D394" i="1" s="1"/>
  <c r="C395" i="1"/>
  <c r="D395" i="1" s="1"/>
  <c r="C396" i="1"/>
  <c r="D396" i="1" s="1"/>
  <c r="C397" i="1"/>
  <c r="D397" i="1" s="1"/>
  <c r="C398" i="1"/>
  <c r="D398" i="1" s="1"/>
  <c r="C399" i="1"/>
  <c r="D399" i="1" s="1"/>
  <c r="C400" i="1"/>
  <c r="D400" i="1" s="1"/>
  <c r="C401" i="1"/>
  <c r="D401" i="1" s="1"/>
  <c r="C402" i="1"/>
  <c r="D402" i="1" s="1"/>
  <c r="C403" i="1"/>
  <c r="D403" i="1" s="1"/>
  <c r="C404" i="1"/>
  <c r="D404" i="1" s="1"/>
  <c r="C405" i="1"/>
  <c r="D405" i="1" s="1"/>
  <c r="C406" i="1"/>
  <c r="D406" i="1" s="1"/>
  <c r="C407" i="1"/>
  <c r="D407" i="1" s="1"/>
  <c r="C408" i="1"/>
  <c r="D408" i="1" s="1"/>
  <c r="C409" i="1"/>
  <c r="D409" i="1" s="1"/>
  <c r="C410" i="1"/>
  <c r="D410" i="1" s="1"/>
  <c r="C411" i="1"/>
  <c r="D411" i="1" s="1"/>
  <c r="C412" i="1"/>
  <c r="D412" i="1" s="1"/>
  <c r="C413" i="1"/>
  <c r="D413" i="1" s="1"/>
  <c r="C414" i="1"/>
  <c r="D414" i="1" s="1"/>
  <c r="C415" i="1"/>
  <c r="D415" i="1" s="1"/>
  <c r="C416" i="1"/>
  <c r="D416" i="1" s="1"/>
  <c r="C417" i="1"/>
  <c r="D417" i="1" s="1"/>
  <c r="C418" i="1"/>
  <c r="D418" i="1" s="1"/>
  <c r="C419" i="1"/>
  <c r="D419" i="1" s="1"/>
  <c r="C420" i="1"/>
  <c r="D420" i="1" s="1"/>
  <c r="C421" i="1"/>
  <c r="D421" i="1" s="1"/>
  <c r="C422" i="1"/>
  <c r="D422" i="1" s="1"/>
  <c r="C423" i="1"/>
  <c r="D423" i="1" s="1"/>
  <c r="C424" i="1"/>
  <c r="D424" i="1" s="1"/>
  <c r="C425" i="1"/>
  <c r="D425" i="1" s="1"/>
  <c r="C426" i="1"/>
  <c r="D426" i="1" s="1"/>
  <c r="C427" i="1"/>
  <c r="D427" i="1" s="1"/>
  <c r="C428" i="1"/>
  <c r="D428" i="1" s="1"/>
  <c r="C429" i="1"/>
  <c r="D429" i="1" s="1"/>
  <c r="C430" i="1"/>
  <c r="D430" i="1" s="1"/>
  <c r="C431" i="1"/>
  <c r="D431" i="1" s="1"/>
  <c r="C432" i="1"/>
  <c r="D432" i="1" s="1"/>
  <c r="C433" i="1"/>
  <c r="D433" i="1" s="1"/>
  <c r="C434" i="1"/>
  <c r="D434" i="1" s="1"/>
  <c r="C435" i="1"/>
  <c r="D435" i="1" s="1"/>
  <c r="C436" i="1"/>
  <c r="D436" i="1" s="1"/>
  <c r="C437" i="1"/>
  <c r="D437" i="1" s="1"/>
  <c r="C438" i="1"/>
  <c r="D438" i="1" s="1"/>
  <c r="C439" i="1"/>
  <c r="D439" i="1" s="1"/>
  <c r="C440" i="1"/>
  <c r="D440" i="1" s="1"/>
  <c r="C441" i="1"/>
  <c r="D441" i="1" s="1"/>
  <c r="C442" i="1"/>
  <c r="D442" i="1" s="1"/>
  <c r="C443" i="1"/>
  <c r="D443" i="1" s="1"/>
  <c r="C444" i="1"/>
  <c r="D444" i="1" s="1"/>
  <c r="C445" i="1"/>
  <c r="D445" i="1" s="1"/>
  <c r="C446" i="1"/>
  <c r="D446" i="1" s="1"/>
  <c r="C447" i="1"/>
  <c r="D447" i="1" s="1"/>
  <c r="C448" i="1"/>
  <c r="D448" i="1" s="1"/>
  <c r="C449" i="1"/>
  <c r="D449" i="1" s="1"/>
  <c r="C450" i="1"/>
  <c r="D450" i="1" s="1"/>
  <c r="C451" i="1"/>
  <c r="D451" i="1" s="1"/>
  <c r="C452" i="1"/>
  <c r="D452" i="1" s="1"/>
  <c r="C453" i="1"/>
  <c r="D453" i="1" s="1"/>
  <c r="C454" i="1"/>
  <c r="D454" i="1" s="1"/>
  <c r="C455" i="1"/>
  <c r="D455" i="1" s="1"/>
  <c r="C456" i="1"/>
  <c r="D456" i="1" s="1"/>
  <c r="C457" i="1"/>
  <c r="D457" i="1" s="1"/>
  <c r="C458" i="1"/>
  <c r="D458" i="1" s="1"/>
  <c r="C459" i="1"/>
  <c r="D459" i="1" s="1"/>
  <c r="C460" i="1"/>
  <c r="D460" i="1" s="1"/>
  <c r="C461" i="1"/>
  <c r="D461" i="1" s="1"/>
  <c r="C462" i="1"/>
  <c r="D462" i="1" s="1"/>
  <c r="C463" i="1"/>
  <c r="D463" i="1" s="1"/>
  <c r="C464" i="1"/>
  <c r="D464" i="1" s="1"/>
  <c r="C465" i="1"/>
  <c r="D465" i="1" s="1"/>
  <c r="C466" i="1"/>
  <c r="D466" i="1" s="1"/>
  <c r="C467" i="1"/>
  <c r="D467" i="1" s="1"/>
  <c r="C468" i="1"/>
  <c r="D468" i="1" s="1"/>
  <c r="C469" i="1"/>
  <c r="D469" i="1" s="1"/>
  <c r="C470" i="1"/>
  <c r="D470" i="1" s="1"/>
  <c r="C471" i="1"/>
  <c r="D471" i="1" s="1"/>
  <c r="C472" i="1"/>
  <c r="D472" i="1" s="1"/>
  <c r="C473" i="1"/>
  <c r="D473" i="1" s="1"/>
  <c r="C474" i="1"/>
  <c r="D474" i="1" s="1"/>
  <c r="C475" i="1"/>
  <c r="D475" i="1" s="1"/>
  <c r="C476" i="1"/>
  <c r="D476" i="1" s="1"/>
  <c r="C477" i="1"/>
  <c r="D477" i="1" s="1"/>
  <c r="C478" i="1"/>
  <c r="D478" i="1" s="1"/>
  <c r="C479" i="1"/>
  <c r="D479" i="1" s="1"/>
  <c r="C480" i="1"/>
  <c r="D480" i="1" s="1"/>
  <c r="C481" i="1"/>
  <c r="D481" i="1" s="1"/>
  <c r="C482" i="1"/>
  <c r="D482" i="1" s="1"/>
  <c r="C483" i="1"/>
  <c r="D483" i="1" s="1"/>
  <c r="C484" i="1"/>
  <c r="D484" i="1" s="1"/>
  <c r="C485" i="1"/>
  <c r="D485" i="1" s="1"/>
  <c r="C486" i="1"/>
  <c r="D486" i="1" s="1"/>
  <c r="C487" i="1"/>
  <c r="D487" i="1" s="1"/>
  <c r="C488" i="1"/>
  <c r="D488" i="1" s="1"/>
  <c r="C489" i="1"/>
  <c r="D489" i="1" s="1"/>
  <c r="C490" i="1"/>
  <c r="D490" i="1" s="1"/>
  <c r="C491" i="1"/>
  <c r="D491" i="1" s="1"/>
  <c r="C492" i="1"/>
  <c r="D492" i="1" s="1"/>
  <c r="C493" i="1"/>
  <c r="D493" i="1" s="1"/>
  <c r="C494" i="1"/>
  <c r="D494" i="1" s="1"/>
  <c r="C495" i="1"/>
  <c r="D495" i="1" s="1"/>
  <c r="C496" i="1"/>
  <c r="D496" i="1" s="1"/>
  <c r="C497" i="1"/>
  <c r="D497" i="1" s="1"/>
  <c r="C498" i="1"/>
  <c r="D498" i="1" s="1"/>
  <c r="C499" i="1"/>
  <c r="D499" i="1" s="1"/>
  <c r="C500" i="1"/>
  <c r="D500" i="1" s="1"/>
  <c r="C501" i="1"/>
  <c r="D501" i="1" s="1"/>
  <c r="C502" i="1"/>
  <c r="D502" i="1" s="1"/>
  <c r="C503" i="1"/>
  <c r="D503" i="1" s="1"/>
  <c r="C504" i="1"/>
  <c r="D504" i="1" s="1"/>
  <c r="C505" i="1"/>
  <c r="D505" i="1" s="1"/>
  <c r="C506" i="1"/>
  <c r="D506" i="1" s="1"/>
  <c r="C507" i="1"/>
  <c r="D507" i="1" s="1"/>
  <c r="C508" i="1"/>
  <c r="D508" i="1" s="1"/>
  <c r="C509" i="1"/>
  <c r="D509" i="1" s="1"/>
  <c r="C510" i="1"/>
  <c r="D510" i="1" s="1"/>
  <c r="C511" i="1"/>
  <c r="D511" i="1" s="1"/>
  <c r="C512" i="1"/>
  <c r="D512" i="1" s="1"/>
  <c r="C513" i="1"/>
  <c r="D513" i="1" s="1"/>
  <c r="C514" i="1"/>
  <c r="D514" i="1" s="1"/>
  <c r="C515" i="1"/>
  <c r="D515" i="1" s="1"/>
  <c r="C516" i="1"/>
  <c r="D516" i="1" s="1"/>
  <c r="C517" i="1"/>
  <c r="D517" i="1" s="1"/>
  <c r="C518" i="1"/>
  <c r="D518" i="1" s="1"/>
  <c r="C519" i="1"/>
  <c r="D519" i="1" s="1"/>
  <c r="C520" i="1"/>
  <c r="D520" i="1" s="1"/>
  <c r="C521" i="1"/>
  <c r="D521" i="1" s="1"/>
  <c r="C522" i="1"/>
  <c r="D522" i="1" s="1"/>
  <c r="C523" i="1"/>
  <c r="D523" i="1" s="1"/>
  <c r="C524" i="1"/>
  <c r="D524" i="1" s="1"/>
  <c r="C525" i="1"/>
  <c r="D525" i="1" s="1"/>
  <c r="C526" i="1"/>
  <c r="D526" i="1" s="1"/>
  <c r="C527" i="1"/>
  <c r="D527" i="1" s="1"/>
  <c r="C528" i="1"/>
  <c r="D528" i="1" s="1"/>
  <c r="C529" i="1"/>
  <c r="D529" i="1" s="1"/>
  <c r="C530" i="1"/>
  <c r="D530" i="1" s="1"/>
  <c r="C531" i="1"/>
  <c r="D531" i="1" s="1"/>
  <c r="C532" i="1"/>
  <c r="D532" i="1" s="1"/>
  <c r="C533" i="1"/>
  <c r="D533" i="1" s="1"/>
  <c r="C534" i="1"/>
  <c r="D534" i="1" s="1"/>
  <c r="C535" i="1"/>
  <c r="D535" i="1" s="1"/>
  <c r="C536" i="1"/>
  <c r="D536" i="1" s="1"/>
  <c r="C537" i="1"/>
  <c r="D537" i="1" s="1"/>
  <c r="C538" i="1"/>
  <c r="D538" i="1" s="1"/>
  <c r="C539" i="1"/>
  <c r="D539" i="1" s="1"/>
  <c r="C540" i="1"/>
  <c r="D540" i="1" s="1"/>
  <c r="C541" i="1"/>
  <c r="D541" i="1" s="1"/>
  <c r="C542" i="1"/>
  <c r="D542" i="1" s="1"/>
  <c r="C543" i="1"/>
  <c r="D543" i="1" s="1"/>
  <c r="C544" i="1"/>
  <c r="D544" i="1" s="1"/>
  <c r="C545" i="1"/>
  <c r="D545" i="1" s="1"/>
  <c r="C546" i="1"/>
  <c r="D546" i="1" s="1"/>
  <c r="C547" i="1"/>
  <c r="D547" i="1" s="1"/>
  <c r="C548" i="1"/>
  <c r="D548" i="1" s="1"/>
  <c r="C549" i="1"/>
  <c r="D549" i="1" s="1"/>
  <c r="C550" i="1"/>
  <c r="D550" i="1" s="1"/>
  <c r="C551" i="1"/>
  <c r="D551" i="1" s="1"/>
  <c r="C552" i="1"/>
  <c r="D552" i="1" s="1"/>
  <c r="C553" i="1"/>
  <c r="D553" i="1" s="1"/>
  <c r="C554" i="1"/>
  <c r="D554" i="1" s="1"/>
  <c r="C555" i="1"/>
  <c r="D555" i="1" s="1"/>
  <c r="C556" i="1"/>
  <c r="D556" i="1" s="1"/>
  <c r="C557" i="1"/>
  <c r="D557" i="1" s="1"/>
  <c r="C558" i="1"/>
  <c r="D558" i="1" s="1"/>
  <c r="C559" i="1"/>
  <c r="D559" i="1" s="1"/>
  <c r="C560" i="1"/>
  <c r="D560" i="1" s="1"/>
  <c r="C561" i="1"/>
  <c r="D561" i="1" s="1"/>
  <c r="C562" i="1"/>
  <c r="D562" i="1" s="1"/>
  <c r="C563" i="1"/>
  <c r="D563" i="1" s="1"/>
  <c r="C564" i="1"/>
  <c r="D564" i="1" s="1"/>
  <c r="C565" i="1"/>
  <c r="D565" i="1" s="1"/>
  <c r="C566" i="1"/>
  <c r="D566" i="1" s="1"/>
  <c r="C567" i="1"/>
  <c r="D567" i="1" s="1"/>
  <c r="C568" i="1"/>
  <c r="D568" i="1" s="1"/>
  <c r="C569" i="1"/>
  <c r="D569" i="1" s="1"/>
  <c r="C570" i="1"/>
  <c r="D570" i="1" s="1"/>
  <c r="C571" i="1"/>
  <c r="D571" i="1" s="1"/>
  <c r="C572" i="1"/>
  <c r="D572" i="1" s="1"/>
  <c r="C573" i="1"/>
  <c r="D573" i="1" s="1"/>
  <c r="C574" i="1"/>
  <c r="D574" i="1" s="1"/>
  <c r="C575" i="1"/>
  <c r="D575" i="1" s="1"/>
  <c r="C576" i="1"/>
  <c r="D576" i="1" s="1"/>
  <c r="C577" i="1"/>
  <c r="D577" i="1" s="1"/>
  <c r="C578" i="1"/>
  <c r="D578" i="1" s="1"/>
  <c r="C579" i="1"/>
  <c r="D579" i="1" s="1"/>
  <c r="C580" i="1"/>
  <c r="D580" i="1" s="1"/>
  <c r="C581" i="1"/>
  <c r="D581" i="1" s="1"/>
  <c r="C582" i="1"/>
  <c r="D582" i="1" s="1"/>
  <c r="C583" i="1"/>
  <c r="D583" i="1" s="1"/>
  <c r="C584" i="1"/>
  <c r="D584" i="1" s="1"/>
  <c r="C585" i="1"/>
  <c r="D585" i="1" s="1"/>
  <c r="C586" i="1"/>
  <c r="D586" i="1" s="1"/>
  <c r="C587" i="1"/>
  <c r="D587" i="1" s="1"/>
  <c r="C588" i="1"/>
  <c r="D588" i="1" s="1"/>
  <c r="C589" i="1"/>
  <c r="D589" i="1" s="1"/>
  <c r="C590" i="1"/>
  <c r="D590" i="1" s="1"/>
  <c r="C591" i="1"/>
  <c r="D591" i="1" s="1"/>
  <c r="C592" i="1"/>
  <c r="D592" i="1" s="1"/>
  <c r="C593" i="1"/>
  <c r="D593" i="1" s="1"/>
  <c r="C594" i="1"/>
  <c r="D594" i="1" s="1"/>
  <c r="C595" i="1"/>
  <c r="D595" i="1" s="1"/>
  <c r="C596" i="1"/>
  <c r="D596" i="1" s="1"/>
  <c r="C597" i="1"/>
  <c r="D597" i="1" s="1"/>
  <c r="C598" i="1"/>
  <c r="D598" i="1" s="1"/>
  <c r="C599" i="1"/>
  <c r="D599" i="1" s="1"/>
  <c r="C600" i="1"/>
  <c r="D600" i="1" s="1"/>
  <c r="C601" i="1"/>
  <c r="D601" i="1" s="1"/>
  <c r="C602" i="1"/>
  <c r="D602" i="1" s="1"/>
  <c r="C603" i="1"/>
  <c r="D603" i="1" s="1"/>
  <c r="C604" i="1"/>
  <c r="D604" i="1" s="1"/>
  <c r="C605" i="1"/>
  <c r="D605" i="1" s="1"/>
  <c r="C606" i="1"/>
  <c r="D606" i="1" s="1"/>
  <c r="C607" i="1"/>
  <c r="D607" i="1" s="1"/>
  <c r="C608" i="1"/>
  <c r="D608" i="1" s="1"/>
  <c r="C609" i="1"/>
  <c r="D609" i="1" s="1"/>
  <c r="C610" i="1"/>
  <c r="D610" i="1" s="1"/>
  <c r="C611" i="1"/>
  <c r="D611" i="1" s="1"/>
  <c r="C612" i="1"/>
  <c r="D612" i="1" s="1"/>
  <c r="C613" i="1"/>
  <c r="D613" i="1" s="1"/>
  <c r="C614" i="1"/>
  <c r="D614" i="1" s="1"/>
  <c r="C615" i="1"/>
  <c r="D615" i="1" s="1"/>
  <c r="C616" i="1"/>
  <c r="D616" i="1" s="1"/>
  <c r="C617" i="1"/>
  <c r="D617" i="1" s="1"/>
  <c r="C618" i="1"/>
  <c r="D618" i="1" s="1"/>
  <c r="C619" i="1"/>
  <c r="D619" i="1" s="1"/>
  <c r="C620" i="1"/>
  <c r="D620" i="1" s="1"/>
  <c r="C621" i="1"/>
  <c r="D621" i="1" s="1"/>
  <c r="C622" i="1"/>
  <c r="D622" i="1" s="1"/>
  <c r="C623" i="1"/>
  <c r="D623" i="1" s="1"/>
  <c r="C624" i="1"/>
  <c r="D624" i="1" s="1"/>
  <c r="C625" i="1"/>
  <c r="D625" i="1" s="1"/>
  <c r="C626" i="1"/>
  <c r="D626" i="1" s="1"/>
  <c r="C627" i="1"/>
  <c r="D627" i="1" s="1"/>
  <c r="C628" i="1"/>
  <c r="D628" i="1" s="1"/>
  <c r="C629" i="1"/>
  <c r="D629" i="1" s="1"/>
  <c r="C630" i="1"/>
  <c r="D630" i="1" s="1"/>
  <c r="C631" i="1"/>
  <c r="D631" i="1" s="1"/>
  <c r="C632" i="1"/>
  <c r="D632" i="1" s="1"/>
  <c r="C633" i="1"/>
  <c r="D633" i="1" s="1"/>
  <c r="C634" i="1"/>
  <c r="D634" i="1" s="1"/>
  <c r="C635" i="1"/>
  <c r="D635" i="1" s="1"/>
  <c r="C636" i="1"/>
  <c r="D636" i="1" s="1"/>
  <c r="C637" i="1"/>
  <c r="D637" i="1" s="1"/>
  <c r="C638" i="1"/>
  <c r="D638" i="1" s="1"/>
  <c r="C639" i="1"/>
  <c r="D639" i="1" s="1"/>
  <c r="C640" i="1"/>
  <c r="D640" i="1" s="1"/>
  <c r="C641" i="1"/>
  <c r="D641" i="1" s="1"/>
  <c r="C642" i="1"/>
  <c r="D642" i="1" s="1"/>
  <c r="C643" i="1"/>
  <c r="D643" i="1" s="1"/>
  <c r="C644" i="1"/>
  <c r="D644" i="1" s="1"/>
  <c r="C645" i="1"/>
  <c r="D645" i="1" s="1"/>
  <c r="C646" i="1"/>
  <c r="D646" i="1" s="1"/>
  <c r="C647" i="1"/>
  <c r="D647" i="1" s="1"/>
  <c r="C648" i="1"/>
  <c r="D648" i="1" s="1"/>
  <c r="C649" i="1"/>
  <c r="D649" i="1" s="1"/>
  <c r="C650" i="1"/>
  <c r="D650" i="1" s="1"/>
  <c r="C651" i="1"/>
  <c r="D651" i="1" s="1"/>
  <c r="C652" i="1"/>
  <c r="D652" i="1" s="1"/>
  <c r="C653" i="1"/>
  <c r="D653" i="1" s="1"/>
  <c r="C654" i="1"/>
  <c r="D654" i="1" s="1"/>
  <c r="C655" i="1"/>
  <c r="D655" i="1" s="1"/>
  <c r="C656" i="1"/>
  <c r="D656" i="1" s="1"/>
  <c r="C657" i="1"/>
  <c r="D657" i="1" s="1"/>
  <c r="C658" i="1"/>
  <c r="D658" i="1" s="1"/>
  <c r="C659" i="1"/>
  <c r="D659" i="1" s="1"/>
  <c r="C660" i="1"/>
  <c r="D660" i="1" s="1"/>
  <c r="C661" i="1"/>
  <c r="D661" i="1" s="1"/>
  <c r="C662" i="1"/>
  <c r="D662" i="1" s="1"/>
  <c r="C663" i="1"/>
  <c r="D663" i="1" s="1"/>
  <c r="C664" i="1"/>
  <c r="D664" i="1" s="1"/>
  <c r="C665" i="1"/>
  <c r="D665" i="1" s="1"/>
  <c r="C666" i="1"/>
  <c r="D666" i="1" s="1"/>
  <c r="C667" i="1"/>
  <c r="D667" i="1" s="1"/>
  <c r="C668" i="1"/>
  <c r="D668" i="1" s="1"/>
  <c r="C669" i="1"/>
  <c r="D669" i="1" s="1"/>
  <c r="C670" i="1"/>
  <c r="D670" i="1" s="1"/>
  <c r="C671" i="1"/>
  <c r="D671" i="1" s="1"/>
  <c r="C672" i="1"/>
  <c r="D672" i="1" s="1"/>
  <c r="C673" i="1"/>
  <c r="D673" i="1" s="1"/>
  <c r="C674" i="1"/>
  <c r="D674" i="1" s="1"/>
  <c r="C675" i="1"/>
  <c r="D675" i="1" s="1"/>
  <c r="C676" i="1"/>
  <c r="D676" i="1" s="1"/>
  <c r="C677" i="1"/>
  <c r="D677" i="1" s="1"/>
  <c r="C678" i="1"/>
  <c r="D678" i="1" s="1"/>
  <c r="C679" i="1"/>
  <c r="D679" i="1" s="1"/>
  <c r="C680" i="1"/>
  <c r="D680" i="1" s="1"/>
  <c r="C681" i="1"/>
  <c r="D681" i="1" s="1"/>
  <c r="C682" i="1"/>
  <c r="D682" i="1" s="1"/>
  <c r="C683" i="1"/>
  <c r="D683" i="1" s="1"/>
  <c r="C684" i="1"/>
  <c r="D684" i="1" s="1"/>
  <c r="C685" i="1"/>
  <c r="D685" i="1" s="1"/>
  <c r="C686" i="1"/>
  <c r="D686" i="1" s="1"/>
  <c r="C687" i="1"/>
  <c r="D687" i="1" s="1"/>
  <c r="C688" i="1"/>
  <c r="D688" i="1" s="1"/>
  <c r="C689" i="1"/>
  <c r="D689" i="1" s="1"/>
  <c r="C690" i="1"/>
  <c r="D690" i="1" s="1"/>
  <c r="C691" i="1"/>
  <c r="D691" i="1" s="1"/>
  <c r="C692" i="1"/>
  <c r="D692" i="1" s="1"/>
  <c r="C693" i="1"/>
  <c r="D693" i="1" s="1"/>
  <c r="C694" i="1"/>
  <c r="D694" i="1" s="1"/>
  <c r="C695" i="1"/>
  <c r="D695" i="1" s="1"/>
  <c r="C696" i="1"/>
  <c r="D696" i="1" s="1"/>
  <c r="C697" i="1"/>
  <c r="D697" i="1" s="1"/>
  <c r="C698" i="1"/>
  <c r="D698" i="1" s="1"/>
  <c r="C699" i="1"/>
  <c r="D699" i="1" s="1"/>
  <c r="C700" i="1"/>
  <c r="D700" i="1" s="1"/>
  <c r="C701" i="1"/>
  <c r="D701" i="1" s="1"/>
  <c r="C702" i="1"/>
  <c r="D702" i="1" s="1"/>
  <c r="C703" i="1"/>
  <c r="D703" i="1" s="1"/>
  <c r="C704" i="1"/>
  <c r="D704" i="1" s="1"/>
  <c r="C705" i="1"/>
  <c r="D705" i="1" s="1"/>
  <c r="C706" i="1"/>
  <c r="D706" i="1" s="1"/>
  <c r="C707" i="1"/>
  <c r="D707" i="1" s="1"/>
  <c r="C708" i="1"/>
  <c r="D708" i="1" s="1"/>
  <c r="C709" i="1"/>
  <c r="D709" i="1" s="1"/>
  <c r="C710" i="1"/>
  <c r="D710" i="1" s="1"/>
  <c r="C711" i="1"/>
  <c r="D711" i="1" s="1"/>
  <c r="C712" i="1"/>
  <c r="D712" i="1" s="1"/>
  <c r="C713" i="1"/>
  <c r="D713" i="1" s="1"/>
  <c r="C714" i="1"/>
  <c r="D714" i="1" s="1"/>
  <c r="C715" i="1"/>
  <c r="D715" i="1" s="1"/>
  <c r="C716" i="1"/>
  <c r="D716" i="1" s="1"/>
  <c r="C717" i="1"/>
  <c r="D717" i="1" s="1"/>
  <c r="C718" i="1"/>
  <c r="D718" i="1" s="1"/>
  <c r="C719" i="1"/>
  <c r="D719" i="1" s="1"/>
  <c r="C720" i="1"/>
  <c r="D720" i="1" s="1"/>
  <c r="C721" i="1"/>
  <c r="D721" i="1" s="1"/>
  <c r="C722" i="1"/>
  <c r="D722" i="1" s="1"/>
  <c r="C723" i="1"/>
  <c r="D723" i="1" s="1"/>
  <c r="C724" i="1"/>
  <c r="D724" i="1" s="1"/>
  <c r="C725" i="1"/>
  <c r="D725" i="1" s="1"/>
  <c r="C726" i="1"/>
  <c r="D726" i="1" s="1"/>
  <c r="C727" i="1"/>
  <c r="D727" i="1" s="1"/>
  <c r="C728" i="1"/>
  <c r="D728" i="1" s="1"/>
  <c r="C729" i="1"/>
  <c r="D729" i="1" s="1"/>
  <c r="C730" i="1"/>
  <c r="D730" i="1" s="1"/>
  <c r="C731" i="1"/>
  <c r="D731" i="1" s="1"/>
  <c r="C732" i="1"/>
  <c r="D732" i="1" s="1"/>
  <c r="C733" i="1"/>
  <c r="D733" i="1" s="1"/>
  <c r="C734" i="1"/>
  <c r="D734" i="1" s="1"/>
  <c r="C735" i="1"/>
  <c r="D735" i="1" s="1"/>
  <c r="C736" i="1"/>
  <c r="D736" i="1" s="1"/>
  <c r="C737" i="1"/>
  <c r="D737" i="1" s="1"/>
  <c r="C738" i="1"/>
  <c r="D738" i="1" s="1"/>
  <c r="C739" i="1"/>
  <c r="D739" i="1" s="1"/>
  <c r="C740" i="1"/>
  <c r="D740" i="1" s="1"/>
  <c r="C741" i="1"/>
  <c r="D741" i="1" s="1"/>
  <c r="C742" i="1"/>
  <c r="D742" i="1" s="1"/>
  <c r="C743" i="1"/>
  <c r="D743" i="1" s="1"/>
  <c r="C744" i="1"/>
  <c r="D744" i="1" s="1"/>
  <c r="C745" i="1"/>
  <c r="D745" i="1" s="1"/>
  <c r="C746" i="1"/>
  <c r="D746" i="1" s="1"/>
  <c r="C747" i="1"/>
  <c r="D747" i="1" s="1"/>
  <c r="C748" i="1"/>
  <c r="D748" i="1" s="1"/>
  <c r="C749" i="1"/>
  <c r="D749" i="1" s="1"/>
  <c r="C750" i="1"/>
  <c r="D750" i="1" s="1"/>
  <c r="C751" i="1"/>
  <c r="D751" i="1" s="1"/>
  <c r="C752" i="1"/>
  <c r="D752" i="1" s="1"/>
  <c r="C753" i="1"/>
  <c r="D753" i="1" s="1"/>
  <c r="C754" i="1"/>
  <c r="D754" i="1" s="1"/>
  <c r="C755" i="1"/>
  <c r="D755" i="1" s="1"/>
  <c r="C756" i="1"/>
  <c r="D756" i="1" s="1"/>
  <c r="C757" i="1"/>
  <c r="D757" i="1" s="1"/>
  <c r="C758" i="1"/>
  <c r="D758" i="1" s="1"/>
  <c r="C759" i="1"/>
  <c r="D759" i="1" s="1"/>
  <c r="C760" i="1"/>
  <c r="D760" i="1" s="1"/>
  <c r="C761" i="1"/>
  <c r="D761" i="1" s="1"/>
  <c r="C762" i="1"/>
  <c r="D762" i="1" s="1"/>
  <c r="C763" i="1"/>
  <c r="D763" i="1" s="1"/>
  <c r="C764" i="1"/>
  <c r="D764" i="1" s="1"/>
  <c r="C765" i="1"/>
  <c r="D765" i="1" s="1"/>
  <c r="C766" i="1"/>
  <c r="D766" i="1" s="1"/>
  <c r="C767" i="1"/>
  <c r="D767" i="1" s="1"/>
  <c r="C768" i="1"/>
  <c r="D768" i="1" s="1"/>
  <c r="C769" i="1"/>
  <c r="D769" i="1" s="1"/>
  <c r="C770" i="1"/>
  <c r="D770" i="1" s="1"/>
  <c r="C771" i="1"/>
  <c r="D771" i="1" s="1"/>
  <c r="C772" i="1"/>
  <c r="D772" i="1" s="1"/>
  <c r="C773" i="1"/>
  <c r="D773" i="1" s="1"/>
  <c r="C774" i="1"/>
  <c r="D774" i="1" s="1"/>
  <c r="C775" i="1"/>
  <c r="D775" i="1" s="1"/>
  <c r="C776" i="1"/>
  <c r="D776" i="1" s="1"/>
  <c r="C777" i="1"/>
  <c r="D777" i="1" s="1"/>
  <c r="C778" i="1"/>
  <c r="D778" i="1" s="1"/>
  <c r="C779" i="1"/>
  <c r="D779" i="1" s="1"/>
  <c r="C780" i="1"/>
  <c r="D780" i="1" s="1"/>
  <c r="C781" i="1"/>
  <c r="D781" i="1" s="1"/>
  <c r="C782" i="1"/>
  <c r="D782" i="1" s="1"/>
  <c r="C783" i="1"/>
  <c r="D783" i="1" s="1"/>
  <c r="C784" i="1"/>
  <c r="D784" i="1" s="1"/>
  <c r="C785" i="1"/>
  <c r="D785" i="1" s="1"/>
  <c r="C786" i="1"/>
  <c r="D786" i="1" s="1"/>
  <c r="C787" i="1"/>
  <c r="D787" i="1" s="1"/>
  <c r="C788" i="1"/>
  <c r="D788" i="1" s="1"/>
  <c r="C789" i="1"/>
  <c r="D789" i="1" s="1"/>
  <c r="C790" i="1"/>
  <c r="D790" i="1" s="1"/>
  <c r="C791" i="1"/>
  <c r="D791" i="1" s="1"/>
  <c r="C792" i="1"/>
  <c r="D792" i="1" s="1"/>
  <c r="C793" i="1"/>
  <c r="D793" i="1" s="1"/>
  <c r="C794" i="1"/>
  <c r="D794" i="1" s="1"/>
  <c r="C795" i="1"/>
  <c r="D795" i="1" s="1"/>
  <c r="C796" i="1"/>
  <c r="D796" i="1" s="1"/>
  <c r="C797" i="1"/>
  <c r="D797" i="1" s="1"/>
  <c r="C798" i="1"/>
  <c r="D798" i="1" s="1"/>
  <c r="C799" i="1"/>
  <c r="D799" i="1" s="1"/>
  <c r="C800" i="1"/>
  <c r="D800" i="1" s="1"/>
  <c r="C801" i="1"/>
  <c r="D801" i="1" s="1"/>
  <c r="C802" i="1"/>
  <c r="D802" i="1" s="1"/>
  <c r="C803" i="1"/>
  <c r="D803" i="1" s="1"/>
  <c r="C804" i="1"/>
  <c r="D804" i="1" s="1"/>
  <c r="C805" i="1"/>
  <c r="D805" i="1" s="1"/>
  <c r="C806" i="1"/>
  <c r="D806" i="1" s="1"/>
  <c r="C807" i="1"/>
  <c r="D807" i="1" s="1"/>
  <c r="C808" i="1"/>
  <c r="D808" i="1" s="1"/>
  <c r="C809" i="1"/>
  <c r="D809" i="1" s="1"/>
  <c r="C810" i="1"/>
  <c r="D810" i="1" s="1"/>
  <c r="C811" i="1"/>
  <c r="D811" i="1" s="1"/>
  <c r="C812" i="1"/>
  <c r="D812" i="1" s="1"/>
  <c r="C813" i="1"/>
  <c r="D813" i="1" s="1"/>
  <c r="C814" i="1"/>
  <c r="D814" i="1" s="1"/>
  <c r="C815" i="1"/>
  <c r="D815" i="1" s="1"/>
  <c r="C816" i="1"/>
  <c r="D816" i="1" s="1"/>
  <c r="C817" i="1"/>
  <c r="D817" i="1" s="1"/>
  <c r="C818" i="1"/>
  <c r="D818" i="1" s="1"/>
  <c r="C819" i="1"/>
  <c r="D819" i="1" s="1"/>
  <c r="C820" i="1"/>
  <c r="D820" i="1" s="1"/>
  <c r="C821" i="1"/>
  <c r="D821" i="1" s="1"/>
  <c r="C822" i="1"/>
  <c r="D822" i="1" s="1"/>
  <c r="C823" i="1"/>
  <c r="D823" i="1" s="1"/>
  <c r="C824" i="1"/>
  <c r="D824" i="1" s="1"/>
  <c r="C825" i="1"/>
  <c r="D825" i="1" s="1"/>
  <c r="C826" i="1"/>
  <c r="D826" i="1" s="1"/>
  <c r="C827" i="1"/>
  <c r="D827" i="1" s="1"/>
  <c r="C828" i="1"/>
  <c r="D828" i="1" s="1"/>
  <c r="C829" i="1"/>
  <c r="D829" i="1" s="1"/>
  <c r="C830" i="1"/>
  <c r="D830" i="1" s="1"/>
  <c r="C831" i="1"/>
  <c r="D831" i="1" s="1"/>
  <c r="C832" i="1"/>
  <c r="D832" i="1" s="1"/>
  <c r="C833" i="1"/>
  <c r="D833" i="1" s="1"/>
  <c r="C834" i="1"/>
  <c r="D834" i="1" s="1"/>
  <c r="C835" i="1"/>
  <c r="D835" i="1" s="1"/>
  <c r="C836" i="1"/>
  <c r="D836" i="1" s="1"/>
  <c r="C837" i="1"/>
  <c r="D837" i="1" s="1"/>
  <c r="C838" i="1"/>
  <c r="D838" i="1" s="1"/>
  <c r="C839" i="1"/>
  <c r="D839" i="1" s="1"/>
  <c r="C840" i="1"/>
  <c r="D840" i="1" s="1"/>
  <c r="C841" i="1"/>
  <c r="D841" i="1" s="1"/>
  <c r="C842" i="1"/>
  <c r="D842" i="1" s="1"/>
  <c r="C843" i="1"/>
  <c r="D843" i="1" s="1"/>
  <c r="C844" i="1"/>
  <c r="D844" i="1" s="1"/>
  <c r="C845" i="1"/>
  <c r="D845" i="1" s="1"/>
  <c r="C846" i="1"/>
  <c r="D846" i="1" s="1"/>
  <c r="C847" i="1"/>
  <c r="D847" i="1" s="1"/>
  <c r="C848" i="1"/>
  <c r="D848" i="1" s="1"/>
  <c r="C849" i="1"/>
  <c r="D849" i="1" s="1"/>
  <c r="C850" i="1"/>
  <c r="D850" i="1" s="1"/>
  <c r="C851" i="1"/>
  <c r="D851" i="1" s="1"/>
  <c r="C852" i="1"/>
  <c r="D852" i="1" s="1"/>
  <c r="C853" i="1"/>
  <c r="D853" i="1" s="1"/>
  <c r="C854" i="1"/>
  <c r="D854" i="1" s="1"/>
  <c r="C855" i="1"/>
  <c r="D855" i="1" s="1"/>
  <c r="C856" i="1"/>
  <c r="D856" i="1" s="1"/>
  <c r="C857" i="1"/>
  <c r="D857" i="1" s="1"/>
  <c r="C858" i="1"/>
  <c r="D858" i="1" s="1"/>
  <c r="C859" i="1"/>
  <c r="D859" i="1" s="1"/>
  <c r="C860" i="1"/>
  <c r="D860" i="1" s="1"/>
  <c r="C861" i="1"/>
  <c r="D861" i="1" s="1"/>
  <c r="C862" i="1"/>
  <c r="D862" i="1" s="1"/>
  <c r="C863" i="1"/>
  <c r="D863" i="1" s="1"/>
  <c r="C864" i="1"/>
  <c r="D864" i="1" s="1"/>
  <c r="C865" i="1"/>
  <c r="D865" i="1" s="1"/>
  <c r="C866" i="1"/>
  <c r="D866" i="1" s="1"/>
  <c r="C867" i="1"/>
  <c r="D867" i="1" s="1"/>
  <c r="C868" i="1"/>
  <c r="D868" i="1" s="1"/>
  <c r="C869" i="1"/>
  <c r="D869" i="1" s="1"/>
  <c r="C870" i="1"/>
  <c r="D870" i="1" s="1"/>
  <c r="C871" i="1"/>
  <c r="D871" i="1" s="1"/>
  <c r="C872" i="1"/>
  <c r="D872" i="1" s="1"/>
  <c r="C873" i="1"/>
  <c r="D873" i="1" s="1"/>
  <c r="C874" i="1"/>
  <c r="D874" i="1" s="1"/>
  <c r="C875" i="1"/>
  <c r="D875" i="1" s="1"/>
  <c r="C876" i="1"/>
  <c r="D876" i="1" s="1"/>
  <c r="C877" i="1"/>
  <c r="D877" i="1" s="1"/>
  <c r="C878" i="1"/>
  <c r="D878" i="1" s="1"/>
  <c r="C879" i="1"/>
  <c r="D879" i="1" s="1"/>
  <c r="C880" i="1"/>
  <c r="D880" i="1" s="1"/>
  <c r="C881" i="1"/>
  <c r="D881" i="1" s="1"/>
  <c r="C882" i="1"/>
  <c r="D882" i="1" s="1"/>
  <c r="C883" i="1"/>
  <c r="D883" i="1" s="1"/>
  <c r="C884" i="1"/>
  <c r="D884" i="1" s="1"/>
  <c r="C885" i="1"/>
  <c r="D885" i="1" s="1"/>
  <c r="C886" i="1"/>
  <c r="D886" i="1" s="1"/>
  <c r="C887" i="1"/>
  <c r="D887" i="1" s="1"/>
  <c r="C888" i="1"/>
  <c r="D888" i="1" s="1"/>
  <c r="C889" i="1"/>
  <c r="D889" i="1" s="1"/>
  <c r="C890" i="1"/>
  <c r="D890" i="1" s="1"/>
  <c r="C891" i="1"/>
  <c r="D891" i="1" s="1"/>
  <c r="C892" i="1"/>
  <c r="D892" i="1" s="1"/>
  <c r="C893" i="1"/>
  <c r="D893" i="1" s="1"/>
  <c r="C894" i="1"/>
  <c r="D894" i="1" s="1"/>
  <c r="C895" i="1"/>
  <c r="D895" i="1" s="1"/>
  <c r="C896" i="1"/>
  <c r="D896" i="1" s="1"/>
  <c r="C897" i="1"/>
  <c r="D897" i="1" s="1"/>
  <c r="C898" i="1"/>
  <c r="D898" i="1" s="1"/>
  <c r="C899" i="1"/>
  <c r="D899" i="1" s="1"/>
  <c r="C900" i="1"/>
  <c r="D900" i="1" s="1"/>
  <c r="C901" i="1"/>
  <c r="D901" i="1" s="1"/>
  <c r="C902" i="1"/>
  <c r="D902" i="1" s="1"/>
  <c r="C903" i="1"/>
  <c r="D903" i="1" s="1"/>
  <c r="C904" i="1"/>
  <c r="D904" i="1" s="1"/>
  <c r="C905" i="1"/>
  <c r="D905" i="1" s="1"/>
  <c r="C906" i="1"/>
  <c r="D906" i="1" s="1"/>
  <c r="C907" i="1"/>
  <c r="D907" i="1" s="1"/>
  <c r="C908" i="1"/>
  <c r="D908" i="1" s="1"/>
  <c r="C909" i="1"/>
  <c r="D909" i="1" s="1"/>
  <c r="C910" i="1"/>
  <c r="D910" i="1" s="1"/>
  <c r="C911" i="1"/>
  <c r="D911" i="1" s="1"/>
  <c r="C912" i="1"/>
  <c r="D912" i="1" s="1"/>
  <c r="C913" i="1"/>
  <c r="D913" i="1" s="1"/>
  <c r="C914" i="1"/>
  <c r="D914" i="1" s="1"/>
  <c r="C915" i="1"/>
  <c r="D915" i="1" s="1"/>
  <c r="C916" i="1"/>
  <c r="D916" i="1" s="1"/>
  <c r="C917" i="1"/>
  <c r="D917" i="1" s="1"/>
  <c r="C918" i="1"/>
  <c r="D918" i="1" s="1"/>
  <c r="C919" i="1"/>
  <c r="D919" i="1" s="1"/>
  <c r="C920" i="1"/>
  <c r="D920" i="1" s="1"/>
  <c r="C921" i="1"/>
  <c r="D921" i="1" s="1"/>
  <c r="C922" i="1"/>
  <c r="D922" i="1" s="1"/>
  <c r="C923" i="1"/>
  <c r="D923" i="1" s="1"/>
  <c r="C924" i="1"/>
  <c r="D924" i="1" s="1"/>
  <c r="C925" i="1"/>
  <c r="D925" i="1" s="1"/>
  <c r="C926" i="1"/>
  <c r="D926" i="1" s="1"/>
  <c r="C927" i="1"/>
  <c r="D927" i="1" s="1"/>
  <c r="C928" i="1"/>
  <c r="D928" i="1" s="1"/>
  <c r="C929" i="1"/>
  <c r="D929" i="1" s="1"/>
  <c r="C930" i="1"/>
  <c r="D930" i="1" s="1"/>
  <c r="C931" i="1"/>
  <c r="D931" i="1" s="1"/>
  <c r="C932" i="1"/>
  <c r="D932" i="1" s="1"/>
  <c r="C933" i="1"/>
  <c r="D933" i="1" s="1"/>
  <c r="C934" i="1"/>
  <c r="D934" i="1" s="1"/>
  <c r="C935" i="1"/>
  <c r="D935" i="1" s="1"/>
  <c r="C936" i="1"/>
  <c r="D936" i="1" s="1"/>
  <c r="C937" i="1"/>
  <c r="D937" i="1" s="1"/>
  <c r="C938" i="1"/>
  <c r="D938" i="1" s="1"/>
  <c r="C939" i="1"/>
  <c r="D939" i="1" s="1"/>
  <c r="C940" i="1"/>
  <c r="D940" i="1" s="1"/>
  <c r="C941" i="1"/>
  <c r="D941" i="1" s="1"/>
  <c r="C942" i="1"/>
  <c r="D942" i="1" s="1"/>
  <c r="C943" i="1"/>
  <c r="D943" i="1" s="1"/>
  <c r="C944" i="1"/>
  <c r="D944" i="1" s="1"/>
  <c r="C945" i="1"/>
  <c r="D945" i="1" s="1"/>
  <c r="C946" i="1"/>
  <c r="D946" i="1" s="1"/>
  <c r="C947" i="1"/>
  <c r="D947" i="1" s="1"/>
  <c r="C948" i="1"/>
  <c r="D948" i="1" s="1"/>
  <c r="C949" i="1"/>
  <c r="D949" i="1" s="1"/>
  <c r="C950" i="1"/>
  <c r="D950" i="1" s="1"/>
  <c r="C951" i="1"/>
  <c r="D951" i="1" s="1"/>
  <c r="C952" i="1"/>
  <c r="D952" i="1" s="1"/>
  <c r="C953" i="1"/>
  <c r="D953" i="1" s="1"/>
  <c r="C954" i="1"/>
  <c r="D954" i="1" s="1"/>
  <c r="C955" i="1"/>
  <c r="D955" i="1" s="1"/>
  <c r="C956" i="1"/>
  <c r="D956" i="1" s="1"/>
  <c r="C957" i="1"/>
  <c r="D957" i="1" s="1"/>
  <c r="C958" i="1"/>
  <c r="D958" i="1" s="1"/>
  <c r="C959" i="1"/>
  <c r="D959" i="1" s="1"/>
  <c r="C960" i="1"/>
  <c r="D960" i="1" s="1"/>
  <c r="C961" i="1"/>
  <c r="D961" i="1" s="1"/>
  <c r="C962" i="1"/>
  <c r="D962" i="1" s="1"/>
  <c r="C963" i="1"/>
  <c r="D963" i="1" s="1"/>
  <c r="C964" i="1"/>
  <c r="D964" i="1" s="1"/>
  <c r="C965" i="1"/>
  <c r="D965" i="1" s="1"/>
  <c r="C966" i="1"/>
  <c r="D966" i="1" s="1"/>
  <c r="C967" i="1"/>
  <c r="D967" i="1" s="1"/>
  <c r="C968" i="1"/>
  <c r="D968" i="1" s="1"/>
  <c r="C969" i="1"/>
  <c r="D969" i="1" s="1"/>
  <c r="C970" i="1"/>
  <c r="D970" i="1" s="1"/>
  <c r="C971" i="1"/>
  <c r="D971" i="1" s="1"/>
  <c r="C972" i="1"/>
  <c r="D972" i="1" s="1"/>
  <c r="C973" i="1"/>
  <c r="D973" i="1" s="1"/>
  <c r="C974" i="1"/>
  <c r="D974" i="1" s="1"/>
  <c r="C975" i="1"/>
  <c r="D975" i="1" s="1"/>
  <c r="C976" i="1"/>
  <c r="D976" i="1" s="1"/>
  <c r="C977" i="1"/>
  <c r="D977" i="1" s="1"/>
  <c r="C978" i="1"/>
  <c r="D978" i="1" s="1"/>
  <c r="C979" i="1"/>
  <c r="D979" i="1" s="1"/>
  <c r="C980" i="1"/>
  <c r="D980" i="1" s="1"/>
  <c r="C981" i="1"/>
  <c r="D981" i="1" s="1"/>
  <c r="C982" i="1"/>
  <c r="D982" i="1" s="1"/>
  <c r="C983" i="1"/>
  <c r="D983" i="1" s="1"/>
  <c r="C984" i="1"/>
  <c r="D984" i="1" s="1"/>
  <c r="C985" i="1"/>
  <c r="D985" i="1" s="1"/>
  <c r="C986" i="1"/>
  <c r="D986" i="1" s="1"/>
  <c r="C987" i="1"/>
  <c r="D987" i="1" s="1"/>
  <c r="C988" i="1"/>
  <c r="D988" i="1" s="1"/>
  <c r="C989" i="1"/>
  <c r="D989" i="1" s="1"/>
  <c r="C990" i="1"/>
  <c r="D990" i="1" s="1"/>
  <c r="C991" i="1"/>
  <c r="D991" i="1" s="1"/>
  <c r="C992" i="1"/>
  <c r="D992" i="1" s="1"/>
  <c r="C993" i="1"/>
  <c r="D993" i="1" s="1"/>
  <c r="C994" i="1"/>
  <c r="D994" i="1" s="1"/>
  <c r="C995" i="1"/>
  <c r="D995" i="1" s="1"/>
  <c r="C996" i="1"/>
  <c r="D996" i="1" s="1"/>
  <c r="C997" i="1"/>
  <c r="D997" i="1" s="1"/>
  <c r="C998" i="1"/>
  <c r="D998" i="1" s="1"/>
  <c r="C999" i="1"/>
  <c r="D999" i="1" s="1"/>
  <c r="C1000" i="1"/>
  <c r="D1000" i="1" s="1"/>
  <c r="C1001" i="1"/>
  <c r="D1001" i="1" s="1"/>
  <c r="C1002" i="1"/>
  <c r="D1002" i="1" s="1"/>
  <c r="C1003" i="1"/>
  <c r="D1003" i="1" s="1"/>
  <c r="C1004" i="1"/>
  <c r="D1004" i="1" s="1"/>
  <c r="C1005" i="1"/>
  <c r="D1005" i="1" s="1"/>
  <c r="C1006" i="1"/>
  <c r="D1006" i="1" s="1"/>
  <c r="C1007" i="1"/>
  <c r="D1007" i="1" s="1"/>
  <c r="C1008" i="1"/>
  <c r="D1008" i="1" s="1"/>
  <c r="C1009" i="1"/>
  <c r="D1009" i="1" s="1"/>
  <c r="C1010" i="1"/>
  <c r="D1010" i="1" s="1"/>
  <c r="C1011" i="1"/>
  <c r="D1011" i="1" s="1"/>
  <c r="C1012" i="1"/>
  <c r="D1012" i="1" s="1"/>
  <c r="C1013" i="1"/>
  <c r="D1013" i="1" s="1"/>
  <c r="C1014" i="1"/>
  <c r="D1014" i="1" s="1"/>
  <c r="C1015" i="1"/>
  <c r="D1015" i="1" s="1"/>
  <c r="C1016" i="1"/>
  <c r="D1016" i="1" s="1"/>
  <c r="C1017" i="1"/>
  <c r="D1017" i="1" s="1"/>
  <c r="C1018" i="1"/>
  <c r="D1018" i="1" s="1"/>
  <c r="C1019" i="1"/>
  <c r="D1019" i="1" s="1"/>
  <c r="C1020" i="1"/>
  <c r="D1020" i="1" s="1"/>
  <c r="C1021" i="1"/>
  <c r="D1021" i="1" s="1"/>
  <c r="C1022" i="1"/>
  <c r="D1022" i="1" s="1"/>
  <c r="C1023" i="1"/>
  <c r="D1023" i="1" s="1"/>
  <c r="C1024" i="1"/>
  <c r="D1024" i="1" s="1"/>
  <c r="C1025" i="1"/>
  <c r="D1025" i="1" s="1"/>
  <c r="C1026" i="1"/>
  <c r="D1026" i="1" s="1"/>
  <c r="C1027" i="1"/>
  <c r="D1027" i="1" s="1"/>
  <c r="C1028" i="1"/>
  <c r="D1028" i="1" s="1"/>
  <c r="C1029" i="1"/>
  <c r="D1029" i="1" s="1"/>
  <c r="C1030" i="1"/>
  <c r="D1030" i="1" s="1"/>
  <c r="C1031" i="1"/>
  <c r="D1031" i="1" s="1"/>
  <c r="C1032" i="1"/>
  <c r="D1032" i="1" s="1"/>
  <c r="C1033" i="1"/>
  <c r="D1033" i="1" s="1"/>
  <c r="C1034" i="1"/>
  <c r="D1034" i="1" s="1"/>
  <c r="C1035" i="1"/>
  <c r="D1035" i="1" s="1"/>
  <c r="C1036" i="1"/>
  <c r="D1036" i="1" s="1"/>
  <c r="C1037" i="1"/>
  <c r="D1037" i="1" s="1"/>
  <c r="C1038" i="1"/>
  <c r="D1038" i="1" s="1"/>
  <c r="C1039" i="1"/>
  <c r="D1039" i="1" s="1"/>
  <c r="C1040" i="1"/>
  <c r="D1040" i="1" s="1"/>
  <c r="C1041" i="1"/>
  <c r="D1041" i="1" s="1"/>
  <c r="C1042" i="1"/>
  <c r="D1042" i="1" s="1"/>
  <c r="C1043" i="1"/>
  <c r="D1043" i="1" s="1"/>
  <c r="C1044" i="1"/>
  <c r="D1044" i="1" s="1"/>
  <c r="C1045" i="1"/>
  <c r="D1045" i="1" s="1"/>
  <c r="C1046" i="1"/>
  <c r="D1046" i="1" s="1"/>
  <c r="C1047" i="1"/>
  <c r="D1047" i="1" s="1"/>
  <c r="C1048" i="1"/>
  <c r="D1048" i="1" s="1"/>
  <c r="C1049" i="1"/>
  <c r="D1049" i="1" s="1"/>
  <c r="C1050" i="1"/>
  <c r="D1050" i="1" s="1"/>
  <c r="C1051" i="1"/>
  <c r="D1051" i="1" s="1"/>
  <c r="C1052" i="1"/>
  <c r="D1052" i="1" s="1"/>
  <c r="C1053" i="1"/>
  <c r="D1053" i="1" s="1"/>
  <c r="C1054" i="1"/>
  <c r="D1054" i="1" s="1"/>
  <c r="C1055" i="1"/>
  <c r="D1055" i="1" s="1"/>
  <c r="C1056" i="1"/>
  <c r="D1056" i="1" s="1"/>
  <c r="C1057" i="1"/>
  <c r="D1057" i="1" s="1"/>
  <c r="C1058" i="1"/>
  <c r="D1058" i="1" s="1"/>
  <c r="C1059" i="1"/>
  <c r="D1059" i="1" s="1"/>
  <c r="C1060" i="1"/>
  <c r="D1060" i="1" s="1"/>
  <c r="C1061" i="1"/>
  <c r="D1061" i="1" s="1"/>
  <c r="C1062" i="1"/>
  <c r="D1062" i="1" s="1"/>
  <c r="C1063" i="1"/>
  <c r="D1063" i="1" s="1"/>
  <c r="C1064" i="1"/>
  <c r="D1064" i="1" s="1"/>
  <c r="C1065" i="1"/>
  <c r="D1065" i="1" s="1"/>
  <c r="C1066" i="1"/>
  <c r="D1066" i="1" s="1"/>
  <c r="C1067" i="1"/>
  <c r="D1067" i="1" s="1"/>
  <c r="C1068" i="1"/>
  <c r="D1068" i="1" s="1"/>
  <c r="C1069" i="1"/>
  <c r="D1069" i="1" s="1"/>
  <c r="C1070" i="1"/>
  <c r="D1070" i="1" s="1"/>
  <c r="C1071" i="1"/>
  <c r="D1071" i="1" s="1"/>
  <c r="C1072" i="1"/>
  <c r="D1072" i="1" s="1"/>
  <c r="C1073" i="1"/>
  <c r="D1073" i="1" s="1"/>
  <c r="C1074" i="1"/>
  <c r="D1074" i="1" s="1"/>
  <c r="C1075" i="1"/>
  <c r="D1075" i="1" s="1"/>
  <c r="C1076" i="1"/>
  <c r="D1076" i="1" s="1"/>
  <c r="C1077" i="1"/>
  <c r="D1077" i="1" s="1"/>
  <c r="C1078" i="1"/>
  <c r="D1078" i="1" s="1"/>
  <c r="C1079" i="1"/>
  <c r="D1079" i="1" s="1"/>
  <c r="C1080" i="1"/>
  <c r="D1080" i="1" s="1"/>
  <c r="C1081" i="1"/>
  <c r="D1081" i="1" s="1"/>
  <c r="C1082" i="1"/>
  <c r="D1082" i="1" s="1"/>
  <c r="C1083" i="1"/>
  <c r="D1083" i="1" s="1"/>
  <c r="C1084" i="1"/>
  <c r="D1084" i="1" s="1"/>
  <c r="C1085" i="1"/>
  <c r="D1085" i="1" s="1"/>
  <c r="C1086" i="1"/>
  <c r="D1086" i="1" s="1"/>
  <c r="C1087" i="1"/>
  <c r="D1087" i="1" s="1"/>
  <c r="C1088" i="1"/>
  <c r="D1088" i="1" s="1"/>
  <c r="C1089" i="1"/>
  <c r="D1089" i="1" s="1"/>
  <c r="C1090" i="1"/>
  <c r="D1090" i="1" s="1"/>
  <c r="C1091" i="1"/>
  <c r="D1091" i="1" s="1"/>
  <c r="C1092" i="1"/>
  <c r="D1092" i="1" s="1"/>
  <c r="C1093" i="1"/>
  <c r="D1093" i="1" s="1"/>
  <c r="C1094" i="1"/>
  <c r="D1094" i="1" s="1"/>
  <c r="C1095" i="1"/>
  <c r="D1095" i="1" s="1"/>
  <c r="C1096" i="1"/>
  <c r="D1096" i="1" s="1"/>
  <c r="C1097" i="1"/>
  <c r="D1097" i="1" s="1"/>
  <c r="C1098" i="1"/>
  <c r="D1098" i="1" s="1"/>
  <c r="C1099" i="1"/>
  <c r="D1099" i="1" s="1"/>
  <c r="C1100" i="1"/>
  <c r="D1100" i="1" s="1"/>
  <c r="C1101" i="1"/>
  <c r="D1101" i="1" s="1"/>
  <c r="C1102" i="1"/>
  <c r="D1102" i="1" s="1"/>
  <c r="C1103" i="1"/>
  <c r="D1103" i="1" s="1"/>
  <c r="C1104" i="1"/>
  <c r="D1104" i="1" s="1"/>
  <c r="C1105" i="1"/>
  <c r="D1105" i="1" s="1"/>
  <c r="C1106" i="1"/>
  <c r="D1106" i="1" s="1"/>
  <c r="C1107" i="1"/>
  <c r="D1107" i="1" s="1"/>
  <c r="C1108" i="1"/>
  <c r="D1108" i="1" s="1"/>
  <c r="C1109" i="1"/>
  <c r="D1109" i="1" s="1"/>
  <c r="C1110" i="1"/>
  <c r="D1110" i="1" s="1"/>
  <c r="C1111" i="1"/>
  <c r="D1111" i="1" s="1"/>
  <c r="C1112" i="1"/>
  <c r="D1112" i="1" s="1"/>
  <c r="C1113" i="1"/>
  <c r="D1113" i="1" s="1"/>
  <c r="C1114" i="1"/>
  <c r="D1114" i="1" s="1"/>
  <c r="C1115" i="1"/>
  <c r="D1115" i="1" s="1"/>
  <c r="C1116" i="1"/>
  <c r="D1116" i="1" s="1"/>
  <c r="C1117" i="1"/>
  <c r="D1117" i="1" s="1"/>
  <c r="C1118" i="1"/>
  <c r="D1118" i="1" s="1"/>
  <c r="C1119" i="1"/>
  <c r="D1119" i="1" s="1"/>
  <c r="C1120" i="1"/>
  <c r="D1120" i="1" s="1"/>
  <c r="C1121" i="1"/>
  <c r="D1121" i="1" s="1"/>
  <c r="C1122" i="1"/>
  <c r="D1122" i="1" s="1"/>
  <c r="C1123" i="1"/>
  <c r="D1123" i="1" s="1"/>
  <c r="C1124" i="1"/>
  <c r="D1124" i="1" s="1"/>
  <c r="C1125" i="1"/>
  <c r="D1125" i="1" s="1"/>
  <c r="C1126" i="1"/>
  <c r="D1126" i="1" s="1"/>
  <c r="C1127" i="1"/>
  <c r="D1127" i="1" s="1"/>
  <c r="C1128" i="1"/>
  <c r="D1128" i="1" s="1"/>
  <c r="C1129" i="1"/>
  <c r="D1129" i="1" s="1"/>
  <c r="C1130" i="1"/>
  <c r="D1130" i="1" s="1"/>
  <c r="C1131" i="1"/>
  <c r="D1131" i="1" s="1"/>
  <c r="C1132" i="1"/>
  <c r="D1132" i="1" s="1"/>
  <c r="C1133" i="1"/>
  <c r="D1133" i="1" s="1"/>
  <c r="C1134" i="1"/>
  <c r="D1134" i="1" s="1"/>
  <c r="C1135" i="1"/>
  <c r="D1135" i="1" s="1"/>
  <c r="C1136" i="1"/>
  <c r="D1136" i="1" s="1"/>
  <c r="C1137" i="1"/>
  <c r="D1137" i="1" s="1"/>
  <c r="C1138" i="1"/>
  <c r="D1138" i="1" s="1"/>
  <c r="C1139" i="1"/>
  <c r="D1139" i="1" s="1"/>
  <c r="C1140" i="1"/>
  <c r="D1140" i="1" s="1"/>
  <c r="C1141" i="1"/>
  <c r="D1141" i="1" s="1"/>
  <c r="C1142" i="1"/>
  <c r="D1142" i="1" s="1"/>
  <c r="C1143" i="1"/>
  <c r="D1143" i="1" s="1"/>
  <c r="C1144" i="1"/>
  <c r="D1144" i="1" s="1"/>
  <c r="C1145" i="1"/>
  <c r="D1145" i="1" s="1"/>
  <c r="C1146" i="1"/>
  <c r="D1146" i="1" s="1"/>
  <c r="C1147" i="1"/>
  <c r="D1147" i="1" s="1"/>
  <c r="C1148" i="1"/>
  <c r="D1148" i="1" s="1"/>
  <c r="C1149" i="1"/>
  <c r="D1149" i="1" s="1"/>
  <c r="C1150" i="1"/>
  <c r="D1150" i="1" s="1"/>
  <c r="C1151" i="1"/>
  <c r="D1151" i="1" s="1"/>
  <c r="C1152" i="1"/>
  <c r="D1152" i="1" s="1"/>
  <c r="C1153" i="1"/>
  <c r="D1153" i="1" s="1"/>
  <c r="C1154" i="1"/>
  <c r="D1154" i="1" s="1"/>
  <c r="C1155" i="1"/>
  <c r="D1155" i="1" s="1"/>
  <c r="C1156" i="1"/>
  <c r="D1156" i="1" s="1"/>
  <c r="C1157" i="1"/>
  <c r="D1157" i="1" s="1"/>
  <c r="C1158" i="1"/>
  <c r="D1158" i="1" s="1"/>
  <c r="C1159" i="1"/>
  <c r="D1159" i="1" s="1"/>
  <c r="C1160" i="1"/>
  <c r="D1160" i="1" s="1"/>
  <c r="C1161" i="1"/>
  <c r="D1161" i="1" s="1"/>
  <c r="C1162" i="1"/>
  <c r="D1162" i="1" s="1"/>
  <c r="C1163" i="1"/>
  <c r="D1163" i="1" s="1"/>
  <c r="C1164" i="1"/>
  <c r="D1164" i="1" s="1"/>
  <c r="C1165" i="1"/>
  <c r="D1165" i="1" s="1"/>
  <c r="C1166" i="1"/>
  <c r="D1166" i="1" s="1"/>
  <c r="C1167" i="1"/>
  <c r="D1167" i="1" s="1"/>
  <c r="C1168" i="1"/>
  <c r="D1168" i="1" s="1"/>
  <c r="C1169" i="1"/>
  <c r="D1169" i="1" s="1"/>
  <c r="C1170" i="1"/>
  <c r="D1170" i="1" s="1"/>
  <c r="C1171" i="1"/>
  <c r="D1171" i="1" s="1"/>
  <c r="C1172" i="1"/>
  <c r="D1172" i="1" s="1"/>
  <c r="C1173" i="1"/>
  <c r="D1173" i="1" s="1"/>
  <c r="C1174" i="1"/>
  <c r="D1174" i="1" s="1"/>
  <c r="C1175" i="1"/>
  <c r="D1175" i="1" s="1"/>
  <c r="C1176" i="1"/>
  <c r="D1176" i="1" s="1"/>
  <c r="C1177" i="1"/>
  <c r="D1177" i="1" s="1"/>
  <c r="C1178" i="1"/>
  <c r="D1178" i="1" s="1"/>
  <c r="C1179" i="1"/>
  <c r="D1179" i="1" s="1"/>
  <c r="C1180" i="1"/>
  <c r="D1180" i="1" s="1"/>
  <c r="C1181" i="1"/>
  <c r="D1181" i="1" s="1"/>
  <c r="C1182" i="1"/>
  <c r="D1182" i="1" s="1"/>
  <c r="C1183" i="1"/>
  <c r="D1183" i="1" s="1"/>
  <c r="C1184" i="1"/>
  <c r="D1184" i="1" s="1"/>
  <c r="C1185" i="1"/>
  <c r="D1185" i="1" s="1"/>
  <c r="C1186" i="1"/>
  <c r="D1186" i="1" s="1"/>
  <c r="C1187" i="1"/>
  <c r="D1187" i="1" s="1"/>
  <c r="C1188" i="1"/>
  <c r="D1188" i="1" s="1"/>
  <c r="C1189" i="1"/>
  <c r="D1189" i="1" s="1"/>
  <c r="C1190" i="1"/>
  <c r="D1190" i="1" s="1"/>
  <c r="C1191" i="1"/>
  <c r="D1191" i="1" s="1"/>
  <c r="C1192" i="1"/>
  <c r="D1192" i="1" s="1"/>
  <c r="C1193" i="1"/>
  <c r="D1193" i="1" s="1"/>
  <c r="C1194" i="1"/>
  <c r="D1194" i="1" s="1"/>
  <c r="C1195" i="1"/>
  <c r="D1195" i="1" s="1"/>
  <c r="C1196" i="1"/>
  <c r="D1196" i="1" s="1"/>
  <c r="C1197" i="1"/>
  <c r="D1197" i="1" s="1"/>
  <c r="C1198" i="1"/>
  <c r="D1198" i="1" s="1"/>
  <c r="C1199" i="1"/>
  <c r="D1199" i="1" s="1"/>
  <c r="C1200" i="1"/>
  <c r="D1200" i="1" s="1"/>
  <c r="C1201" i="1"/>
  <c r="D1201" i="1" s="1"/>
  <c r="C1202" i="1"/>
  <c r="D1202" i="1" s="1"/>
  <c r="C1203" i="1"/>
  <c r="D1203" i="1" s="1"/>
  <c r="C1204" i="1"/>
  <c r="D1204" i="1" s="1"/>
  <c r="C1205" i="1"/>
  <c r="D1205" i="1" s="1"/>
  <c r="C1206" i="1"/>
  <c r="D1206" i="1" s="1"/>
  <c r="C1207" i="1"/>
  <c r="D1207" i="1" s="1"/>
  <c r="C1208" i="1"/>
  <c r="D1208" i="1" s="1"/>
  <c r="C1209" i="1"/>
  <c r="D1209" i="1" s="1"/>
  <c r="C1210" i="1"/>
  <c r="D1210" i="1" s="1"/>
  <c r="C1211" i="1"/>
  <c r="D1211" i="1" s="1"/>
  <c r="C1212" i="1"/>
  <c r="D1212" i="1" s="1"/>
  <c r="C1213" i="1"/>
  <c r="D1213" i="1" s="1"/>
  <c r="C1214" i="1"/>
  <c r="D1214" i="1" s="1"/>
  <c r="C1215" i="1"/>
  <c r="D1215" i="1" s="1"/>
  <c r="C1216" i="1"/>
  <c r="D1216" i="1" s="1"/>
  <c r="C1217" i="1"/>
  <c r="D1217" i="1" s="1"/>
  <c r="C1218" i="1"/>
  <c r="D1218" i="1" s="1"/>
  <c r="C1219" i="1"/>
  <c r="D1219" i="1" s="1"/>
  <c r="C1220" i="1"/>
  <c r="D1220" i="1" s="1"/>
  <c r="C1221" i="1"/>
  <c r="D1221" i="1" s="1"/>
  <c r="C1222" i="1"/>
  <c r="D1222" i="1" s="1"/>
  <c r="C1223" i="1"/>
  <c r="D1223" i="1" s="1"/>
  <c r="C1224" i="1"/>
  <c r="D1224" i="1" s="1"/>
  <c r="C1225" i="1"/>
  <c r="D1225" i="1" s="1"/>
  <c r="C1226" i="1"/>
  <c r="D1226" i="1" s="1"/>
  <c r="C1227" i="1"/>
  <c r="D1227" i="1" s="1"/>
  <c r="C1228" i="1"/>
  <c r="D1228" i="1" s="1"/>
  <c r="C1229" i="1"/>
  <c r="D1229" i="1" s="1"/>
  <c r="C1230" i="1"/>
  <c r="D1230" i="1" s="1"/>
  <c r="C1231" i="1"/>
  <c r="D1231" i="1" s="1"/>
  <c r="C1232" i="1"/>
  <c r="D1232" i="1" s="1"/>
  <c r="C1233" i="1"/>
  <c r="D1233" i="1" s="1"/>
  <c r="C1234" i="1"/>
  <c r="D1234" i="1" s="1"/>
  <c r="C1235" i="1"/>
  <c r="D1235" i="1" s="1"/>
  <c r="C1236" i="1"/>
  <c r="D1236" i="1" s="1"/>
  <c r="C1237" i="1"/>
  <c r="D1237" i="1" s="1"/>
  <c r="C1238" i="1"/>
  <c r="D1238" i="1" s="1"/>
  <c r="C1239" i="1"/>
  <c r="D1239" i="1" s="1"/>
  <c r="C1240" i="1"/>
  <c r="D1240" i="1" s="1"/>
  <c r="C1241" i="1"/>
  <c r="D1241" i="1" s="1"/>
  <c r="C1242" i="1"/>
  <c r="D1242" i="1" s="1"/>
  <c r="C1243" i="1"/>
  <c r="D1243" i="1" s="1"/>
  <c r="C1244" i="1"/>
  <c r="D1244" i="1" s="1"/>
  <c r="C1245" i="1"/>
  <c r="D1245" i="1" s="1"/>
  <c r="C1246" i="1"/>
  <c r="D1246" i="1" s="1"/>
  <c r="C1247" i="1"/>
  <c r="D1247" i="1" s="1"/>
  <c r="C1248" i="1"/>
  <c r="D1248" i="1" s="1"/>
  <c r="C1249" i="1"/>
  <c r="D1249" i="1" s="1"/>
  <c r="C1250" i="1"/>
  <c r="D1250" i="1" s="1"/>
  <c r="C1251" i="1"/>
  <c r="D1251" i="1" s="1"/>
  <c r="C1252" i="1"/>
  <c r="D1252" i="1" s="1"/>
  <c r="C1253" i="1"/>
  <c r="D1253" i="1" s="1"/>
  <c r="C1254" i="1"/>
  <c r="D1254" i="1" s="1"/>
  <c r="C1255" i="1"/>
  <c r="D1255" i="1" s="1"/>
  <c r="C1256" i="1"/>
  <c r="D1256" i="1" s="1"/>
  <c r="C1257" i="1"/>
  <c r="D1257" i="1" s="1"/>
  <c r="C1258" i="1"/>
  <c r="D1258" i="1" s="1"/>
  <c r="C1259" i="1"/>
  <c r="D1259" i="1" s="1"/>
  <c r="C1260" i="1"/>
  <c r="D1260" i="1" s="1"/>
  <c r="C1261" i="1"/>
  <c r="D1261" i="1" s="1"/>
  <c r="C1262" i="1"/>
  <c r="D1262" i="1" s="1"/>
  <c r="C1263" i="1"/>
  <c r="D1263" i="1" s="1"/>
  <c r="C1264" i="1"/>
  <c r="D1264" i="1" s="1"/>
  <c r="C1265" i="1"/>
  <c r="D1265" i="1" s="1"/>
  <c r="C1266" i="1"/>
  <c r="D1266" i="1" s="1"/>
  <c r="C1267" i="1"/>
  <c r="D1267" i="1" s="1"/>
  <c r="C1268" i="1"/>
  <c r="D1268" i="1" s="1"/>
  <c r="C1269" i="1"/>
  <c r="D1269" i="1" s="1"/>
  <c r="C1270" i="1"/>
  <c r="D1270" i="1" s="1"/>
  <c r="C1271" i="1"/>
  <c r="D1271" i="1" s="1"/>
  <c r="C1272" i="1"/>
  <c r="D1272" i="1" s="1"/>
  <c r="C1273" i="1"/>
  <c r="D1273" i="1" s="1"/>
  <c r="C1274" i="1"/>
  <c r="D1274" i="1" s="1"/>
  <c r="C1275" i="1"/>
  <c r="D1275" i="1" s="1"/>
  <c r="C1276" i="1"/>
  <c r="D1276" i="1" s="1"/>
  <c r="C1277" i="1"/>
  <c r="D1277" i="1" s="1"/>
  <c r="C1278" i="1"/>
  <c r="D1278" i="1" s="1"/>
  <c r="C1279" i="1"/>
  <c r="D1279" i="1" s="1"/>
  <c r="C1280" i="1"/>
  <c r="D1280" i="1" s="1"/>
  <c r="C1281" i="1"/>
  <c r="D1281" i="1" s="1"/>
  <c r="C1282" i="1"/>
  <c r="D1282" i="1" s="1"/>
  <c r="C1283" i="1"/>
  <c r="D1283" i="1" s="1"/>
  <c r="C1284" i="1"/>
  <c r="D1284" i="1" s="1"/>
  <c r="C1285" i="1"/>
  <c r="D1285" i="1" s="1"/>
  <c r="C1286" i="1"/>
  <c r="D1286" i="1" s="1"/>
  <c r="C1287" i="1"/>
  <c r="D1287" i="1" s="1"/>
  <c r="C1288" i="1"/>
  <c r="D1288" i="1" s="1"/>
  <c r="C1289" i="1"/>
  <c r="D1289" i="1" s="1"/>
  <c r="C1290" i="1"/>
  <c r="D1290" i="1" s="1"/>
  <c r="C1291" i="1"/>
  <c r="D1291" i="1" s="1"/>
  <c r="C1292" i="1"/>
  <c r="D1292" i="1" s="1"/>
  <c r="C1293" i="1"/>
  <c r="D1293" i="1" s="1"/>
  <c r="C1294" i="1"/>
  <c r="D1294" i="1" s="1"/>
  <c r="C1295" i="1"/>
  <c r="D1295" i="1" s="1"/>
  <c r="C1296" i="1"/>
  <c r="D1296" i="1" s="1"/>
  <c r="C1297" i="1"/>
  <c r="D1297" i="1" s="1"/>
  <c r="C1298" i="1"/>
  <c r="D1298" i="1" s="1"/>
  <c r="C1299" i="1"/>
  <c r="D1299" i="1" s="1"/>
  <c r="C1300" i="1"/>
  <c r="D1300" i="1" s="1"/>
  <c r="C1301" i="1"/>
  <c r="D1301" i="1" s="1"/>
  <c r="C1302" i="1"/>
  <c r="D1302" i="1" s="1"/>
  <c r="C1303" i="1"/>
  <c r="D1303" i="1" s="1"/>
  <c r="C1304" i="1"/>
  <c r="D1304" i="1" s="1"/>
  <c r="C1305" i="1"/>
  <c r="D1305" i="1" s="1"/>
  <c r="C1306" i="1"/>
  <c r="D1306" i="1" s="1"/>
  <c r="C1307" i="1"/>
  <c r="D1307" i="1" s="1"/>
  <c r="C1308" i="1"/>
  <c r="D1308" i="1" s="1"/>
  <c r="C1309" i="1"/>
  <c r="D1309" i="1" s="1"/>
  <c r="C1310" i="1"/>
  <c r="D1310" i="1" s="1"/>
  <c r="C1311" i="1"/>
  <c r="D1311" i="1" s="1"/>
  <c r="C1312" i="1"/>
  <c r="D1312" i="1" s="1"/>
  <c r="C1313" i="1"/>
  <c r="D1313" i="1" s="1"/>
  <c r="C1314" i="1"/>
  <c r="D1314" i="1" s="1"/>
  <c r="C1315" i="1"/>
  <c r="D1315" i="1" s="1"/>
  <c r="C1316" i="1"/>
  <c r="D1316" i="1" s="1"/>
  <c r="C1317" i="1"/>
  <c r="D1317" i="1" s="1"/>
  <c r="C1318" i="1"/>
  <c r="D1318" i="1" s="1"/>
  <c r="C1319" i="1"/>
  <c r="D1319" i="1" s="1"/>
  <c r="C1320" i="1"/>
  <c r="D1320" i="1" s="1"/>
  <c r="C1321" i="1"/>
  <c r="D1321" i="1" s="1"/>
  <c r="C1322" i="1"/>
  <c r="D1322" i="1" s="1"/>
  <c r="C1323" i="1"/>
  <c r="D1323" i="1" s="1"/>
  <c r="C1324" i="1"/>
  <c r="D1324" i="1" s="1"/>
  <c r="C1325" i="1"/>
  <c r="D1325" i="1" s="1"/>
  <c r="C1326" i="1"/>
  <c r="D1326" i="1" s="1"/>
  <c r="C1327" i="1"/>
  <c r="D1327" i="1" s="1"/>
  <c r="C1328" i="1"/>
  <c r="D1328" i="1" s="1"/>
  <c r="C1329" i="1"/>
  <c r="D1329" i="1" s="1"/>
  <c r="C1330" i="1"/>
  <c r="D1330" i="1" s="1"/>
  <c r="C1331" i="1"/>
  <c r="D1331" i="1" s="1"/>
  <c r="C1332" i="1"/>
  <c r="D1332" i="1" s="1"/>
  <c r="C1333" i="1"/>
  <c r="D1333" i="1" s="1"/>
  <c r="C1334" i="1"/>
  <c r="D1334" i="1" s="1"/>
  <c r="C1335" i="1"/>
  <c r="D1335" i="1" s="1"/>
  <c r="C1336" i="1"/>
  <c r="D1336" i="1" s="1"/>
  <c r="C1337" i="1"/>
  <c r="D1337" i="1" s="1"/>
  <c r="C1338" i="1"/>
  <c r="D1338" i="1" s="1"/>
  <c r="C1339" i="1"/>
  <c r="D1339" i="1" s="1"/>
  <c r="C1340" i="1"/>
  <c r="D1340" i="1" s="1"/>
  <c r="C1341" i="1"/>
  <c r="D1341" i="1" s="1"/>
  <c r="C1342" i="1"/>
  <c r="D1342" i="1" s="1"/>
  <c r="C1343" i="1"/>
  <c r="D1343" i="1" s="1"/>
  <c r="C1344" i="1"/>
  <c r="D1344" i="1" s="1"/>
  <c r="C1345" i="1"/>
  <c r="D1345" i="1" s="1"/>
  <c r="C1346" i="1"/>
  <c r="D1346" i="1" s="1"/>
  <c r="C1347" i="1"/>
  <c r="D1347" i="1" s="1"/>
  <c r="C1348" i="1"/>
  <c r="D1348" i="1" s="1"/>
  <c r="C1349" i="1"/>
  <c r="D1349" i="1" s="1"/>
  <c r="C1350" i="1"/>
  <c r="D1350" i="1" s="1"/>
  <c r="C1351" i="1"/>
  <c r="D1351" i="1" s="1"/>
  <c r="C1352" i="1"/>
  <c r="D1352" i="1" s="1"/>
  <c r="C1353" i="1"/>
  <c r="D1353" i="1" s="1"/>
  <c r="C1354" i="1"/>
  <c r="D1354" i="1" s="1"/>
  <c r="C1355" i="1"/>
  <c r="D1355" i="1" s="1"/>
  <c r="C1356" i="1"/>
  <c r="D1356" i="1" s="1"/>
  <c r="C1357" i="1"/>
  <c r="D1357" i="1" s="1"/>
  <c r="C1358" i="1"/>
  <c r="D1358" i="1" s="1"/>
  <c r="C1359" i="1"/>
  <c r="D1359" i="1" s="1"/>
  <c r="C1360" i="1"/>
  <c r="D1360" i="1" s="1"/>
  <c r="C1361" i="1"/>
  <c r="D1361" i="1" s="1"/>
  <c r="C1362" i="1"/>
  <c r="D1362" i="1" s="1"/>
  <c r="C1363" i="1"/>
  <c r="D1363" i="1" s="1"/>
  <c r="C1364" i="1"/>
  <c r="D1364" i="1" s="1"/>
  <c r="C1365" i="1"/>
  <c r="D1365" i="1" s="1"/>
  <c r="C1366" i="1"/>
  <c r="D1366" i="1" s="1"/>
  <c r="C1367" i="1"/>
  <c r="D1367" i="1" s="1"/>
  <c r="C1368" i="1"/>
  <c r="D1368" i="1" s="1"/>
  <c r="C1369" i="1"/>
  <c r="D1369" i="1" s="1"/>
  <c r="C1370" i="1"/>
  <c r="D1370" i="1" s="1"/>
  <c r="C1371" i="1"/>
  <c r="D1371" i="1" s="1"/>
  <c r="C1372" i="1"/>
  <c r="D1372" i="1" s="1"/>
  <c r="C1373" i="1"/>
  <c r="D1373" i="1" s="1"/>
  <c r="C1374" i="1"/>
  <c r="D1374" i="1" s="1"/>
  <c r="C1375" i="1"/>
  <c r="D1375" i="1" s="1"/>
  <c r="C1376" i="1"/>
  <c r="D1376" i="1" s="1"/>
  <c r="C1377" i="1"/>
  <c r="D1377" i="1" s="1"/>
  <c r="C1378" i="1"/>
  <c r="D1378" i="1" s="1"/>
  <c r="C1379" i="1"/>
  <c r="D1379" i="1" s="1"/>
  <c r="C1380" i="1"/>
  <c r="D1380" i="1" s="1"/>
  <c r="C1381" i="1"/>
  <c r="D1381" i="1" s="1"/>
  <c r="C1382" i="1"/>
  <c r="D1382" i="1" s="1"/>
  <c r="C1383" i="1"/>
  <c r="D1383" i="1" s="1"/>
  <c r="C1384" i="1"/>
  <c r="D1384" i="1" s="1"/>
  <c r="C1385" i="1"/>
  <c r="D1385" i="1" s="1"/>
  <c r="C1386" i="1"/>
  <c r="D1386" i="1" s="1"/>
  <c r="C1387" i="1"/>
  <c r="D1387" i="1" s="1"/>
  <c r="C1388" i="1"/>
  <c r="D1388" i="1" s="1"/>
  <c r="C1389" i="1"/>
  <c r="D1389" i="1" s="1"/>
  <c r="C1390" i="1"/>
  <c r="D1390" i="1" s="1"/>
  <c r="C1391" i="1"/>
  <c r="D1391" i="1" s="1"/>
  <c r="C1392" i="1"/>
  <c r="D1392" i="1" s="1"/>
  <c r="C1393" i="1"/>
  <c r="D1393" i="1" s="1"/>
  <c r="C1394" i="1"/>
  <c r="D1394" i="1" s="1"/>
  <c r="C1395" i="1"/>
  <c r="D1395" i="1" s="1"/>
  <c r="C1396" i="1"/>
  <c r="D1396" i="1" s="1"/>
  <c r="C1397" i="1"/>
  <c r="D1397" i="1" s="1"/>
  <c r="C1398" i="1"/>
  <c r="D1398" i="1" s="1"/>
  <c r="C1399" i="1"/>
  <c r="D1399" i="1" s="1"/>
  <c r="C1400" i="1"/>
  <c r="D1400" i="1" s="1"/>
  <c r="C1401" i="1"/>
  <c r="D1401" i="1" s="1"/>
  <c r="C1402" i="1"/>
  <c r="D1402" i="1" s="1"/>
  <c r="C1403" i="1"/>
  <c r="D1403" i="1" s="1"/>
  <c r="C1404" i="1"/>
  <c r="D1404" i="1" s="1"/>
  <c r="C1405" i="1"/>
  <c r="D1405" i="1" s="1"/>
  <c r="C1406" i="1"/>
  <c r="D1406" i="1" s="1"/>
  <c r="C1407" i="1"/>
  <c r="D1407" i="1" s="1"/>
  <c r="C1408" i="1"/>
  <c r="D1408" i="1" s="1"/>
  <c r="C1409" i="1"/>
  <c r="D1409" i="1" s="1"/>
  <c r="C1410" i="1"/>
  <c r="D1410" i="1" s="1"/>
  <c r="C1411" i="1"/>
  <c r="D1411" i="1" s="1"/>
  <c r="C1412" i="1"/>
  <c r="D1412" i="1" s="1"/>
  <c r="C1413" i="1"/>
  <c r="D1413" i="1" s="1"/>
  <c r="C1414" i="1"/>
  <c r="D1414" i="1" s="1"/>
  <c r="C1415" i="1"/>
  <c r="D1415" i="1" s="1"/>
  <c r="C1416" i="1"/>
  <c r="D1416" i="1" s="1"/>
  <c r="C1417" i="1"/>
  <c r="D1417" i="1" s="1"/>
  <c r="C1418" i="1"/>
  <c r="D1418" i="1" s="1"/>
  <c r="C1419" i="1"/>
  <c r="D1419" i="1" s="1"/>
  <c r="C1420" i="1"/>
  <c r="D1420" i="1" s="1"/>
  <c r="C1421" i="1"/>
  <c r="D1421" i="1" s="1"/>
  <c r="C1422" i="1"/>
  <c r="D1422" i="1" s="1"/>
  <c r="C1423" i="1"/>
  <c r="D1423" i="1" s="1"/>
  <c r="C1424" i="1"/>
  <c r="D1424" i="1" s="1"/>
  <c r="C1425" i="1"/>
  <c r="D1425" i="1" s="1"/>
  <c r="C1426" i="1"/>
  <c r="D1426" i="1" s="1"/>
  <c r="C1427" i="1"/>
  <c r="D1427" i="1" s="1"/>
  <c r="C1428" i="1"/>
  <c r="D1428" i="1" s="1"/>
  <c r="C1429" i="1"/>
  <c r="D1429" i="1" s="1"/>
  <c r="C1430" i="1"/>
  <c r="D1430" i="1" s="1"/>
  <c r="C1431" i="1"/>
  <c r="D1431" i="1" s="1"/>
  <c r="C1432" i="1"/>
  <c r="D1432" i="1" s="1"/>
  <c r="C1433" i="1"/>
  <c r="D1433" i="1" s="1"/>
  <c r="C1434" i="1"/>
  <c r="D1434" i="1" s="1"/>
  <c r="C1435" i="1"/>
  <c r="D1435" i="1" s="1"/>
  <c r="C1436" i="1"/>
  <c r="D1436" i="1" s="1"/>
  <c r="C1437" i="1"/>
  <c r="D1437" i="1" s="1"/>
  <c r="C1438" i="1"/>
  <c r="D1438" i="1" s="1"/>
  <c r="C1439" i="1"/>
  <c r="D1439" i="1" s="1"/>
  <c r="C1440" i="1"/>
  <c r="D1440" i="1" s="1"/>
  <c r="C1441" i="1"/>
  <c r="D1441" i="1" s="1"/>
  <c r="C1442" i="1"/>
  <c r="D1442" i="1" s="1"/>
  <c r="C1443" i="1"/>
  <c r="D1443" i="1" s="1"/>
  <c r="C1444" i="1"/>
  <c r="D1444" i="1" s="1"/>
  <c r="C1445" i="1"/>
  <c r="D1445" i="1" s="1"/>
  <c r="C1446" i="1"/>
  <c r="D1446" i="1" s="1"/>
  <c r="C1447" i="1"/>
  <c r="D1447" i="1" s="1"/>
  <c r="C1448" i="1"/>
  <c r="D1448" i="1" s="1"/>
  <c r="C1449" i="1"/>
  <c r="D1449" i="1" s="1"/>
  <c r="C1450" i="1"/>
  <c r="D1450" i="1" s="1"/>
  <c r="C1451" i="1"/>
  <c r="D1451" i="1" s="1"/>
  <c r="C1452" i="1"/>
  <c r="D1452" i="1" s="1"/>
  <c r="C1453" i="1"/>
  <c r="D1453" i="1" s="1"/>
  <c r="C1454" i="1"/>
  <c r="D1454" i="1" s="1"/>
  <c r="C1455" i="1"/>
  <c r="D1455" i="1" s="1"/>
  <c r="C1456" i="1"/>
  <c r="D1456" i="1" s="1"/>
  <c r="C1457" i="1"/>
  <c r="D1457" i="1" s="1"/>
  <c r="C1458" i="1"/>
  <c r="D1458" i="1" s="1"/>
  <c r="C1459" i="1"/>
  <c r="D1459" i="1" s="1"/>
  <c r="C1460" i="1"/>
  <c r="D1460" i="1" s="1"/>
  <c r="C1461" i="1"/>
  <c r="D1461" i="1" s="1"/>
  <c r="C1462" i="1"/>
  <c r="D1462" i="1" s="1"/>
  <c r="C1463" i="1"/>
  <c r="D1463" i="1" s="1"/>
  <c r="C1464" i="1"/>
  <c r="D1464" i="1" s="1"/>
  <c r="C1465" i="1"/>
  <c r="D1465" i="1" s="1"/>
  <c r="C1466" i="1"/>
  <c r="D1466" i="1" s="1"/>
  <c r="C1467" i="1"/>
  <c r="D1467" i="1" s="1"/>
  <c r="C1468" i="1"/>
  <c r="D1468" i="1" s="1"/>
  <c r="C1469" i="1"/>
  <c r="D1469" i="1" s="1"/>
  <c r="C1470" i="1"/>
  <c r="D1470" i="1" s="1"/>
  <c r="C1471" i="1"/>
  <c r="D1471" i="1" s="1"/>
  <c r="C1472" i="1"/>
  <c r="D1472" i="1" s="1"/>
  <c r="C1473" i="1"/>
  <c r="D1473" i="1" s="1"/>
  <c r="C1474" i="1"/>
  <c r="D1474" i="1" s="1"/>
  <c r="C1475" i="1"/>
  <c r="D1475" i="1" s="1"/>
  <c r="C1476" i="1"/>
  <c r="D1476" i="1" s="1"/>
  <c r="C1477" i="1"/>
  <c r="D1477" i="1" s="1"/>
  <c r="C1478" i="1"/>
  <c r="D1478" i="1" s="1"/>
  <c r="C1479" i="1"/>
  <c r="D1479" i="1" s="1"/>
  <c r="C1480" i="1"/>
  <c r="D1480" i="1" s="1"/>
  <c r="C1481" i="1"/>
  <c r="D1481" i="1" s="1"/>
  <c r="C1482" i="1"/>
  <c r="D1482" i="1" s="1"/>
  <c r="C1483" i="1"/>
  <c r="D1483" i="1" s="1"/>
  <c r="C1484" i="1"/>
  <c r="D1484" i="1" s="1"/>
  <c r="C1485" i="1"/>
  <c r="D1485" i="1" s="1"/>
  <c r="C1486" i="1"/>
  <c r="D1486" i="1" s="1"/>
  <c r="C1487" i="1"/>
  <c r="D1487" i="1" s="1"/>
  <c r="C1488" i="1"/>
  <c r="D1488" i="1" s="1"/>
  <c r="C1489" i="1"/>
  <c r="D1489" i="1" s="1"/>
  <c r="C1490" i="1"/>
  <c r="D1490" i="1" s="1"/>
  <c r="C1491" i="1"/>
  <c r="D1491" i="1" s="1"/>
  <c r="C1492" i="1"/>
  <c r="D1492" i="1" s="1"/>
  <c r="C1493" i="1"/>
  <c r="D1493" i="1" s="1"/>
  <c r="C1494" i="1"/>
  <c r="D1494" i="1" s="1"/>
  <c r="C1495" i="1"/>
  <c r="D1495" i="1" s="1"/>
  <c r="C1496" i="1"/>
  <c r="D1496" i="1" s="1"/>
  <c r="C1497" i="1"/>
  <c r="D1497" i="1" s="1"/>
  <c r="C1498" i="1"/>
  <c r="D1498" i="1" s="1"/>
  <c r="C1499" i="1"/>
  <c r="D1499" i="1" s="1"/>
  <c r="C1500" i="1"/>
  <c r="D1500" i="1" s="1"/>
  <c r="C1501" i="1"/>
  <c r="D1501" i="1" s="1"/>
  <c r="C1502" i="1"/>
  <c r="D1502" i="1" s="1"/>
  <c r="C1503" i="1"/>
  <c r="D1503" i="1" s="1"/>
  <c r="C1504" i="1"/>
  <c r="D1504" i="1" s="1"/>
  <c r="C1505" i="1"/>
  <c r="D1505" i="1" s="1"/>
  <c r="C1506" i="1"/>
  <c r="D1506" i="1" s="1"/>
  <c r="C1507" i="1"/>
  <c r="D1507" i="1" s="1"/>
  <c r="C1508" i="1"/>
  <c r="D1508" i="1" s="1"/>
  <c r="C1509" i="1"/>
  <c r="D1509" i="1" s="1"/>
  <c r="C1510" i="1"/>
  <c r="D1510" i="1" s="1"/>
  <c r="C1511" i="1"/>
  <c r="D1511" i="1" s="1"/>
  <c r="C1512" i="1"/>
  <c r="D1512" i="1" s="1"/>
  <c r="C1513" i="1"/>
  <c r="D1513" i="1" s="1"/>
  <c r="C1514" i="1"/>
  <c r="D1514" i="1" s="1"/>
  <c r="C1515" i="1"/>
  <c r="D1515" i="1" s="1"/>
  <c r="C1516" i="1"/>
  <c r="D1516" i="1" s="1"/>
  <c r="C1517" i="1"/>
  <c r="D1517" i="1" s="1"/>
  <c r="C1518" i="1"/>
  <c r="D1518" i="1" s="1"/>
  <c r="C1519" i="1"/>
  <c r="D1519" i="1" s="1"/>
  <c r="C1520" i="1"/>
  <c r="D1520" i="1" s="1"/>
  <c r="C1521" i="1"/>
  <c r="D1521" i="1" s="1"/>
  <c r="C1522" i="1"/>
  <c r="D1522" i="1" s="1"/>
  <c r="C1523" i="1"/>
  <c r="D1523" i="1" s="1"/>
  <c r="C1524" i="1"/>
  <c r="D1524" i="1" s="1"/>
  <c r="C1525" i="1"/>
  <c r="D1525" i="1" s="1"/>
  <c r="C1526" i="1"/>
  <c r="D1526" i="1" s="1"/>
  <c r="C1527" i="1"/>
  <c r="D1527" i="1" s="1"/>
  <c r="C1528" i="1"/>
  <c r="D1528" i="1" s="1"/>
  <c r="C1529" i="1"/>
  <c r="D1529" i="1" s="1"/>
  <c r="C1530" i="1"/>
  <c r="D1530" i="1" s="1"/>
  <c r="C1" i="1"/>
  <c r="D1" i="1" s="1"/>
  <c r="R11" i="2" l="1"/>
  <c r="R12" i="2"/>
  <c r="R13" i="2"/>
  <c r="R14" i="2"/>
  <c r="S14" i="2" s="1"/>
  <c r="T14" i="2" s="1"/>
  <c r="V14" i="2" s="1"/>
  <c r="R15" i="2"/>
  <c r="R16" i="2"/>
  <c r="R17" i="2"/>
  <c r="R18" i="2"/>
  <c r="R19" i="2"/>
  <c r="R20" i="2"/>
  <c r="R21" i="2"/>
  <c r="R22" i="2"/>
  <c r="S22" i="2" s="1"/>
  <c r="T22" i="2" s="1"/>
  <c r="V22" i="2" s="1"/>
  <c r="W22" i="2" s="1"/>
  <c r="R23" i="2"/>
  <c r="R24" i="2"/>
  <c r="R25" i="2"/>
  <c r="R26" i="2"/>
  <c r="Q26" i="2" s="1"/>
  <c r="Q42" i="2" s="1"/>
  <c r="R27" i="2"/>
  <c r="S27" i="2" s="1"/>
  <c r="R28" i="2"/>
  <c r="R29" i="2"/>
  <c r="R30" i="2"/>
  <c r="R31" i="2"/>
  <c r="R32" i="2"/>
  <c r="R33" i="2"/>
  <c r="R34" i="2"/>
  <c r="R35" i="2"/>
  <c r="R36" i="2"/>
  <c r="S36" i="2" s="1"/>
  <c r="R37" i="2"/>
  <c r="R38" i="2"/>
  <c r="S38" i="2" s="1"/>
  <c r="T38" i="2" s="1"/>
  <c r="R10" i="2"/>
  <c r="S25" i="2" l="1"/>
  <c r="T25" i="2" s="1"/>
  <c r="V25" i="2" s="1"/>
  <c r="W25" i="2" s="1"/>
  <c r="S17" i="2"/>
  <c r="T17" i="2" s="1"/>
  <c r="V17" i="2" s="1"/>
  <c r="S32" i="2"/>
  <c r="T32" i="2"/>
  <c r="V32" i="2" s="1"/>
  <c r="W32" i="2" s="1"/>
  <c r="S24" i="2"/>
  <c r="T24" i="2"/>
  <c r="V24" i="2" s="1"/>
  <c r="S16" i="2"/>
  <c r="T16" i="2" s="1"/>
  <c r="V16" i="2" s="1"/>
  <c r="W16" i="2" s="1"/>
  <c r="S10" i="2"/>
  <c r="T10" i="2" s="1"/>
  <c r="V10" i="2" s="1"/>
  <c r="W10" i="2" s="1"/>
  <c r="S31" i="2"/>
  <c r="T31" i="2" s="1"/>
  <c r="V31" i="2" s="1"/>
  <c r="W31" i="2" s="1"/>
  <c r="S23" i="2"/>
  <c r="T23" i="2"/>
  <c r="V23" i="2" s="1"/>
  <c r="W23" i="2" s="1"/>
  <c r="S15" i="2"/>
  <c r="T15" i="2" s="1"/>
  <c r="V15" i="2" s="1"/>
  <c r="W15" i="2" s="1"/>
  <c r="S33" i="2"/>
  <c r="T33" i="2"/>
  <c r="V33" i="2" s="1"/>
  <c r="W33" i="2" s="1"/>
  <c r="S30" i="2"/>
  <c r="T30" i="2" s="1"/>
  <c r="V30" i="2" s="1"/>
  <c r="W30" i="2" s="1"/>
  <c r="S37" i="2"/>
  <c r="T37" i="2" s="1"/>
  <c r="V37" i="2" s="1"/>
  <c r="W37" i="2" s="1"/>
  <c r="S29" i="2"/>
  <c r="T29" i="2"/>
  <c r="V29" i="2" s="1"/>
  <c r="W29" i="2" s="1"/>
  <c r="S21" i="2"/>
  <c r="T21" i="2" s="1"/>
  <c r="V21" i="2" s="1"/>
  <c r="W21" i="2" s="1"/>
  <c r="S13" i="2"/>
  <c r="T13" i="2" s="1"/>
  <c r="V13" i="2" s="1"/>
  <c r="S28" i="2"/>
  <c r="T28" i="2" s="1"/>
  <c r="V28" i="2" s="1"/>
  <c r="W28" i="2" s="1"/>
  <c r="S20" i="2"/>
  <c r="T20" i="2" s="1"/>
  <c r="V20" i="2" s="1"/>
  <c r="W20" i="2" s="1"/>
  <c r="S12" i="2"/>
  <c r="T12" i="2" s="1"/>
  <c r="V12" i="2" s="1"/>
  <c r="W12" i="2" s="1"/>
  <c r="S35" i="2"/>
  <c r="T35" i="2"/>
  <c r="V35" i="2" s="1"/>
  <c r="S19" i="2"/>
  <c r="T19" i="2" s="1"/>
  <c r="V19" i="2" s="1"/>
  <c r="W19" i="2" s="1"/>
  <c r="W11" i="2"/>
  <c r="S11" i="2"/>
  <c r="T11" i="2"/>
  <c r="V11" i="2" s="1"/>
  <c r="S34" i="2"/>
  <c r="T34" i="2" s="1"/>
  <c r="V34" i="2" s="1"/>
  <c r="W34" i="2" s="1"/>
  <c r="S26" i="2"/>
  <c r="T26" i="2" s="1"/>
  <c r="V26" i="2" s="1"/>
  <c r="W26" i="2" s="1"/>
  <c r="S18" i="2"/>
  <c r="T18" i="2" s="1"/>
  <c r="V18" i="2" s="1"/>
  <c r="W18" i="2" s="1"/>
  <c r="C2" i="2"/>
  <c r="C3" i="2"/>
  <c r="C4" i="2"/>
  <c r="D4" i="2" s="1"/>
  <c r="C5" i="2"/>
  <c r="D5" i="2" s="1"/>
  <c r="C6" i="2"/>
  <c r="C7" i="2"/>
  <c r="C8" i="2"/>
  <c r="C9" i="2"/>
  <c r="D9" i="2" s="1"/>
  <c r="C10" i="2"/>
  <c r="D10" i="2" s="1"/>
  <c r="C11" i="2"/>
  <c r="C12" i="2"/>
  <c r="C13" i="2"/>
  <c r="C14" i="2"/>
  <c r="C15" i="2"/>
  <c r="D15" i="2" s="1"/>
  <c r="C16" i="2"/>
  <c r="C17" i="2"/>
  <c r="D17" i="2" s="1"/>
  <c r="C18" i="2"/>
  <c r="D18" i="2" s="1"/>
  <c r="C19" i="2"/>
  <c r="C20" i="2"/>
  <c r="C21" i="2"/>
  <c r="C22" i="2"/>
  <c r="C23" i="2"/>
  <c r="C24" i="2"/>
  <c r="C25" i="2"/>
  <c r="D25" i="2" s="1"/>
  <c r="C26" i="2"/>
  <c r="D26" i="2" s="1"/>
  <c r="C27" i="2"/>
  <c r="D27" i="2" s="1"/>
  <c r="C28" i="2"/>
  <c r="D28" i="2" s="1"/>
  <c r="C29" i="2"/>
  <c r="C30" i="2"/>
  <c r="C31" i="2"/>
  <c r="D31" i="2" s="1"/>
  <c r="C32" i="2"/>
  <c r="C33" i="2"/>
  <c r="D33" i="2" s="1"/>
  <c r="C34" i="2"/>
  <c r="D34" i="2" s="1"/>
  <c r="C35" i="2"/>
  <c r="C36" i="2"/>
  <c r="D36" i="2" s="1"/>
  <c r="C37" i="2"/>
  <c r="D37" i="2" s="1"/>
  <c r="C38" i="2"/>
  <c r="C39" i="2"/>
  <c r="D39" i="2" s="1"/>
  <c r="C40" i="2"/>
  <c r="C41" i="2"/>
  <c r="D41" i="2" s="1"/>
  <c r="C42" i="2"/>
  <c r="C43" i="2"/>
  <c r="D43" i="2" s="1"/>
  <c r="C44" i="2"/>
  <c r="D44" i="2" s="1"/>
  <c r="C45" i="2"/>
  <c r="C46" i="2"/>
  <c r="C47" i="2"/>
  <c r="C48" i="2"/>
  <c r="C49" i="2"/>
  <c r="D49" i="2" s="1"/>
  <c r="C50" i="2"/>
  <c r="D50" i="2" s="1"/>
  <c r="C51" i="2"/>
  <c r="C52" i="2"/>
  <c r="C53" i="2"/>
  <c r="D53" i="2" s="1"/>
  <c r="C54" i="2"/>
  <c r="C55" i="2"/>
  <c r="D55" i="2" s="1"/>
  <c r="C56" i="2"/>
  <c r="C57" i="2"/>
  <c r="D57" i="2" s="1"/>
  <c r="C58" i="2"/>
  <c r="D58" i="2" s="1"/>
  <c r="C59" i="2"/>
  <c r="D59" i="2" s="1"/>
  <c r="C60" i="2"/>
  <c r="D60" i="2" s="1"/>
  <c r="C61" i="2"/>
  <c r="C62" i="2"/>
  <c r="C63" i="2"/>
  <c r="D63" i="2" s="1"/>
  <c r="C64" i="2"/>
  <c r="D64" i="2" s="1"/>
  <c r="C65" i="2"/>
  <c r="D65" i="2" s="1"/>
  <c r="C66" i="2"/>
  <c r="D66" i="2" s="1"/>
  <c r="C67" i="2"/>
  <c r="C68" i="2"/>
  <c r="D68" i="2" s="1"/>
  <c r="C69" i="2"/>
  <c r="D69" i="2" s="1"/>
  <c r="C70" i="2"/>
  <c r="C71" i="2"/>
  <c r="C72" i="2"/>
  <c r="C73" i="2"/>
  <c r="D73" i="2" s="1"/>
  <c r="C74" i="2"/>
  <c r="D74" i="2" s="1"/>
  <c r="C75" i="2"/>
  <c r="D75" i="2" s="1"/>
  <c r="C76" i="2"/>
  <c r="D76" i="2" s="1"/>
  <c r="C77" i="2"/>
  <c r="C78" i="2"/>
  <c r="C79" i="2"/>
  <c r="D79" i="2" s="1"/>
  <c r="C80" i="2"/>
  <c r="C81" i="2"/>
  <c r="D81" i="2" s="1"/>
  <c r="C82" i="2"/>
  <c r="C83" i="2"/>
  <c r="C84" i="2"/>
  <c r="D84" i="2" s="1"/>
  <c r="C85" i="2"/>
  <c r="D85" i="2" s="1"/>
  <c r="C86" i="2"/>
  <c r="C87" i="2"/>
  <c r="C88" i="2"/>
  <c r="C89" i="2"/>
  <c r="D89" i="2" s="1"/>
  <c r="C90" i="2"/>
  <c r="D90" i="2" s="1"/>
  <c r="C91" i="2"/>
  <c r="C92" i="2"/>
  <c r="C93" i="2"/>
  <c r="C94" i="2"/>
  <c r="C95" i="2"/>
  <c r="D95" i="2" s="1"/>
  <c r="C96" i="2"/>
  <c r="C97" i="2"/>
  <c r="D97" i="2" s="1"/>
  <c r="C98" i="2"/>
  <c r="D98" i="2" s="1"/>
  <c r="C99" i="2"/>
  <c r="C100" i="2"/>
  <c r="C101" i="2"/>
  <c r="C102" i="2"/>
  <c r="C103" i="2"/>
  <c r="D103" i="2" s="1"/>
  <c r="C104" i="2"/>
  <c r="C105" i="2"/>
  <c r="D105" i="2" s="1"/>
  <c r="C106" i="2"/>
  <c r="D106" i="2" s="1"/>
  <c r="C107" i="2"/>
  <c r="D107" i="2" s="1"/>
  <c r="C108" i="2"/>
  <c r="D108" i="2" s="1"/>
  <c r="C109" i="2"/>
  <c r="C110" i="2"/>
  <c r="C111" i="2"/>
  <c r="C112" i="2"/>
  <c r="C113" i="2"/>
  <c r="D113" i="2" s="1"/>
  <c r="C114" i="2"/>
  <c r="D114" i="2" s="1"/>
  <c r="C115" i="2"/>
  <c r="C116" i="2"/>
  <c r="D116" i="2" s="1"/>
  <c r="C117" i="2"/>
  <c r="D117" i="2" s="1"/>
  <c r="C118" i="2"/>
  <c r="C119" i="2"/>
  <c r="D119" i="2" s="1"/>
  <c r="C120" i="2"/>
  <c r="C121" i="2"/>
  <c r="D121" i="2" s="1"/>
  <c r="C122" i="2"/>
  <c r="C123" i="2"/>
  <c r="D123" i="2" s="1"/>
  <c r="C124" i="2"/>
  <c r="D124" i="2" s="1"/>
  <c r="C125" i="2"/>
  <c r="C126" i="2"/>
  <c r="C127" i="2"/>
  <c r="D127" i="2" s="1"/>
  <c r="C128" i="2"/>
  <c r="C129" i="2"/>
  <c r="D129" i="2" s="1"/>
  <c r="C130" i="2"/>
  <c r="C131" i="2"/>
  <c r="C132" i="2"/>
  <c r="C133" i="2"/>
  <c r="C134" i="2"/>
  <c r="C135" i="2"/>
  <c r="C136" i="2"/>
  <c r="C137" i="2"/>
  <c r="D137" i="2" s="1"/>
  <c r="C138" i="2"/>
  <c r="D138" i="2" s="1"/>
  <c r="C139" i="2"/>
  <c r="D139" i="2" s="1"/>
  <c r="C140" i="2"/>
  <c r="D140" i="2" s="1"/>
  <c r="C141" i="2"/>
  <c r="C142" i="2"/>
  <c r="C143" i="2"/>
  <c r="D143" i="2" s="1"/>
  <c r="C144" i="2"/>
  <c r="D144" i="2" s="1"/>
  <c r="C145" i="2"/>
  <c r="D145" i="2" s="1"/>
  <c r="C146" i="2"/>
  <c r="D146" i="2" s="1"/>
  <c r="C147" i="2"/>
  <c r="C148" i="2"/>
  <c r="D148" i="2" s="1"/>
  <c r="C149" i="2"/>
  <c r="D149" i="2" s="1"/>
  <c r="C150" i="2"/>
  <c r="C151" i="2"/>
  <c r="C152" i="2"/>
  <c r="C153" i="2"/>
  <c r="D153" i="2" s="1"/>
  <c r="C154" i="2"/>
  <c r="D154" i="2" s="1"/>
  <c r="C155" i="2"/>
  <c r="D155" i="2" s="1"/>
  <c r="C156" i="2"/>
  <c r="D156" i="2" s="1"/>
  <c r="C157" i="2"/>
  <c r="C158" i="2"/>
  <c r="C159" i="2"/>
  <c r="D159" i="2" s="1"/>
  <c r="C160" i="2"/>
  <c r="C161" i="2"/>
  <c r="D161" i="2" s="1"/>
  <c r="C162" i="2"/>
  <c r="C163" i="2"/>
  <c r="C164" i="2"/>
  <c r="D164" i="2" s="1"/>
  <c r="C165" i="2"/>
  <c r="D165" i="2" s="1"/>
  <c r="C166" i="2"/>
  <c r="C167" i="2"/>
  <c r="D167" i="2" s="1"/>
  <c r="C168" i="2"/>
  <c r="C169" i="2"/>
  <c r="D169" i="2" s="1"/>
  <c r="C170" i="2"/>
  <c r="C171" i="2"/>
  <c r="D171" i="2" s="1"/>
  <c r="C172" i="2"/>
  <c r="D172" i="2" s="1"/>
  <c r="C173" i="2"/>
  <c r="C174" i="2"/>
  <c r="C175" i="2"/>
  <c r="C176" i="2"/>
  <c r="C177" i="2"/>
  <c r="D177" i="2" s="1"/>
  <c r="C178" i="2"/>
  <c r="D178" i="2" s="1"/>
  <c r="C179" i="2"/>
  <c r="C180" i="2"/>
  <c r="C181" i="2"/>
  <c r="C182" i="2"/>
  <c r="C183" i="2"/>
  <c r="D183" i="2" s="1"/>
  <c r="C184" i="2"/>
  <c r="C185" i="2"/>
  <c r="D185" i="2" s="1"/>
  <c r="C186" i="2"/>
  <c r="D186" i="2" s="1"/>
  <c r="C187" i="2"/>
  <c r="D187" i="2" s="1"/>
  <c r="C188" i="2"/>
  <c r="D188" i="2" s="1"/>
  <c r="C189" i="2"/>
  <c r="C190" i="2"/>
  <c r="C191" i="2"/>
  <c r="D191" i="2" s="1"/>
  <c r="C192" i="2"/>
  <c r="C193" i="2"/>
  <c r="D193" i="2" s="1"/>
  <c r="C194" i="2"/>
  <c r="C195" i="2"/>
  <c r="C196" i="2"/>
  <c r="D196" i="2" s="1"/>
  <c r="C197" i="2"/>
  <c r="D197" i="2" s="1"/>
  <c r="C198" i="2"/>
  <c r="C199" i="2"/>
  <c r="C200" i="2"/>
  <c r="C201" i="2"/>
  <c r="D201" i="2" s="1"/>
  <c r="C202" i="2"/>
  <c r="C203" i="2"/>
  <c r="D203" i="2" s="1"/>
  <c r="C204" i="2"/>
  <c r="D204" i="2" s="1"/>
  <c r="C205" i="2"/>
  <c r="C206" i="2"/>
  <c r="C207" i="2"/>
  <c r="D207" i="2" s="1"/>
  <c r="C208" i="2"/>
  <c r="C209" i="2"/>
  <c r="D209" i="2" s="1"/>
  <c r="C210" i="2"/>
  <c r="C211" i="2"/>
  <c r="C212" i="2"/>
  <c r="C213" i="2"/>
  <c r="C214" i="2"/>
  <c r="C215" i="2"/>
  <c r="C216" i="2"/>
  <c r="C217" i="2"/>
  <c r="D217" i="2" s="1"/>
  <c r="C218" i="2"/>
  <c r="D218" i="2" s="1"/>
  <c r="C219" i="2"/>
  <c r="D219" i="2" s="1"/>
  <c r="C220" i="2"/>
  <c r="D220" i="2" s="1"/>
  <c r="C221" i="2"/>
  <c r="C222" i="2"/>
  <c r="C223" i="2"/>
  <c r="D223" i="2" s="1"/>
  <c r="C224" i="2"/>
  <c r="D224" i="2" s="1"/>
  <c r="C225" i="2"/>
  <c r="D225" i="2" s="1"/>
  <c r="C226" i="2"/>
  <c r="D226" i="2" s="1"/>
  <c r="C227" i="2"/>
  <c r="C228" i="2"/>
  <c r="D228" i="2" s="1"/>
  <c r="C229" i="2"/>
  <c r="D229" i="2" s="1"/>
  <c r="C230" i="2"/>
  <c r="C231" i="2"/>
  <c r="D231" i="2" s="1"/>
  <c r="C232" i="2"/>
  <c r="C233" i="2"/>
  <c r="D233" i="2" s="1"/>
  <c r="C234" i="2"/>
  <c r="C235" i="2"/>
  <c r="D235" i="2" s="1"/>
  <c r="C236" i="2"/>
  <c r="D236" i="2" s="1"/>
  <c r="C237" i="2"/>
  <c r="C238" i="2"/>
  <c r="C239" i="2"/>
  <c r="D239" i="2" s="1"/>
  <c r="C240" i="2"/>
  <c r="C241" i="2"/>
  <c r="D241" i="2" s="1"/>
  <c r="C242" i="2"/>
  <c r="C243" i="2"/>
  <c r="C244" i="2"/>
  <c r="D244" i="2" s="1"/>
  <c r="C245" i="2"/>
  <c r="D245" i="2" s="1"/>
  <c r="C246" i="2"/>
  <c r="C247" i="2"/>
  <c r="D247" i="2" s="1"/>
  <c r="C248" i="2"/>
  <c r="C249" i="2"/>
  <c r="D249" i="2" s="1"/>
  <c r="C250" i="2"/>
  <c r="D250" i="2" s="1"/>
  <c r="C251" i="2"/>
  <c r="D251" i="2" s="1"/>
  <c r="C252" i="2"/>
  <c r="D252" i="2" s="1"/>
  <c r="C253" i="2"/>
  <c r="C254" i="2"/>
  <c r="C255" i="2"/>
  <c r="D255" i="2" s="1"/>
  <c r="C256" i="2"/>
  <c r="C257" i="2"/>
  <c r="D257" i="2" s="1"/>
  <c r="C258" i="2"/>
  <c r="D258" i="2" s="1"/>
  <c r="C259" i="2"/>
  <c r="C260" i="2"/>
  <c r="D260" i="2" s="1"/>
  <c r="C261" i="2"/>
  <c r="D261" i="2" s="1"/>
  <c r="C262" i="2"/>
  <c r="C263" i="2"/>
  <c r="C264" i="2"/>
  <c r="C265" i="2"/>
  <c r="D265" i="2" s="1"/>
  <c r="C266" i="2"/>
  <c r="D266" i="2" s="1"/>
  <c r="C267" i="2"/>
  <c r="D267" i="2" s="1"/>
  <c r="C268" i="2"/>
  <c r="D268" i="2" s="1"/>
  <c r="C269" i="2"/>
  <c r="C270" i="2"/>
  <c r="C271" i="2"/>
  <c r="D271" i="2" s="1"/>
  <c r="C272" i="2"/>
  <c r="D272" i="2" s="1"/>
  <c r="C273" i="2"/>
  <c r="D273" i="2" s="1"/>
  <c r="C274" i="2"/>
  <c r="C275" i="2"/>
  <c r="C276" i="2"/>
  <c r="D276" i="2" s="1"/>
  <c r="C277" i="2"/>
  <c r="D277" i="2" s="1"/>
  <c r="C278" i="2"/>
  <c r="C279" i="2"/>
  <c r="C280" i="2"/>
  <c r="C281" i="2"/>
  <c r="D281" i="2" s="1"/>
  <c r="C282" i="2"/>
  <c r="C283" i="2"/>
  <c r="C284" i="2"/>
  <c r="D284" i="2" s="1"/>
  <c r="C285" i="2"/>
  <c r="C286" i="2"/>
  <c r="C287" i="2"/>
  <c r="D287" i="2" s="1"/>
  <c r="C288" i="2"/>
  <c r="C289" i="2"/>
  <c r="D289" i="2" s="1"/>
  <c r="C290" i="2"/>
  <c r="D290" i="2" s="1"/>
  <c r="C291" i="2"/>
  <c r="C292" i="2"/>
  <c r="D292" i="2" s="1"/>
  <c r="C293" i="2"/>
  <c r="D293" i="2" s="1"/>
  <c r="C294" i="2"/>
  <c r="C295" i="2"/>
  <c r="D295" i="2" s="1"/>
  <c r="C296" i="2"/>
  <c r="C297" i="2"/>
  <c r="D297" i="2" s="1"/>
  <c r="C298" i="2"/>
  <c r="D298" i="2" s="1"/>
  <c r="C299" i="2"/>
  <c r="D299" i="2" s="1"/>
  <c r="C300" i="2"/>
  <c r="D300" i="2" s="1"/>
  <c r="C301" i="2"/>
  <c r="C302" i="2"/>
  <c r="C303" i="2"/>
  <c r="D303" i="2" s="1"/>
  <c r="C304" i="2"/>
  <c r="C305" i="2"/>
  <c r="D305" i="2" s="1"/>
  <c r="C306" i="2"/>
  <c r="D306" i="2" s="1"/>
  <c r="C307" i="2"/>
  <c r="C308" i="2"/>
  <c r="D308" i="2" s="1"/>
  <c r="C309" i="2"/>
  <c r="D309" i="2" s="1"/>
  <c r="C310" i="2"/>
  <c r="C311" i="2"/>
  <c r="D311" i="2" s="1"/>
  <c r="C312" i="2"/>
  <c r="C313" i="2"/>
  <c r="D313" i="2" s="1"/>
  <c r="C314" i="2"/>
  <c r="D314" i="2" s="1"/>
  <c r="C315" i="2"/>
  <c r="C316" i="2"/>
  <c r="C317" i="2"/>
  <c r="C318" i="2"/>
  <c r="C319" i="2"/>
  <c r="D319" i="2" s="1"/>
  <c r="C320" i="2"/>
  <c r="C321" i="2"/>
  <c r="D321" i="2" s="1"/>
  <c r="C322" i="2"/>
  <c r="D322" i="2" s="1"/>
  <c r="C323" i="2"/>
  <c r="C324" i="2"/>
  <c r="C325" i="2"/>
  <c r="C326" i="2"/>
  <c r="C327" i="2"/>
  <c r="D327" i="2" s="1"/>
  <c r="C328" i="2"/>
  <c r="C329" i="2"/>
  <c r="D329" i="2" s="1"/>
  <c r="C330" i="2"/>
  <c r="D330" i="2" s="1"/>
  <c r="C331" i="2"/>
  <c r="D331" i="2" s="1"/>
  <c r="C332" i="2"/>
  <c r="D332" i="2" s="1"/>
  <c r="C333" i="2"/>
  <c r="C334" i="2"/>
  <c r="C335" i="2"/>
  <c r="D335" i="2" s="1"/>
  <c r="C336" i="2"/>
  <c r="C337" i="2"/>
  <c r="D337" i="2" s="1"/>
  <c r="C338" i="2"/>
  <c r="D338" i="2" s="1"/>
  <c r="C339" i="2"/>
  <c r="C340" i="2"/>
  <c r="D340" i="2" s="1"/>
  <c r="C341" i="2"/>
  <c r="D341" i="2" s="1"/>
  <c r="C342" i="2"/>
  <c r="C343" i="2"/>
  <c r="C344" i="2"/>
  <c r="C345" i="2"/>
  <c r="D345" i="2" s="1"/>
  <c r="C346" i="2"/>
  <c r="D346" i="2" s="1"/>
  <c r="C347" i="2"/>
  <c r="D347" i="2" s="1"/>
  <c r="C348" i="2"/>
  <c r="D348" i="2" s="1"/>
  <c r="C349" i="2"/>
  <c r="C350" i="2"/>
  <c r="C351" i="2"/>
  <c r="D351" i="2" s="1"/>
  <c r="C352" i="2"/>
  <c r="C353" i="2"/>
  <c r="D353" i="2" s="1"/>
  <c r="C354" i="2"/>
  <c r="D354" i="2" s="1"/>
  <c r="C355" i="2"/>
  <c r="C356" i="2"/>
  <c r="C357" i="2"/>
  <c r="D357" i="2" s="1"/>
  <c r="C358" i="2"/>
  <c r="C359" i="2"/>
  <c r="D359" i="2" s="1"/>
  <c r="C360" i="2"/>
  <c r="C361" i="2"/>
  <c r="D361" i="2" s="1"/>
  <c r="C362" i="2"/>
  <c r="D362" i="2" s="1"/>
  <c r="C363" i="2"/>
  <c r="D363" i="2" s="1"/>
  <c r="C364" i="2"/>
  <c r="D364" i="2" s="1"/>
  <c r="C365" i="2"/>
  <c r="C366" i="2"/>
  <c r="C367" i="2"/>
  <c r="D367" i="2" s="1"/>
  <c r="C368" i="2"/>
  <c r="D368" i="2" s="1"/>
  <c r="C369" i="2"/>
  <c r="D369" i="2" s="1"/>
  <c r="C370" i="2"/>
  <c r="D370" i="2" s="1"/>
  <c r="C371" i="2"/>
  <c r="C372" i="2"/>
  <c r="D372" i="2" s="1"/>
  <c r="C373" i="2"/>
  <c r="D373" i="2" s="1"/>
  <c r="C374" i="2"/>
  <c r="C375" i="2"/>
  <c r="D375" i="2" s="1"/>
  <c r="C376" i="2"/>
  <c r="C377" i="2"/>
  <c r="D377" i="2" s="1"/>
  <c r="C378" i="2"/>
  <c r="C379" i="2"/>
  <c r="D379" i="2" s="1"/>
  <c r="C380" i="2"/>
  <c r="D380" i="2" s="1"/>
  <c r="C381" i="2"/>
  <c r="C382" i="2"/>
  <c r="C383" i="2"/>
  <c r="D383" i="2" s="1"/>
  <c r="C384" i="2"/>
  <c r="C385" i="2"/>
  <c r="D385" i="2" s="1"/>
  <c r="C386" i="2"/>
  <c r="C387" i="2"/>
  <c r="C388" i="2"/>
  <c r="D388" i="2" s="1"/>
  <c r="C389" i="2"/>
  <c r="D389" i="2" s="1"/>
  <c r="C390" i="2"/>
  <c r="C391" i="2"/>
  <c r="C392" i="2"/>
  <c r="C393" i="2"/>
  <c r="D393" i="2" s="1"/>
  <c r="C394" i="2"/>
  <c r="C395" i="2"/>
  <c r="D395" i="2" s="1"/>
  <c r="C396" i="2"/>
  <c r="D396" i="2" s="1"/>
  <c r="C397" i="2"/>
  <c r="C398" i="2"/>
  <c r="C399" i="2"/>
  <c r="D399" i="2" s="1"/>
  <c r="C400" i="2"/>
  <c r="C401" i="2"/>
  <c r="D401" i="2" s="1"/>
  <c r="C402" i="2"/>
  <c r="D402" i="2" s="1"/>
  <c r="C403" i="2"/>
  <c r="C404" i="2"/>
  <c r="C405" i="2"/>
  <c r="D405" i="2" s="1"/>
  <c r="C406" i="2"/>
  <c r="C407" i="2"/>
  <c r="D407" i="2" s="1"/>
  <c r="C408" i="2"/>
  <c r="C409" i="2"/>
  <c r="D409" i="2" s="1"/>
  <c r="C410" i="2"/>
  <c r="D410" i="2" s="1"/>
  <c r="C411" i="2"/>
  <c r="D411" i="2" s="1"/>
  <c r="C412" i="2"/>
  <c r="D412" i="2" s="1"/>
  <c r="C413" i="2"/>
  <c r="C414" i="2"/>
  <c r="C415" i="2"/>
  <c r="D415" i="2" s="1"/>
  <c r="C416" i="2"/>
  <c r="C417" i="2"/>
  <c r="D417" i="2" s="1"/>
  <c r="C418" i="2"/>
  <c r="C419" i="2"/>
  <c r="C420" i="2"/>
  <c r="D420" i="2" s="1"/>
  <c r="C421" i="2"/>
  <c r="D421" i="2" s="1"/>
  <c r="C422" i="2"/>
  <c r="C423" i="2"/>
  <c r="D423" i="2" s="1"/>
  <c r="C424" i="2"/>
  <c r="C425" i="2"/>
  <c r="D425" i="2" s="1"/>
  <c r="C426" i="2"/>
  <c r="C427" i="2"/>
  <c r="C428" i="2"/>
  <c r="D428" i="2" s="1"/>
  <c r="C429" i="2"/>
  <c r="C430" i="2"/>
  <c r="C431" i="2"/>
  <c r="D431" i="2" s="1"/>
  <c r="C432" i="2"/>
  <c r="C433" i="2"/>
  <c r="D433" i="2" s="1"/>
  <c r="C434" i="2"/>
  <c r="D434" i="2" s="1"/>
  <c r="C435" i="2"/>
  <c r="C436" i="2"/>
  <c r="D436" i="2" s="1"/>
  <c r="C437" i="2"/>
  <c r="D437" i="2" s="1"/>
  <c r="C438" i="2"/>
  <c r="C439" i="2"/>
  <c r="D439" i="2" s="1"/>
  <c r="C440" i="2"/>
  <c r="C441" i="2"/>
  <c r="D441" i="2" s="1"/>
  <c r="C442" i="2"/>
  <c r="D442" i="2" s="1"/>
  <c r="C443" i="2"/>
  <c r="D443" i="2" s="1"/>
  <c r="C444" i="2"/>
  <c r="D444" i="2" s="1"/>
  <c r="C445" i="2"/>
  <c r="C446" i="2"/>
  <c r="C447" i="2"/>
  <c r="C448" i="2"/>
  <c r="D448" i="2" s="1"/>
  <c r="C449" i="2"/>
  <c r="D449" i="2" s="1"/>
  <c r="C450" i="2"/>
  <c r="D450" i="2" s="1"/>
  <c r="C451" i="2"/>
  <c r="C452" i="2"/>
  <c r="D452" i="2" s="1"/>
  <c r="C453" i="2"/>
  <c r="D453" i="2" s="1"/>
  <c r="C454" i="2"/>
  <c r="C455" i="2"/>
  <c r="D455" i="2" s="1"/>
  <c r="C456" i="2"/>
  <c r="C457" i="2"/>
  <c r="D457" i="2" s="1"/>
  <c r="C458" i="2"/>
  <c r="C459" i="2"/>
  <c r="C460" i="2"/>
  <c r="D460" i="2" s="1"/>
  <c r="C461" i="2"/>
  <c r="C462" i="2"/>
  <c r="C463" i="2"/>
  <c r="D463" i="2" s="1"/>
  <c r="C464" i="2"/>
  <c r="C465" i="2"/>
  <c r="D465" i="2" s="1"/>
  <c r="C466" i="2"/>
  <c r="D466" i="2" s="1"/>
  <c r="C467" i="2"/>
  <c r="C468" i="2"/>
  <c r="C469" i="2"/>
  <c r="D469" i="2" s="1"/>
  <c r="C470" i="2"/>
  <c r="C471" i="2"/>
  <c r="D471" i="2" s="1"/>
  <c r="C472" i="2"/>
  <c r="C473" i="2"/>
  <c r="D473" i="2" s="1"/>
  <c r="C474" i="2"/>
  <c r="D474" i="2" s="1"/>
  <c r="C475" i="2"/>
  <c r="D475" i="2" s="1"/>
  <c r="C476" i="2"/>
  <c r="D476" i="2" s="1"/>
  <c r="C477" i="2"/>
  <c r="C478" i="2"/>
  <c r="C479" i="2"/>
  <c r="D479" i="2" s="1"/>
  <c r="C480" i="2"/>
  <c r="C481" i="2"/>
  <c r="D481" i="2" s="1"/>
  <c r="C482" i="2"/>
  <c r="D482" i="2" s="1"/>
  <c r="C483" i="2"/>
  <c r="C484" i="2"/>
  <c r="D484" i="2" s="1"/>
  <c r="C485" i="2"/>
  <c r="D485" i="2" s="1"/>
  <c r="C486" i="2"/>
  <c r="C487" i="2"/>
  <c r="D487" i="2" s="1"/>
  <c r="C488" i="2"/>
  <c r="C489" i="2"/>
  <c r="D489" i="2" s="1"/>
  <c r="C490" i="2"/>
  <c r="C491" i="2"/>
  <c r="D491" i="2" s="1"/>
  <c r="C492" i="2"/>
  <c r="D492" i="2" s="1"/>
  <c r="C493" i="2"/>
  <c r="C494" i="2"/>
  <c r="C495" i="2"/>
  <c r="C496" i="2"/>
  <c r="C497" i="2"/>
  <c r="D497" i="2" s="1"/>
  <c r="C498" i="2"/>
  <c r="D498" i="2" s="1"/>
  <c r="C499" i="2"/>
  <c r="C500" i="2"/>
  <c r="C501" i="2"/>
  <c r="D501" i="2" s="1"/>
  <c r="C502" i="2"/>
  <c r="C503" i="2"/>
  <c r="D503" i="2" s="1"/>
  <c r="C504" i="2"/>
  <c r="C505" i="2"/>
  <c r="D505" i="2" s="1"/>
  <c r="C506" i="2"/>
  <c r="D506" i="2" s="1"/>
  <c r="C507" i="2"/>
  <c r="D507" i="2" s="1"/>
  <c r="C508" i="2"/>
  <c r="D508" i="2" s="1"/>
  <c r="C509" i="2"/>
  <c r="C510" i="2"/>
  <c r="C511" i="2"/>
  <c r="C512" i="2"/>
  <c r="D512" i="2" s="1"/>
  <c r="C513" i="2"/>
  <c r="D513" i="2" s="1"/>
  <c r="C514" i="2"/>
  <c r="D514" i="2" s="1"/>
  <c r="C515" i="2"/>
  <c r="C516" i="2"/>
  <c r="C517" i="2"/>
  <c r="D517" i="2" s="1"/>
  <c r="C518" i="2"/>
  <c r="C519" i="2"/>
  <c r="D519" i="2" s="1"/>
  <c r="C520" i="2"/>
  <c r="C521" i="2"/>
  <c r="D521" i="2" s="1"/>
  <c r="C522" i="2"/>
  <c r="D522" i="2" s="1"/>
  <c r="C523" i="2"/>
  <c r="D523" i="2" s="1"/>
  <c r="C524" i="2"/>
  <c r="D524" i="2" s="1"/>
  <c r="C525" i="2"/>
  <c r="C526" i="2"/>
  <c r="C527" i="2"/>
  <c r="D527" i="2" s="1"/>
  <c r="C528" i="2"/>
  <c r="C529" i="2"/>
  <c r="D529" i="2" s="1"/>
  <c r="C530" i="2"/>
  <c r="C531" i="2"/>
  <c r="C532" i="2"/>
  <c r="D532" i="2" s="1"/>
  <c r="C533" i="2"/>
  <c r="D533" i="2" s="1"/>
  <c r="C534" i="2"/>
  <c r="C535" i="2"/>
  <c r="D535" i="2" s="1"/>
  <c r="C536" i="2"/>
  <c r="C537" i="2"/>
  <c r="D537" i="2" s="1"/>
  <c r="C538" i="2"/>
  <c r="C539" i="2"/>
  <c r="D539" i="2" s="1"/>
  <c r="C540" i="2"/>
  <c r="D540" i="2" s="1"/>
  <c r="C541" i="2"/>
  <c r="C542" i="2"/>
  <c r="C543" i="2"/>
  <c r="D543" i="2" s="1"/>
  <c r="C544" i="2"/>
  <c r="C545" i="2"/>
  <c r="D545" i="2" s="1"/>
  <c r="C546" i="2"/>
  <c r="D546" i="2" s="1"/>
  <c r="C547" i="2"/>
  <c r="C548" i="2"/>
  <c r="C549" i="2"/>
  <c r="D549" i="2" s="1"/>
  <c r="C550" i="2"/>
  <c r="C551" i="2"/>
  <c r="D551" i="2" s="1"/>
  <c r="C552" i="2"/>
  <c r="C553" i="2"/>
  <c r="D553" i="2" s="1"/>
  <c r="C554" i="2"/>
  <c r="D554" i="2" s="1"/>
  <c r="C555" i="2"/>
  <c r="D555" i="2" s="1"/>
  <c r="C556" i="2"/>
  <c r="D556" i="2" s="1"/>
  <c r="C557" i="2"/>
  <c r="C558" i="2"/>
  <c r="C559" i="2"/>
  <c r="D559" i="2" s="1"/>
  <c r="C560" i="2"/>
  <c r="D560" i="2" s="1"/>
  <c r="C561" i="2"/>
  <c r="D561" i="2" s="1"/>
  <c r="C562" i="2"/>
  <c r="C563" i="2"/>
  <c r="C564" i="2"/>
  <c r="D564" i="2" s="1"/>
  <c r="C565" i="2"/>
  <c r="D565" i="2" s="1"/>
  <c r="C566" i="2"/>
  <c r="C567" i="2"/>
  <c r="D567" i="2" s="1"/>
  <c r="C568" i="2"/>
  <c r="C569" i="2"/>
  <c r="D569" i="2" s="1"/>
  <c r="C570" i="2"/>
  <c r="C571" i="2"/>
  <c r="C572" i="2"/>
  <c r="C573" i="2"/>
  <c r="C574" i="2"/>
  <c r="C575" i="2"/>
  <c r="D575" i="2" s="1"/>
  <c r="C576" i="2"/>
  <c r="D576" i="2" s="1"/>
  <c r="C577" i="2"/>
  <c r="D577" i="2" s="1"/>
  <c r="C578" i="2"/>
  <c r="D578" i="2" s="1"/>
  <c r="C579" i="2"/>
  <c r="C580" i="2"/>
  <c r="C581" i="2"/>
  <c r="D581" i="2" s="1"/>
  <c r="C582" i="2"/>
  <c r="C583" i="2"/>
  <c r="D583" i="2" s="1"/>
  <c r="C584" i="2"/>
  <c r="C585" i="2"/>
  <c r="D585" i="2" s="1"/>
  <c r="C586" i="2"/>
  <c r="D586" i="2" s="1"/>
  <c r="C587" i="2"/>
  <c r="D587" i="2" s="1"/>
  <c r="C588" i="2"/>
  <c r="D588" i="2" s="1"/>
  <c r="C589" i="2"/>
  <c r="C590" i="2"/>
  <c r="C591" i="2"/>
  <c r="D591" i="2" s="1"/>
  <c r="C592" i="2"/>
  <c r="C593" i="2"/>
  <c r="D593" i="2" s="1"/>
  <c r="C594" i="2"/>
  <c r="C595" i="2"/>
  <c r="C596" i="2"/>
  <c r="D596" i="2" s="1"/>
  <c r="C597" i="2"/>
  <c r="D597" i="2" s="1"/>
  <c r="C598" i="2"/>
  <c r="C599" i="2"/>
  <c r="C600" i="2"/>
  <c r="C601" i="2"/>
  <c r="D601" i="2" s="1"/>
  <c r="C602" i="2"/>
  <c r="D602" i="2" s="1"/>
  <c r="C603" i="2"/>
  <c r="C604" i="2"/>
  <c r="C605" i="2"/>
  <c r="C606" i="2"/>
  <c r="C607" i="2"/>
  <c r="D607" i="2" s="1"/>
  <c r="C608" i="2"/>
  <c r="C609" i="2"/>
  <c r="D609" i="2" s="1"/>
  <c r="C610" i="2"/>
  <c r="D610" i="2" s="1"/>
  <c r="C611" i="2"/>
  <c r="C612" i="2"/>
  <c r="C613" i="2"/>
  <c r="C614" i="2"/>
  <c r="C615" i="2"/>
  <c r="D615" i="2" s="1"/>
  <c r="C616" i="2"/>
  <c r="C617" i="2"/>
  <c r="D617" i="2" s="1"/>
  <c r="C618" i="2"/>
  <c r="D618" i="2" s="1"/>
  <c r="C619" i="2"/>
  <c r="D619" i="2" s="1"/>
  <c r="C620" i="2"/>
  <c r="D620" i="2" s="1"/>
  <c r="C621" i="2"/>
  <c r="C622" i="2"/>
  <c r="C623" i="2"/>
  <c r="D623" i="2" s="1"/>
  <c r="C624" i="2"/>
  <c r="C625" i="2"/>
  <c r="D625" i="2" s="1"/>
  <c r="C626" i="2"/>
  <c r="C627" i="2"/>
  <c r="C628" i="2"/>
  <c r="D628" i="2" s="1"/>
  <c r="C629" i="2"/>
  <c r="D629" i="2" s="1"/>
  <c r="C630" i="2"/>
  <c r="C631" i="2"/>
  <c r="D631" i="2" s="1"/>
  <c r="C632" i="2"/>
  <c r="C633" i="2"/>
  <c r="D633" i="2" s="1"/>
  <c r="C634" i="2"/>
  <c r="C635" i="2"/>
  <c r="C636" i="2"/>
  <c r="D636" i="2" s="1"/>
  <c r="C637" i="2"/>
  <c r="C638" i="2"/>
  <c r="C639" i="2"/>
  <c r="D639" i="2" s="1"/>
  <c r="C640" i="2"/>
  <c r="C641" i="2"/>
  <c r="D641" i="2" s="1"/>
  <c r="C642" i="2"/>
  <c r="D642" i="2" s="1"/>
  <c r="C643" i="2"/>
  <c r="C644" i="2"/>
  <c r="D644" i="2" s="1"/>
  <c r="C645" i="2"/>
  <c r="D645" i="2" s="1"/>
  <c r="C646" i="2"/>
  <c r="C647" i="2"/>
  <c r="D647" i="2" s="1"/>
  <c r="C648" i="2"/>
  <c r="C649" i="2"/>
  <c r="D649" i="2" s="1"/>
  <c r="C650" i="2"/>
  <c r="D650" i="2" s="1"/>
  <c r="C651" i="2"/>
  <c r="D651" i="2" s="1"/>
  <c r="C652" i="2"/>
  <c r="D652" i="2" s="1"/>
  <c r="C653" i="2"/>
  <c r="C654" i="2"/>
  <c r="C655" i="2"/>
  <c r="D655" i="2" s="1"/>
  <c r="C656" i="2"/>
  <c r="C657" i="2"/>
  <c r="D657" i="2" s="1"/>
  <c r="C658" i="2"/>
  <c r="D658" i="2" s="1"/>
  <c r="C659" i="2"/>
  <c r="C660" i="2"/>
  <c r="D660" i="2" s="1"/>
  <c r="C661" i="2"/>
  <c r="D661" i="2" s="1"/>
  <c r="C662" i="2"/>
  <c r="C663" i="2"/>
  <c r="C664" i="2"/>
  <c r="C665" i="2"/>
  <c r="D665" i="2" s="1"/>
  <c r="C666" i="2"/>
  <c r="C667" i="2"/>
  <c r="C668" i="2"/>
  <c r="D668" i="2" s="1"/>
  <c r="C669" i="2"/>
  <c r="C670" i="2"/>
  <c r="C671" i="2"/>
  <c r="D671" i="2" s="1"/>
  <c r="C672" i="2"/>
  <c r="C673" i="2"/>
  <c r="D673" i="2" s="1"/>
  <c r="C674" i="2"/>
  <c r="D674" i="2" s="1"/>
  <c r="C675" i="2"/>
  <c r="C676" i="2"/>
  <c r="C677" i="2"/>
  <c r="D677" i="2" s="1"/>
  <c r="C678" i="2"/>
  <c r="C679" i="2"/>
  <c r="D679" i="2" s="1"/>
  <c r="C680" i="2"/>
  <c r="C681" i="2"/>
  <c r="D681" i="2" s="1"/>
  <c r="C682" i="2"/>
  <c r="D682" i="2" s="1"/>
  <c r="C683" i="2"/>
  <c r="D683" i="2" s="1"/>
  <c r="C684" i="2"/>
  <c r="D684" i="2" s="1"/>
  <c r="C685" i="2"/>
  <c r="C686" i="2"/>
  <c r="C687" i="2"/>
  <c r="D687" i="2" s="1"/>
  <c r="C688" i="2"/>
  <c r="C689" i="2"/>
  <c r="D689" i="2" s="1"/>
  <c r="C690" i="2"/>
  <c r="D690" i="2" s="1"/>
  <c r="C691" i="2"/>
  <c r="C692" i="2"/>
  <c r="D692" i="2" s="1"/>
  <c r="C693" i="2"/>
  <c r="D693" i="2" s="1"/>
  <c r="C694" i="2"/>
  <c r="C695" i="2"/>
  <c r="D695" i="2" s="1"/>
  <c r="C696" i="2"/>
  <c r="C697" i="2"/>
  <c r="D697" i="2" s="1"/>
  <c r="C698" i="2"/>
  <c r="C699" i="2"/>
  <c r="D699" i="2" s="1"/>
  <c r="C700" i="2"/>
  <c r="D700" i="2" s="1"/>
  <c r="C701" i="2"/>
  <c r="C702" i="2"/>
  <c r="C703" i="2"/>
  <c r="D703" i="2" s="1"/>
  <c r="C704" i="2"/>
  <c r="C705" i="2"/>
  <c r="D705" i="2" s="1"/>
  <c r="C706" i="2"/>
  <c r="C707" i="2"/>
  <c r="C708" i="2"/>
  <c r="C709" i="2"/>
  <c r="C710" i="2"/>
  <c r="C711" i="2"/>
  <c r="D711" i="2" s="1"/>
  <c r="C712" i="2"/>
  <c r="C713" i="2"/>
  <c r="D713" i="2" s="1"/>
  <c r="C714" i="2"/>
  <c r="D714" i="2" s="1"/>
  <c r="C715" i="2"/>
  <c r="D715" i="2" s="1"/>
  <c r="C716" i="2"/>
  <c r="D716" i="2" s="1"/>
  <c r="C717" i="2"/>
  <c r="C718" i="2"/>
  <c r="C719" i="2"/>
  <c r="D719" i="2" s="1"/>
  <c r="C720" i="2"/>
  <c r="D720" i="2" s="1"/>
  <c r="C721" i="2"/>
  <c r="D721" i="2" s="1"/>
  <c r="C722" i="2"/>
  <c r="D722" i="2" s="1"/>
  <c r="C723" i="2"/>
  <c r="C724" i="2"/>
  <c r="D724" i="2" s="1"/>
  <c r="C725" i="2"/>
  <c r="D725" i="2" s="1"/>
  <c r="C726" i="2"/>
  <c r="C727" i="2"/>
  <c r="D727" i="2" s="1"/>
  <c r="C728" i="2"/>
  <c r="C729" i="2"/>
  <c r="D729" i="2" s="1"/>
  <c r="C730" i="2"/>
  <c r="C731" i="2"/>
  <c r="C732" i="2"/>
  <c r="D732" i="2" s="1"/>
  <c r="C733" i="2"/>
  <c r="C734" i="2"/>
  <c r="C735" i="2"/>
  <c r="D735" i="2" s="1"/>
  <c r="C736" i="2"/>
  <c r="C737" i="2"/>
  <c r="D737" i="2" s="1"/>
  <c r="C738" i="2"/>
  <c r="D738" i="2" s="1"/>
  <c r="C739" i="2"/>
  <c r="C740" i="2"/>
  <c r="C741" i="2"/>
  <c r="D741" i="2" s="1"/>
  <c r="C742" i="2"/>
  <c r="C743" i="2"/>
  <c r="D743" i="2" s="1"/>
  <c r="F743" i="2" s="1"/>
  <c r="C744" i="2"/>
  <c r="C745" i="2"/>
  <c r="D745" i="2" s="1"/>
  <c r="F745" i="2" s="1"/>
  <c r="C746" i="2"/>
  <c r="D746" i="2" s="1"/>
  <c r="F746" i="2" s="1"/>
  <c r="C747" i="2"/>
  <c r="D747" i="2" s="1"/>
  <c r="C748" i="2"/>
  <c r="D748" i="2" s="1"/>
  <c r="C749" i="2"/>
  <c r="C750" i="2"/>
  <c r="C751" i="2"/>
  <c r="D751" i="2" s="1"/>
  <c r="C752" i="2"/>
  <c r="C753" i="2"/>
  <c r="D753" i="2" s="1"/>
  <c r="C754" i="2"/>
  <c r="D754" i="2" s="1"/>
  <c r="C755" i="2"/>
  <c r="C756" i="2"/>
  <c r="D756" i="2" s="1"/>
  <c r="C757" i="2"/>
  <c r="D757" i="2" s="1"/>
  <c r="C758" i="2"/>
  <c r="C759" i="2"/>
  <c r="D759" i="2" s="1"/>
  <c r="C760" i="2"/>
  <c r="C761" i="2"/>
  <c r="D761" i="2" s="1"/>
  <c r="C762" i="2"/>
  <c r="C763" i="2"/>
  <c r="D763" i="2" s="1"/>
  <c r="C764" i="2"/>
  <c r="D764" i="2" s="1"/>
  <c r="C765" i="2"/>
  <c r="C766" i="2"/>
  <c r="C767" i="2"/>
  <c r="D767" i="2" s="1"/>
  <c r="C768" i="2"/>
  <c r="C769" i="2"/>
  <c r="D769" i="2" s="1"/>
  <c r="C770" i="2"/>
  <c r="C771" i="2"/>
  <c r="C772" i="2"/>
  <c r="C773" i="2"/>
  <c r="C774" i="2"/>
  <c r="C775" i="2"/>
  <c r="D775" i="2" s="1"/>
  <c r="C776" i="2"/>
  <c r="C777" i="2"/>
  <c r="D777" i="2" s="1"/>
  <c r="C778" i="2"/>
  <c r="D778" i="2" s="1"/>
  <c r="C779" i="2"/>
  <c r="D779" i="2" s="1"/>
  <c r="C780" i="2"/>
  <c r="D780" i="2" s="1"/>
  <c r="C781" i="2"/>
  <c r="C782" i="2"/>
  <c r="C783" i="2"/>
  <c r="D783" i="2" s="1"/>
  <c r="C784" i="2"/>
  <c r="D784" i="2" s="1"/>
  <c r="C785" i="2"/>
  <c r="D785" i="2" s="1"/>
  <c r="C786" i="2"/>
  <c r="D786" i="2" s="1"/>
  <c r="C787" i="2"/>
  <c r="C788" i="2"/>
  <c r="D788" i="2" s="1"/>
  <c r="C789" i="2"/>
  <c r="D789" i="2" s="1"/>
  <c r="C790" i="2"/>
  <c r="C791" i="2"/>
  <c r="D791" i="2" s="1"/>
  <c r="C792" i="2"/>
  <c r="C793" i="2"/>
  <c r="D793" i="2" s="1"/>
  <c r="C794" i="2"/>
  <c r="C795" i="2"/>
  <c r="C796" i="2"/>
  <c r="D796" i="2" s="1"/>
  <c r="C797" i="2"/>
  <c r="C798" i="2"/>
  <c r="C799" i="2"/>
  <c r="D799" i="2" s="1"/>
  <c r="C800" i="2"/>
  <c r="C801" i="2"/>
  <c r="D801" i="2" s="1"/>
  <c r="C802" i="2"/>
  <c r="D802" i="2" s="1"/>
  <c r="C803" i="2"/>
  <c r="C804" i="2"/>
  <c r="C805" i="2"/>
  <c r="D805" i="2" s="1"/>
  <c r="C806" i="2"/>
  <c r="C807" i="2"/>
  <c r="D807" i="2" s="1"/>
  <c r="C808" i="2"/>
  <c r="C809" i="2"/>
  <c r="D809" i="2" s="1"/>
  <c r="C810" i="2"/>
  <c r="D810" i="2" s="1"/>
  <c r="C811" i="2"/>
  <c r="D811" i="2" s="1"/>
  <c r="C812" i="2"/>
  <c r="D812" i="2" s="1"/>
  <c r="C813" i="2"/>
  <c r="C814" i="2"/>
  <c r="C815" i="2"/>
  <c r="D815" i="2" s="1"/>
  <c r="C816" i="2"/>
  <c r="C817" i="2"/>
  <c r="D817" i="2" s="1"/>
  <c r="C818" i="2"/>
  <c r="D818" i="2" s="1"/>
  <c r="C819" i="2"/>
  <c r="C820" i="2"/>
  <c r="D820" i="2" s="1"/>
  <c r="C821" i="2"/>
  <c r="D821" i="2" s="1"/>
  <c r="C822" i="2"/>
  <c r="C823" i="2"/>
  <c r="D823" i="2" s="1"/>
  <c r="C824" i="2"/>
  <c r="C825" i="2"/>
  <c r="D825" i="2" s="1"/>
  <c r="C826" i="2"/>
  <c r="C827" i="2"/>
  <c r="D827" i="2" s="1"/>
  <c r="C828" i="2"/>
  <c r="D828" i="2" s="1"/>
  <c r="C829" i="2"/>
  <c r="C830" i="2"/>
  <c r="C831" i="2"/>
  <c r="D831" i="2" s="1"/>
  <c r="C832" i="2"/>
  <c r="C833" i="2"/>
  <c r="D833" i="2" s="1"/>
  <c r="C834" i="2"/>
  <c r="C835" i="2"/>
  <c r="C836" i="2"/>
  <c r="C837" i="2"/>
  <c r="C838" i="2"/>
  <c r="C839" i="2"/>
  <c r="D839" i="2" s="1"/>
  <c r="C840" i="2"/>
  <c r="C841" i="2"/>
  <c r="D841" i="2" s="1"/>
  <c r="C842" i="2"/>
  <c r="D842" i="2" s="1"/>
  <c r="C843" i="2"/>
  <c r="D843" i="2" s="1"/>
  <c r="C844" i="2"/>
  <c r="D844" i="2" s="1"/>
  <c r="C845" i="2"/>
  <c r="C846" i="2"/>
  <c r="C847" i="2"/>
  <c r="D847" i="2" s="1"/>
  <c r="C848" i="2"/>
  <c r="D848" i="2" s="1"/>
  <c r="C849" i="2"/>
  <c r="D849" i="2" s="1"/>
  <c r="C850" i="2"/>
  <c r="D850" i="2" s="1"/>
  <c r="C851" i="2"/>
  <c r="C852" i="2"/>
  <c r="D852" i="2" s="1"/>
  <c r="C853" i="2"/>
  <c r="D853" i="2" s="1"/>
  <c r="C854" i="2"/>
  <c r="C855" i="2"/>
  <c r="D855" i="2" s="1"/>
  <c r="C856" i="2"/>
  <c r="C857" i="2"/>
  <c r="D857" i="2" s="1"/>
  <c r="C858" i="2"/>
  <c r="C859" i="2"/>
  <c r="C860" i="2"/>
  <c r="D860" i="2" s="1"/>
  <c r="C861" i="2"/>
  <c r="C862" i="2"/>
  <c r="C863" i="2"/>
  <c r="D863" i="2" s="1"/>
  <c r="C864" i="2"/>
  <c r="C865" i="2"/>
  <c r="D865" i="2" s="1"/>
  <c r="C866" i="2"/>
  <c r="D866" i="2" s="1"/>
  <c r="C867" i="2"/>
  <c r="C868" i="2"/>
  <c r="C869" i="2"/>
  <c r="D869" i="2" s="1"/>
  <c r="C870" i="2"/>
  <c r="C871" i="2"/>
  <c r="D871" i="2" s="1"/>
  <c r="C872" i="2"/>
  <c r="C873" i="2"/>
  <c r="D873" i="2" s="1"/>
  <c r="C874" i="2"/>
  <c r="D874" i="2" s="1"/>
  <c r="C875" i="2"/>
  <c r="D875" i="2" s="1"/>
  <c r="C876" i="2"/>
  <c r="D876" i="2" s="1"/>
  <c r="C877" i="2"/>
  <c r="C878" i="2"/>
  <c r="C879" i="2"/>
  <c r="D879" i="2" s="1"/>
  <c r="C880" i="2"/>
  <c r="C881" i="2"/>
  <c r="D881" i="2" s="1"/>
  <c r="C882" i="2"/>
  <c r="D882" i="2" s="1"/>
  <c r="C883" i="2"/>
  <c r="C884" i="2"/>
  <c r="D884" i="2" s="1"/>
  <c r="C885" i="2"/>
  <c r="D885" i="2" s="1"/>
  <c r="C886" i="2"/>
  <c r="C887" i="2"/>
  <c r="D887" i="2" s="1"/>
  <c r="C888" i="2"/>
  <c r="C889" i="2"/>
  <c r="D889" i="2" s="1"/>
  <c r="C890" i="2"/>
  <c r="C891" i="2"/>
  <c r="D891" i="2" s="1"/>
  <c r="C892" i="2"/>
  <c r="D892" i="2" s="1"/>
  <c r="C893" i="2"/>
  <c r="C894" i="2"/>
  <c r="C895" i="2"/>
  <c r="D895" i="2" s="1"/>
  <c r="C896" i="2"/>
  <c r="C897" i="2"/>
  <c r="D897" i="2" s="1"/>
  <c r="C898" i="2"/>
  <c r="C899" i="2"/>
  <c r="C900" i="2"/>
  <c r="C901" i="2"/>
  <c r="C902" i="2"/>
  <c r="C903" i="2"/>
  <c r="D903" i="2" s="1"/>
  <c r="C904" i="2"/>
  <c r="C905" i="2"/>
  <c r="D905" i="2" s="1"/>
  <c r="C906" i="2"/>
  <c r="D906" i="2" s="1"/>
  <c r="C907" i="2"/>
  <c r="D907" i="2" s="1"/>
  <c r="C908" i="2"/>
  <c r="D908" i="2" s="1"/>
  <c r="C909" i="2"/>
  <c r="C910" i="2"/>
  <c r="C911" i="2"/>
  <c r="D911" i="2" s="1"/>
  <c r="C912" i="2"/>
  <c r="D912" i="2" s="1"/>
  <c r="C913" i="2"/>
  <c r="D913" i="2" s="1"/>
  <c r="C914" i="2"/>
  <c r="D914" i="2" s="1"/>
  <c r="C915" i="2"/>
  <c r="C916" i="2"/>
  <c r="D916" i="2" s="1"/>
  <c r="C917" i="2"/>
  <c r="D917" i="2" s="1"/>
  <c r="C918" i="2"/>
  <c r="C919" i="2"/>
  <c r="D919" i="2" s="1"/>
  <c r="C920" i="2"/>
  <c r="C921" i="2"/>
  <c r="D921" i="2" s="1"/>
  <c r="C922" i="2"/>
  <c r="C923" i="2"/>
  <c r="C924" i="2"/>
  <c r="D924" i="2" s="1"/>
  <c r="C925" i="2"/>
  <c r="C926" i="2"/>
  <c r="C927" i="2"/>
  <c r="D927" i="2" s="1"/>
  <c r="C928" i="2"/>
  <c r="C929" i="2"/>
  <c r="D929" i="2" s="1"/>
  <c r="C930" i="2"/>
  <c r="D930" i="2" s="1"/>
  <c r="C931" i="2"/>
  <c r="C932" i="2"/>
  <c r="C933" i="2"/>
  <c r="D933" i="2" s="1"/>
  <c r="C934" i="2"/>
  <c r="C935" i="2"/>
  <c r="D935" i="2" s="1"/>
  <c r="C936" i="2"/>
  <c r="C937" i="2"/>
  <c r="D937" i="2" s="1"/>
  <c r="C938" i="2"/>
  <c r="D938" i="2" s="1"/>
  <c r="C939" i="2"/>
  <c r="D939" i="2" s="1"/>
  <c r="C940" i="2"/>
  <c r="D940" i="2" s="1"/>
  <c r="C941" i="2"/>
  <c r="C942" i="2"/>
  <c r="C943" i="2"/>
  <c r="D943" i="2" s="1"/>
  <c r="C944" i="2"/>
  <c r="C945" i="2"/>
  <c r="D945" i="2" s="1"/>
  <c r="C946" i="2"/>
  <c r="D946" i="2" s="1"/>
  <c r="C947" i="2"/>
  <c r="C948" i="2"/>
  <c r="D948" i="2" s="1"/>
  <c r="C949" i="2"/>
  <c r="D949" i="2" s="1"/>
  <c r="C950" i="2"/>
  <c r="C951" i="2"/>
  <c r="D951" i="2" s="1"/>
  <c r="C952" i="2"/>
  <c r="C953" i="2"/>
  <c r="D953" i="2" s="1"/>
  <c r="C954" i="2"/>
  <c r="C955" i="2"/>
  <c r="D955" i="2" s="1"/>
  <c r="C956" i="2"/>
  <c r="D956" i="2" s="1"/>
  <c r="C957" i="2"/>
  <c r="C958" i="2"/>
  <c r="C959" i="2"/>
  <c r="D959" i="2" s="1"/>
  <c r="C960" i="2"/>
  <c r="C961" i="2"/>
  <c r="D961" i="2" s="1"/>
  <c r="C962" i="2"/>
  <c r="C963" i="2"/>
  <c r="C964" i="2"/>
  <c r="C965" i="2"/>
  <c r="C966" i="2"/>
  <c r="C967" i="2"/>
  <c r="D967" i="2" s="1"/>
  <c r="C968" i="2"/>
  <c r="C969" i="2"/>
  <c r="D969" i="2" s="1"/>
  <c r="C970" i="2"/>
  <c r="D970" i="2" s="1"/>
  <c r="C971" i="2"/>
  <c r="D971" i="2" s="1"/>
  <c r="C972" i="2"/>
  <c r="D972" i="2" s="1"/>
  <c r="C973" i="2"/>
  <c r="C974" i="2"/>
  <c r="C975" i="2"/>
  <c r="D975" i="2" s="1"/>
  <c r="C976" i="2"/>
  <c r="D976" i="2" s="1"/>
  <c r="C977" i="2"/>
  <c r="D977" i="2" s="1"/>
  <c r="C978" i="2"/>
  <c r="D978" i="2" s="1"/>
  <c r="C979" i="2"/>
  <c r="C980" i="2"/>
  <c r="D980" i="2" s="1"/>
  <c r="C981" i="2"/>
  <c r="D981" i="2" s="1"/>
  <c r="C982" i="2"/>
  <c r="C983" i="2"/>
  <c r="D983" i="2" s="1"/>
  <c r="C984" i="2"/>
  <c r="C985" i="2"/>
  <c r="D985" i="2" s="1"/>
  <c r="C986" i="2"/>
  <c r="C987" i="2"/>
  <c r="C988" i="2"/>
  <c r="D988" i="2" s="1"/>
  <c r="C989" i="2"/>
  <c r="C990" i="2"/>
  <c r="C991" i="2"/>
  <c r="D991" i="2" s="1"/>
  <c r="C992" i="2"/>
  <c r="C993" i="2"/>
  <c r="D993" i="2" s="1"/>
  <c r="C994" i="2"/>
  <c r="D994" i="2" s="1"/>
  <c r="C995" i="2"/>
  <c r="C996" i="2"/>
  <c r="C997" i="2"/>
  <c r="D997" i="2" s="1"/>
  <c r="C998" i="2"/>
  <c r="C999" i="2"/>
  <c r="D999" i="2" s="1"/>
  <c r="C1000" i="2"/>
  <c r="C1001" i="2"/>
  <c r="D1001" i="2" s="1"/>
  <c r="C1002" i="2"/>
  <c r="D1002" i="2" s="1"/>
  <c r="C1003" i="2"/>
  <c r="D1003" i="2" s="1"/>
  <c r="C1004" i="2"/>
  <c r="D1004" i="2" s="1"/>
  <c r="C1005" i="2"/>
  <c r="C1006" i="2"/>
  <c r="C1007" i="2"/>
  <c r="D1007" i="2" s="1"/>
  <c r="C1008" i="2"/>
  <c r="C1009" i="2"/>
  <c r="D1009" i="2" s="1"/>
  <c r="C1010" i="2"/>
  <c r="D1010" i="2" s="1"/>
  <c r="C1011" i="2"/>
  <c r="C1012" i="2"/>
  <c r="D1012" i="2" s="1"/>
  <c r="C1013" i="2"/>
  <c r="D1013" i="2" s="1"/>
  <c r="C1014" i="2"/>
  <c r="C1015" i="2"/>
  <c r="D1015" i="2" s="1"/>
  <c r="C1016" i="2"/>
  <c r="C1017" i="2"/>
  <c r="D1017" i="2" s="1"/>
  <c r="C1018" i="2"/>
  <c r="C1019" i="2"/>
  <c r="D1019" i="2" s="1"/>
  <c r="C1020" i="2"/>
  <c r="D1020" i="2" s="1"/>
  <c r="C1021" i="2"/>
  <c r="C1022" i="2"/>
  <c r="C1023" i="2"/>
  <c r="D1023" i="2" s="1"/>
  <c r="C1024" i="2"/>
  <c r="C1025" i="2"/>
  <c r="D1025" i="2" s="1"/>
  <c r="C1026" i="2"/>
  <c r="C1027" i="2"/>
  <c r="C1028" i="2"/>
  <c r="C1029" i="2"/>
  <c r="C1030" i="2"/>
  <c r="C1031" i="2"/>
  <c r="D1031" i="2" s="1"/>
  <c r="C1032" i="2"/>
  <c r="C1033" i="2"/>
  <c r="D1033" i="2" s="1"/>
  <c r="C1034" i="2"/>
  <c r="D1034" i="2" s="1"/>
  <c r="C1035" i="2"/>
  <c r="D1035" i="2" s="1"/>
  <c r="C1036" i="2"/>
  <c r="D1036" i="2" s="1"/>
  <c r="C1037" i="2"/>
  <c r="C1038" i="2"/>
  <c r="C1039" i="2"/>
  <c r="D1039" i="2" s="1"/>
  <c r="C1040" i="2"/>
  <c r="D1040" i="2" s="1"/>
  <c r="C1041" i="2"/>
  <c r="D1041" i="2" s="1"/>
  <c r="C1042" i="2"/>
  <c r="D1042" i="2" s="1"/>
  <c r="C1043" i="2"/>
  <c r="C1044" i="2"/>
  <c r="D1044" i="2" s="1"/>
  <c r="C1045" i="2"/>
  <c r="D1045" i="2" s="1"/>
  <c r="C1046" i="2"/>
  <c r="C1047" i="2"/>
  <c r="D1047" i="2" s="1"/>
  <c r="C1048" i="2"/>
  <c r="C1049" i="2"/>
  <c r="D1049" i="2" s="1"/>
  <c r="C1050" i="2"/>
  <c r="C1051" i="2"/>
  <c r="C1052" i="2"/>
  <c r="D1052" i="2" s="1"/>
  <c r="C1053" i="2"/>
  <c r="C1054" i="2"/>
  <c r="C1055" i="2"/>
  <c r="D1055" i="2" s="1"/>
  <c r="C1056" i="2"/>
  <c r="C1057" i="2"/>
  <c r="D1057" i="2" s="1"/>
  <c r="C1058" i="2"/>
  <c r="D1058" i="2" s="1"/>
  <c r="C1059" i="2"/>
  <c r="C1060" i="2"/>
  <c r="C1061" i="2"/>
  <c r="D1061" i="2" s="1"/>
  <c r="C1062" i="2"/>
  <c r="D1062" i="2" s="1"/>
  <c r="C1063" i="2"/>
  <c r="D1063" i="2" s="1"/>
  <c r="C1064" i="2"/>
  <c r="D1064" i="2" s="1"/>
  <c r="C1065" i="2"/>
  <c r="D1065" i="2" s="1"/>
  <c r="C1066" i="2"/>
  <c r="D1066" i="2" s="1"/>
  <c r="C1067" i="2"/>
  <c r="D1067" i="2" s="1"/>
  <c r="C1068" i="2"/>
  <c r="D1068" i="2" s="1"/>
  <c r="C1069" i="2"/>
  <c r="C1070" i="2"/>
  <c r="C1071" i="2"/>
  <c r="D1071" i="2" s="1"/>
  <c r="C1072" i="2"/>
  <c r="C1073" i="2"/>
  <c r="D1073" i="2" s="1"/>
  <c r="C1074" i="2"/>
  <c r="D1074" i="2" s="1"/>
  <c r="C1075" i="2"/>
  <c r="C1076" i="2"/>
  <c r="D1076" i="2" s="1"/>
  <c r="C1077" i="2"/>
  <c r="D1077" i="2" s="1"/>
  <c r="C1078" i="2"/>
  <c r="C1079" i="2"/>
  <c r="D1079" i="2" s="1"/>
  <c r="C1080" i="2"/>
  <c r="C1081" i="2"/>
  <c r="D1081" i="2" s="1"/>
  <c r="C1082" i="2"/>
  <c r="C1083" i="2"/>
  <c r="D1083" i="2" s="1"/>
  <c r="C1084" i="2"/>
  <c r="D1084" i="2" s="1"/>
  <c r="C1085" i="2"/>
  <c r="C1086" i="2"/>
  <c r="C1087" i="2"/>
  <c r="D1087" i="2" s="1"/>
  <c r="C1088" i="2"/>
  <c r="C1089" i="2"/>
  <c r="D1089" i="2" s="1"/>
  <c r="C1090" i="2"/>
  <c r="C1091" i="2"/>
  <c r="C1092" i="2"/>
  <c r="D1092" i="2" s="1"/>
  <c r="C1093" i="2"/>
  <c r="D1093" i="2" s="1"/>
  <c r="C1094" i="2"/>
  <c r="C1095" i="2"/>
  <c r="D1095" i="2" s="1"/>
  <c r="C1096" i="2"/>
  <c r="C1097" i="2"/>
  <c r="D1097" i="2" s="1"/>
  <c r="C1098" i="2"/>
  <c r="D1098" i="2" s="1"/>
  <c r="C1099" i="2"/>
  <c r="D1099" i="2" s="1"/>
  <c r="C1100" i="2"/>
  <c r="D1100" i="2" s="1"/>
  <c r="C1101" i="2"/>
  <c r="C1102" i="2"/>
  <c r="C1103" i="2"/>
  <c r="D1103" i="2" s="1"/>
  <c r="C1104" i="2"/>
  <c r="C1105" i="2"/>
  <c r="D1105" i="2" s="1"/>
  <c r="C1106" i="2"/>
  <c r="D1106" i="2" s="1"/>
  <c r="C1107" i="2"/>
  <c r="C1108" i="2"/>
  <c r="D1108" i="2" s="1"/>
  <c r="C1109" i="2"/>
  <c r="D1109" i="2" s="1"/>
  <c r="C1110" i="2"/>
  <c r="C1111" i="2"/>
  <c r="D1111" i="2" s="1"/>
  <c r="C1112" i="2"/>
  <c r="C1113" i="2"/>
  <c r="D1113" i="2" s="1"/>
  <c r="C1114" i="2"/>
  <c r="D1114" i="2" s="1"/>
  <c r="C1115" i="2"/>
  <c r="C1116" i="2"/>
  <c r="C1117" i="2"/>
  <c r="C1118" i="2"/>
  <c r="C1119" i="2"/>
  <c r="D1119" i="2" s="1"/>
  <c r="C1120" i="2"/>
  <c r="C1121" i="2"/>
  <c r="D1121" i="2" s="1"/>
  <c r="C1122" i="2"/>
  <c r="D1122" i="2" s="1"/>
  <c r="C1123" i="2"/>
  <c r="C1124" i="2"/>
  <c r="D1124" i="2" s="1"/>
  <c r="C1125" i="2"/>
  <c r="D1125" i="2" s="1"/>
  <c r="C1126" i="2"/>
  <c r="C1127" i="2"/>
  <c r="D1127" i="2" s="1"/>
  <c r="C1128" i="2"/>
  <c r="D1128" i="2" s="1"/>
  <c r="C1129" i="2"/>
  <c r="D1129" i="2" s="1"/>
  <c r="C1130" i="2"/>
  <c r="D1130" i="2" s="1"/>
  <c r="C1131" i="2"/>
  <c r="D1131" i="2" s="1"/>
  <c r="C1132" i="2"/>
  <c r="D1132" i="2" s="1"/>
  <c r="C1133" i="2"/>
  <c r="C1134" i="2"/>
  <c r="C1135" i="2"/>
  <c r="D1135" i="2" s="1"/>
  <c r="C1136" i="2"/>
  <c r="C1137" i="2"/>
  <c r="D1137" i="2" s="1"/>
  <c r="C1138" i="2"/>
  <c r="C1139" i="2"/>
  <c r="C1140" i="2"/>
  <c r="D1140" i="2" s="1"/>
  <c r="C1141" i="2"/>
  <c r="D1141" i="2" s="1"/>
  <c r="C1142" i="2"/>
  <c r="C1143" i="2"/>
  <c r="D1143" i="2" s="1"/>
  <c r="C1144" i="2"/>
  <c r="C1145" i="2"/>
  <c r="D1145" i="2" s="1"/>
  <c r="C1146" i="2"/>
  <c r="C1147" i="2"/>
  <c r="C1148" i="2"/>
  <c r="C1149" i="2"/>
  <c r="C1150" i="2"/>
  <c r="C1151" i="2"/>
  <c r="D1151" i="2" s="1"/>
  <c r="C1152" i="2"/>
  <c r="D1152" i="2" s="1"/>
  <c r="C1153" i="2"/>
  <c r="D1153" i="2" s="1"/>
  <c r="C1154" i="2"/>
  <c r="D1154" i="2" s="1"/>
  <c r="C1155" i="2"/>
  <c r="C1156" i="2"/>
  <c r="D1156" i="2" s="1"/>
  <c r="C1157" i="2"/>
  <c r="D1157" i="2" s="1"/>
  <c r="C1158" i="2"/>
  <c r="C1159" i="2"/>
  <c r="D1159" i="2" s="1"/>
  <c r="C1160" i="2"/>
  <c r="C1161" i="2"/>
  <c r="D1161" i="2" s="1"/>
  <c r="C1162" i="2"/>
  <c r="C1163" i="2"/>
  <c r="D1163" i="2" s="1"/>
  <c r="C1164" i="2"/>
  <c r="D1164" i="2" s="1"/>
  <c r="C1165" i="2"/>
  <c r="C1166" i="2"/>
  <c r="C1167" i="2"/>
  <c r="D1167" i="2" s="1"/>
  <c r="C1168" i="2"/>
  <c r="C1169" i="2"/>
  <c r="D1169" i="2" s="1"/>
  <c r="C1170" i="2"/>
  <c r="C1171" i="2"/>
  <c r="C1172" i="2"/>
  <c r="D1172" i="2" s="1"/>
  <c r="C1173" i="2"/>
  <c r="D1173" i="2" s="1"/>
  <c r="C1174" i="2"/>
  <c r="D1174" i="2" s="1"/>
  <c r="C1175" i="2"/>
  <c r="D1175" i="2" s="1"/>
  <c r="C1176" i="2"/>
  <c r="C1177" i="2"/>
  <c r="D1177" i="2" s="1"/>
  <c r="C1178" i="2"/>
  <c r="D1178" i="2" s="1"/>
  <c r="C1179" i="2"/>
  <c r="D1179" i="2" s="1"/>
  <c r="C1180" i="2"/>
  <c r="D1180" i="2" s="1"/>
  <c r="C1181" i="2"/>
  <c r="C1182" i="2"/>
  <c r="C1183" i="2"/>
  <c r="D1183" i="2" s="1"/>
  <c r="C1184" i="2"/>
  <c r="C1185" i="2"/>
  <c r="D1185" i="2" s="1"/>
  <c r="C1186" i="2"/>
  <c r="D1186" i="2" s="1"/>
  <c r="C1187" i="2"/>
  <c r="C1188" i="2"/>
  <c r="D1188" i="2" s="1"/>
  <c r="C1189" i="2"/>
  <c r="D1189" i="2" s="1"/>
  <c r="C1190" i="2"/>
  <c r="C1191" i="2"/>
  <c r="D1191" i="2" s="1"/>
  <c r="C1192" i="2"/>
  <c r="C1193" i="2"/>
  <c r="D1193" i="2" s="1"/>
  <c r="C1194" i="2"/>
  <c r="C1195" i="2"/>
  <c r="D1195" i="2" s="1"/>
  <c r="C1196" i="2"/>
  <c r="D1196" i="2" s="1"/>
  <c r="C1197" i="2"/>
  <c r="C1198" i="2"/>
  <c r="C1199" i="2"/>
  <c r="D1199" i="2" s="1"/>
  <c r="C1200" i="2"/>
  <c r="C1201" i="2"/>
  <c r="D1201" i="2" s="1"/>
  <c r="C1202" i="2"/>
  <c r="C1203" i="2"/>
  <c r="C1204" i="2"/>
  <c r="C1205" i="2"/>
  <c r="C1206" i="2"/>
  <c r="C1207" i="2"/>
  <c r="D1207" i="2" s="1"/>
  <c r="C1208" i="2"/>
  <c r="C1209" i="2"/>
  <c r="D1209" i="2" s="1"/>
  <c r="C1210" i="2"/>
  <c r="D1210" i="2" s="1"/>
  <c r="C1211" i="2"/>
  <c r="D1211" i="2" s="1"/>
  <c r="C1212" i="2"/>
  <c r="D1212" i="2" s="1"/>
  <c r="C1213" i="2"/>
  <c r="C1214" i="2"/>
  <c r="C1215" i="2"/>
  <c r="D1215" i="2" s="1"/>
  <c r="C1216" i="2"/>
  <c r="D1216" i="2" s="1"/>
  <c r="C1217" i="2"/>
  <c r="D1217" i="2" s="1"/>
  <c r="C1218" i="2"/>
  <c r="D1218" i="2" s="1"/>
  <c r="C1219" i="2"/>
  <c r="C1220" i="2"/>
  <c r="D1220" i="2" s="1"/>
  <c r="C1221" i="2"/>
  <c r="D1221" i="2" s="1"/>
  <c r="C1222" i="2"/>
  <c r="C1223" i="2"/>
  <c r="D1223" i="2" s="1"/>
  <c r="C1224" i="2"/>
  <c r="C1225" i="2"/>
  <c r="D1225" i="2" s="1"/>
  <c r="C1226" i="2"/>
  <c r="D1226" i="2" s="1"/>
  <c r="C1227" i="2"/>
  <c r="C1228" i="2"/>
  <c r="C1229" i="2"/>
  <c r="C1230" i="2"/>
  <c r="C1231" i="2"/>
  <c r="D1231" i="2" s="1"/>
  <c r="C1232" i="2"/>
  <c r="C1233" i="2"/>
  <c r="D1233" i="2" s="1"/>
  <c r="C1234" i="2"/>
  <c r="D1234" i="2" s="1"/>
  <c r="C1235" i="2"/>
  <c r="C1236" i="2"/>
  <c r="C1237" i="2"/>
  <c r="C1238" i="2"/>
  <c r="D1238" i="2" s="1"/>
  <c r="C1239" i="2"/>
  <c r="D1239" i="2" s="1"/>
  <c r="C1240" i="2"/>
  <c r="D1240" i="2" s="1"/>
  <c r="C1241" i="2"/>
  <c r="D1241" i="2" s="1"/>
  <c r="C1242" i="2"/>
  <c r="D1242" i="2" s="1"/>
  <c r="C1243" i="2"/>
  <c r="D1243" i="2" s="1"/>
  <c r="C1244" i="2"/>
  <c r="D1244" i="2" s="1"/>
  <c r="C1245" i="2"/>
  <c r="C1246" i="2"/>
  <c r="C1247" i="2"/>
  <c r="D1247" i="2" s="1"/>
  <c r="C1248" i="2"/>
  <c r="C1249" i="2"/>
  <c r="D1249" i="2" s="1"/>
  <c r="C1250" i="2"/>
  <c r="C1251" i="2"/>
  <c r="D1251" i="2" s="1"/>
  <c r="C1252" i="2"/>
  <c r="D1252" i="2" s="1"/>
  <c r="C1253" i="2"/>
  <c r="D1253" i="2" s="1"/>
  <c r="C1254" i="2"/>
  <c r="C1255" i="2"/>
  <c r="D1255" i="2" s="1"/>
  <c r="C1256" i="2"/>
  <c r="C1257" i="2"/>
  <c r="D1257" i="2" s="1"/>
  <c r="C1258" i="2"/>
  <c r="C1259" i="2"/>
  <c r="C1260" i="2"/>
  <c r="D1260" i="2" s="1"/>
  <c r="C1261" i="2"/>
  <c r="C1262" i="2"/>
  <c r="C1263" i="2"/>
  <c r="D1263" i="2" s="1"/>
  <c r="C1264" i="2"/>
  <c r="D1264" i="2" s="1"/>
  <c r="C1265" i="2"/>
  <c r="D1265" i="2" s="1"/>
  <c r="C1266" i="2"/>
  <c r="D1266" i="2" s="1"/>
  <c r="C1267" i="2"/>
  <c r="C1268" i="2"/>
  <c r="D1268" i="2" s="1"/>
  <c r="C1269" i="2"/>
  <c r="D1269" i="2" s="1"/>
  <c r="C1270" i="2"/>
  <c r="C1271" i="2"/>
  <c r="D1271" i="2" s="1"/>
  <c r="C1272" i="2"/>
  <c r="C1273" i="2"/>
  <c r="D1273" i="2" s="1"/>
  <c r="C1274" i="2"/>
  <c r="C1275" i="2"/>
  <c r="C1276" i="2"/>
  <c r="D1276" i="2" s="1"/>
  <c r="C1277" i="2"/>
  <c r="C1278" i="2"/>
  <c r="C1279" i="2"/>
  <c r="D1279" i="2" s="1"/>
  <c r="C1280" i="2"/>
  <c r="C1281" i="2"/>
  <c r="D1281" i="2" s="1"/>
  <c r="C1282" i="2"/>
  <c r="D1282" i="2" s="1"/>
  <c r="C1283" i="2"/>
  <c r="C1284" i="2"/>
  <c r="C1285" i="2"/>
  <c r="D1285" i="2" s="1"/>
  <c r="C1286" i="2"/>
  <c r="D1286" i="2" s="1"/>
  <c r="C1287" i="2"/>
  <c r="D1287" i="2" s="1"/>
  <c r="C1288" i="2"/>
  <c r="D1288" i="2" s="1"/>
  <c r="C1289" i="2"/>
  <c r="D1289" i="2" s="1"/>
  <c r="C1290" i="2"/>
  <c r="D1290" i="2" s="1"/>
  <c r="C1291" i="2"/>
  <c r="D1291" i="2" s="1"/>
  <c r="C1292" i="2"/>
  <c r="D1292" i="2" s="1"/>
  <c r="C1293" i="2"/>
  <c r="C1294" i="2"/>
  <c r="C1295" i="2"/>
  <c r="D1295" i="2" s="1"/>
  <c r="C1296" i="2"/>
  <c r="C1297" i="2"/>
  <c r="D1297" i="2" s="1"/>
  <c r="C1298" i="2"/>
  <c r="C1299" i="2"/>
  <c r="C1300" i="2"/>
  <c r="D1300" i="2" s="1"/>
  <c r="C1301" i="2"/>
  <c r="D1301" i="2" s="1"/>
  <c r="C1302" i="2"/>
  <c r="C1303" i="2"/>
  <c r="D1303" i="2" s="1"/>
  <c r="C1304" i="2"/>
  <c r="C1305" i="2"/>
  <c r="D1305" i="2" s="1"/>
  <c r="C1306" i="2"/>
  <c r="C1307" i="2"/>
  <c r="C1308" i="2"/>
  <c r="C1309" i="2"/>
  <c r="C1310" i="2"/>
  <c r="C1311" i="2"/>
  <c r="D1311" i="2" s="1"/>
  <c r="C1312" i="2"/>
  <c r="D1312" i="2" s="1"/>
  <c r="C1313" i="2"/>
  <c r="D1313" i="2" s="1"/>
  <c r="C1314" i="2"/>
  <c r="D1314" i="2" s="1"/>
  <c r="C1315" i="2"/>
  <c r="C1316" i="2"/>
  <c r="C1317" i="2"/>
  <c r="D1317" i="2" s="1"/>
  <c r="C1318" i="2"/>
  <c r="C1319" i="2"/>
  <c r="D1319" i="2" s="1"/>
  <c r="C1320" i="2"/>
  <c r="C1321" i="2"/>
  <c r="D1321" i="2" s="1"/>
  <c r="C1322" i="2"/>
  <c r="D1322" i="2" s="1"/>
  <c r="C1323" i="2"/>
  <c r="D1323" i="2" s="1"/>
  <c r="C1324" i="2"/>
  <c r="D1324" i="2" s="1"/>
  <c r="C1325" i="2"/>
  <c r="C1326" i="2"/>
  <c r="C1327" i="2"/>
  <c r="D1327" i="2" s="1"/>
  <c r="C1328" i="2"/>
  <c r="C1329" i="2"/>
  <c r="D1329" i="2" s="1"/>
  <c r="C1330" i="2"/>
  <c r="C1331" i="2"/>
  <c r="C1332" i="2"/>
  <c r="D1332" i="2" s="1"/>
  <c r="C1333" i="2"/>
  <c r="D1333" i="2" s="1"/>
  <c r="C1334" i="2"/>
  <c r="D1334" i="2" s="1"/>
  <c r="C1335" i="2"/>
  <c r="D1335" i="2" s="1"/>
  <c r="C1336" i="2"/>
  <c r="D1336" i="2" s="1"/>
  <c r="C1337" i="2"/>
  <c r="D1337" i="2" s="1"/>
  <c r="C1338" i="2"/>
  <c r="D1338" i="2" s="1"/>
  <c r="C1339" i="2"/>
  <c r="D1339" i="2" s="1"/>
  <c r="C1340" i="2"/>
  <c r="D1340" i="2" s="1"/>
  <c r="C1341" i="2"/>
  <c r="C1342" i="2"/>
  <c r="C1343" i="2"/>
  <c r="D1343" i="2" s="1"/>
  <c r="C1344" i="2"/>
  <c r="C1345" i="2"/>
  <c r="D1345" i="2" s="1"/>
  <c r="C1346" i="2"/>
  <c r="D1346" i="2" s="1"/>
  <c r="C1347" i="2"/>
  <c r="C1348" i="2"/>
  <c r="D1348" i="2" s="1"/>
  <c r="C1349" i="2"/>
  <c r="D1349" i="2" s="1"/>
  <c r="C1350" i="2"/>
  <c r="C1351" i="2"/>
  <c r="D1351" i="2" s="1"/>
  <c r="C1352" i="2"/>
  <c r="C1353" i="2"/>
  <c r="D1353" i="2" s="1"/>
  <c r="C1354" i="2"/>
  <c r="C1355" i="2"/>
  <c r="D1355" i="2" s="1"/>
  <c r="C1356" i="2"/>
  <c r="D1356" i="2" s="1"/>
  <c r="C1357" i="2"/>
  <c r="C1358" i="2"/>
  <c r="C1359" i="2"/>
  <c r="D1359" i="2" s="1"/>
  <c r="C1360" i="2"/>
  <c r="C1361" i="2"/>
  <c r="D1361" i="2" s="1"/>
  <c r="C1362" i="2"/>
  <c r="D1362" i="2" s="1"/>
  <c r="C1363" i="2"/>
  <c r="C1364" i="2"/>
  <c r="D1364" i="2" s="1"/>
  <c r="C1365" i="2"/>
  <c r="D1365" i="2" s="1"/>
  <c r="C1366" i="2"/>
  <c r="C1367" i="2"/>
  <c r="D1367" i="2" s="1"/>
  <c r="C1368" i="2"/>
  <c r="C1369" i="2"/>
  <c r="D1369" i="2" s="1"/>
  <c r="C1370" i="2"/>
  <c r="D1370" i="2" s="1"/>
  <c r="C1371" i="2"/>
  <c r="D1371" i="2" s="1"/>
  <c r="C1372" i="2"/>
  <c r="D1372" i="2" s="1"/>
  <c r="C1373" i="2"/>
  <c r="C1374" i="2"/>
  <c r="C1375" i="2"/>
  <c r="D1375" i="2" s="1"/>
  <c r="C1376" i="2"/>
  <c r="C1377" i="2"/>
  <c r="D1377" i="2" s="1"/>
  <c r="C1378" i="2"/>
  <c r="C1379" i="2"/>
  <c r="C1380" i="2"/>
  <c r="D1380" i="2" s="1"/>
  <c r="C1381" i="2"/>
  <c r="D1381" i="2" s="1"/>
  <c r="C1382" i="2"/>
  <c r="C1383" i="2"/>
  <c r="D1383" i="2" s="1"/>
  <c r="C1384" i="2"/>
  <c r="C1385" i="2"/>
  <c r="D1385" i="2" s="1"/>
  <c r="C1386" i="2"/>
  <c r="C1387" i="2"/>
  <c r="D1387" i="2" s="1"/>
  <c r="C1388" i="2"/>
  <c r="D1388" i="2" s="1"/>
  <c r="C1389" i="2"/>
  <c r="C1390" i="2"/>
  <c r="C1391" i="2"/>
  <c r="D1391" i="2" s="1"/>
  <c r="C1392" i="2"/>
  <c r="C1393" i="2"/>
  <c r="D1393" i="2" s="1"/>
  <c r="C1394" i="2"/>
  <c r="D1394" i="2" s="1"/>
  <c r="C1395" i="2"/>
  <c r="C1396" i="2"/>
  <c r="D1396" i="2" s="1"/>
  <c r="C1397" i="2"/>
  <c r="D1397" i="2" s="1"/>
  <c r="C1398" i="2"/>
  <c r="C1399" i="2"/>
  <c r="D1399" i="2" s="1"/>
  <c r="C1400" i="2"/>
  <c r="C1401" i="2"/>
  <c r="D1401" i="2" s="1"/>
  <c r="C1402" i="2"/>
  <c r="C1403" i="2"/>
  <c r="D1403" i="2" s="1"/>
  <c r="C1404" i="2"/>
  <c r="D1404" i="2" s="1"/>
  <c r="C1405" i="2"/>
  <c r="C1406" i="2"/>
  <c r="C1407" i="2"/>
  <c r="D1407" i="2" s="1"/>
  <c r="C1408" i="2"/>
  <c r="D1408" i="2" s="1"/>
  <c r="C1409" i="2"/>
  <c r="D1409" i="2" s="1"/>
  <c r="C1410" i="2"/>
  <c r="D1410" i="2" s="1"/>
  <c r="C1411" i="2"/>
  <c r="C1412" i="2"/>
  <c r="D1412" i="2" s="1"/>
  <c r="C1413" i="2"/>
  <c r="D1413" i="2" s="1"/>
  <c r="C1414" i="2"/>
  <c r="C1415" i="2"/>
  <c r="D1415" i="2" s="1"/>
  <c r="C1416" i="2"/>
  <c r="C1417" i="2"/>
  <c r="D1417" i="2" s="1"/>
  <c r="C1418" i="2"/>
  <c r="D1418" i="2" s="1"/>
  <c r="C1419" i="2"/>
  <c r="D1419" i="2" s="1"/>
  <c r="C1420" i="2"/>
  <c r="D1420" i="2" s="1"/>
  <c r="C1421" i="2"/>
  <c r="C1422" i="2"/>
  <c r="C1423" i="2"/>
  <c r="D1423" i="2" s="1"/>
  <c r="C1424" i="2"/>
  <c r="C1425" i="2"/>
  <c r="D1425" i="2" s="1"/>
  <c r="C1426" i="2"/>
  <c r="C1427" i="2"/>
  <c r="C1428" i="2"/>
  <c r="D1428" i="2" s="1"/>
  <c r="C1429" i="2"/>
  <c r="D1429" i="2" s="1"/>
  <c r="C1430" i="2"/>
  <c r="C1431" i="2"/>
  <c r="D1431" i="2" s="1"/>
  <c r="C1432" i="2"/>
  <c r="C1433" i="2"/>
  <c r="D1433" i="2" s="1"/>
  <c r="C1434" i="2"/>
  <c r="C1435" i="2"/>
  <c r="D1435" i="2" s="1"/>
  <c r="C1436" i="2"/>
  <c r="D1436" i="2" s="1"/>
  <c r="C1437" i="2"/>
  <c r="C1438" i="2"/>
  <c r="C1439" i="2"/>
  <c r="D1439" i="2" s="1"/>
  <c r="C1440" i="2"/>
  <c r="C1441" i="2"/>
  <c r="D1441" i="2" s="1"/>
  <c r="C1442" i="2"/>
  <c r="D1442" i="2" s="1"/>
  <c r="C1443" i="2"/>
  <c r="C1444" i="2"/>
  <c r="D1444" i="2" s="1"/>
  <c r="C1445" i="2"/>
  <c r="D1445" i="2" s="1"/>
  <c r="C1446" i="2"/>
  <c r="C1447" i="2"/>
  <c r="D1447" i="2" s="1"/>
  <c r="C1448" i="2"/>
  <c r="C1449" i="2"/>
  <c r="D1449" i="2" s="1"/>
  <c r="C1450" i="2"/>
  <c r="D1450" i="2" s="1"/>
  <c r="C1451" i="2"/>
  <c r="D1451" i="2" s="1"/>
  <c r="C1452" i="2"/>
  <c r="D1452" i="2" s="1"/>
  <c r="C1453" i="2"/>
  <c r="C1454" i="2"/>
  <c r="C1455" i="2"/>
  <c r="D1455" i="2" s="1"/>
  <c r="C1456" i="2"/>
  <c r="C1457" i="2"/>
  <c r="D1457" i="2" s="1"/>
  <c r="C1458" i="2"/>
  <c r="D1458" i="2" s="1"/>
  <c r="C1459" i="2"/>
  <c r="C1460" i="2"/>
  <c r="C1461" i="2"/>
  <c r="D1461" i="2" s="1"/>
  <c r="C1462" i="2"/>
  <c r="C1463" i="2"/>
  <c r="D1463" i="2" s="1"/>
  <c r="C1464" i="2"/>
  <c r="C1465" i="2"/>
  <c r="D1465" i="2" s="1"/>
  <c r="C1466" i="2"/>
  <c r="D1466" i="2" s="1"/>
  <c r="C1467" i="2"/>
  <c r="D1467" i="2" s="1"/>
  <c r="C1468" i="2"/>
  <c r="D1468" i="2" s="1"/>
  <c r="C1469" i="2"/>
  <c r="C1470" i="2"/>
  <c r="C1471" i="2"/>
  <c r="D1471" i="2" s="1"/>
  <c r="C1472" i="2"/>
  <c r="D1472" i="2" s="1"/>
  <c r="C1473" i="2"/>
  <c r="D1473" i="2" s="1"/>
  <c r="C1474" i="2"/>
  <c r="D1474" i="2" s="1"/>
  <c r="C1475" i="2"/>
  <c r="C1476" i="2"/>
  <c r="D1476" i="2" s="1"/>
  <c r="C1477" i="2"/>
  <c r="D1477" i="2" s="1"/>
  <c r="C1478" i="2"/>
  <c r="C1479" i="2"/>
  <c r="D1479" i="2" s="1"/>
  <c r="C1480" i="2"/>
  <c r="C1481" i="2"/>
  <c r="D1481" i="2" s="1"/>
  <c r="C1482" i="2"/>
  <c r="C1483" i="2"/>
  <c r="C1484" i="2"/>
  <c r="D1484" i="2" s="1"/>
  <c r="C1485" i="2"/>
  <c r="C1486" i="2"/>
  <c r="C1487" i="2"/>
  <c r="D1487" i="2" s="1"/>
  <c r="C1488" i="2"/>
  <c r="C1489" i="2"/>
  <c r="D1489" i="2" s="1"/>
  <c r="C1490" i="2"/>
  <c r="D1490" i="2" s="1"/>
  <c r="C1491" i="2"/>
  <c r="C1492" i="2"/>
  <c r="C1493" i="2"/>
  <c r="D1493" i="2" s="1"/>
  <c r="C1494" i="2"/>
  <c r="D1494" i="2" s="1"/>
  <c r="C1495" i="2"/>
  <c r="D1495" i="2" s="1"/>
  <c r="C1496" i="2"/>
  <c r="D1496" i="2" s="1"/>
  <c r="C1497" i="2"/>
  <c r="D1497" i="2" s="1"/>
  <c r="C1498" i="2"/>
  <c r="D1498" i="2" s="1"/>
  <c r="C1499" i="2"/>
  <c r="D1499" i="2" s="1"/>
  <c r="C1500" i="2"/>
  <c r="D1500" i="2" s="1"/>
  <c r="C1501" i="2"/>
  <c r="C1502" i="2"/>
  <c r="C1503" i="2"/>
  <c r="D1503" i="2" s="1"/>
  <c r="C1504" i="2"/>
  <c r="C1505" i="2"/>
  <c r="D1505" i="2" s="1"/>
  <c r="C1506" i="2"/>
  <c r="C1507" i="2"/>
  <c r="C1508" i="2"/>
  <c r="D1508" i="2" s="1"/>
  <c r="C1509" i="2"/>
  <c r="D1509" i="2" s="1"/>
  <c r="C1510" i="2"/>
  <c r="C1511" i="2"/>
  <c r="D1511" i="2" s="1"/>
  <c r="C1512" i="2"/>
  <c r="C1513" i="2"/>
  <c r="D1513" i="2" s="1"/>
  <c r="C1514" i="2"/>
  <c r="C1515" i="2"/>
  <c r="C1516" i="2"/>
  <c r="D1516" i="2" s="1"/>
  <c r="C1517" i="2"/>
  <c r="C1518" i="2"/>
  <c r="C1519" i="2"/>
  <c r="D1519" i="2" s="1"/>
  <c r="C1520" i="2"/>
  <c r="C1521" i="2"/>
  <c r="D1521" i="2" s="1"/>
  <c r="C1522" i="2"/>
  <c r="D1522" i="2" s="1"/>
  <c r="C1523" i="2"/>
  <c r="C1524" i="2"/>
  <c r="D1524" i="2" s="1"/>
  <c r="C1525" i="2"/>
  <c r="D1525" i="2" s="1"/>
  <c r="C1526" i="2"/>
  <c r="C1527" i="2"/>
  <c r="D1527" i="2" s="1"/>
  <c r="C1528" i="2"/>
  <c r="C1529" i="2"/>
  <c r="D1529" i="2" s="1"/>
  <c r="C1530" i="2"/>
  <c r="D1530" i="2" s="1"/>
  <c r="C1" i="2"/>
  <c r="D1" i="2" s="1"/>
  <c r="D2" i="2"/>
  <c r="D3" i="2"/>
  <c r="D6" i="2"/>
  <c r="D7" i="2"/>
  <c r="D8" i="2"/>
  <c r="D11" i="2"/>
  <c r="D12" i="2"/>
  <c r="D13" i="2"/>
  <c r="D14" i="2"/>
  <c r="D16" i="2"/>
  <c r="D19" i="2"/>
  <c r="D20" i="2"/>
  <c r="D21" i="2"/>
  <c r="D22" i="2"/>
  <c r="D23" i="2"/>
  <c r="D24" i="2"/>
  <c r="D29" i="2"/>
  <c r="D30" i="2"/>
  <c r="D32" i="2"/>
  <c r="D35" i="2"/>
  <c r="D38" i="2"/>
  <c r="D40" i="2"/>
  <c r="D42" i="2"/>
  <c r="D45" i="2"/>
  <c r="D46" i="2"/>
  <c r="D47" i="2"/>
  <c r="D48" i="2"/>
  <c r="D51" i="2"/>
  <c r="D52" i="2"/>
  <c r="D54" i="2"/>
  <c r="D56" i="2"/>
  <c r="D61" i="2"/>
  <c r="D62" i="2"/>
  <c r="D67" i="2"/>
  <c r="D70" i="2"/>
  <c r="D71" i="2"/>
  <c r="D72" i="2"/>
  <c r="D77" i="2"/>
  <c r="D78" i="2"/>
  <c r="D80" i="2"/>
  <c r="D82" i="2"/>
  <c r="D83" i="2"/>
  <c r="D86" i="2"/>
  <c r="D87" i="2"/>
  <c r="D88" i="2"/>
  <c r="D91" i="2"/>
  <c r="D92" i="2"/>
  <c r="D93" i="2"/>
  <c r="D94" i="2"/>
  <c r="D96" i="2"/>
  <c r="D99" i="2"/>
  <c r="D100" i="2"/>
  <c r="D101" i="2"/>
  <c r="D102" i="2"/>
  <c r="D104" i="2"/>
  <c r="D109" i="2"/>
  <c r="D110" i="2"/>
  <c r="D111" i="2"/>
  <c r="D112" i="2"/>
  <c r="D115" i="2"/>
  <c r="D118" i="2"/>
  <c r="D120" i="2"/>
  <c r="D122" i="2"/>
  <c r="D125" i="2"/>
  <c r="D126" i="2"/>
  <c r="D128" i="2"/>
  <c r="D130" i="2"/>
  <c r="D131" i="2"/>
  <c r="D132" i="2"/>
  <c r="D133" i="2"/>
  <c r="D134" i="2"/>
  <c r="D135" i="2"/>
  <c r="D136" i="2"/>
  <c r="D141" i="2"/>
  <c r="D142" i="2"/>
  <c r="D147" i="2"/>
  <c r="D150" i="2"/>
  <c r="D151" i="2"/>
  <c r="D152" i="2"/>
  <c r="D157" i="2"/>
  <c r="D158" i="2"/>
  <c r="D160" i="2"/>
  <c r="D162" i="2"/>
  <c r="D163" i="2"/>
  <c r="D166" i="2"/>
  <c r="D168" i="2"/>
  <c r="D170" i="2"/>
  <c r="D173" i="2"/>
  <c r="D174" i="2"/>
  <c r="D175" i="2"/>
  <c r="D176" i="2"/>
  <c r="D179" i="2"/>
  <c r="D180" i="2"/>
  <c r="D181" i="2"/>
  <c r="D182" i="2"/>
  <c r="D184" i="2"/>
  <c r="D189" i="2"/>
  <c r="D190" i="2"/>
  <c r="D192" i="2"/>
  <c r="D194" i="2"/>
  <c r="D195" i="2"/>
  <c r="D198" i="2"/>
  <c r="D199" i="2"/>
  <c r="D200" i="2"/>
  <c r="D202" i="2"/>
  <c r="D205" i="2"/>
  <c r="D206" i="2"/>
  <c r="D208" i="2"/>
  <c r="D210" i="2"/>
  <c r="D211" i="2"/>
  <c r="D212" i="2"/>
  <c r="D213" i="2"/>
  <c r="D214" i="2"/>
  <c r="D215" i="2"/>
  <c r="D216" i="2"/>
  <c r="D221" i="2"/>
  <c r="D222" i="2"/>
  <c r="D227" i="2"/>
  <c r="D230" i="2"/>
  <c r="D232" i="2"/>
  <c r="D234" i="2"/>
  <c r="D237" i="2"/>
  <c r="D238" i="2"/>
  <c r="D240" i="2"/>
  <c r="D242" i="2"/>
  <c r="D243" i="2"/>
  <c r="D246" i="2"/>
  <c r="D248" i="2"/>
  <c r="D253" i="2"/>
  <c r="D254" i="2"/>
  <c r="D256" i="2"/>
  <c r="D259" i="2"/>
  <c r="D262" i="2"/>
  <c r="D263" i="2"/>
  <c r="D264" i="2"/>
  <c r="D269" i="2"/>
  <c r="D270" i="2"/>
  <c r="D274" i="2"/>
  <c r="D275" i="2"/>
  <c r="D278" i="2"/>
  <c r="D279" i="2"/>
  <c r="D280" i="2"/>
  <c r="D282" i="2"/>
  <c r="D283" i="2"/>
  <c r="D285" i="2"/>
  <c r="D286" i="2"/>
  <c r="D288" i="2"/>
  <c r="D291" i="2"/>
  <c r="D294" i="2"/>
  <c r="D296" i="2"/>
  <c r="D301" i="2"/>
  <c r="D302" i="2"/>
  <c r="D304" i="2"/>
  <c r="D307" i="2"/>
  <c r="D310" i="2"/>
  <c r="D312" i="2"/>
  <c r="D315" i="2"/>
  <c r="D316" i="2"/>
  <c r="D317" i="2"/>
  <c r="D318" i="2"/>
  <c r="D320" i="2"/>
  <c r="D323" i="2"/>
  <c r="D324" i="2"/>
  <c r="D325" i="2"/>
  <c r="D326" i="2"/>
  <c r="D328" i="2"/>
  <c r="D333" i="2"/>
  <c r="D334" i="2"/>
  <c r="D336" i="2"/>
  <c r="D339" i="2"/>
  <c r="D342" i="2"/>
  <c r="D343" i="2"/>
  <c r="D344" i="2"/>
  <c r="D349" i="2"/>
  <c r="D350" i="2"/>
  <c r="D352" i="2"/>
  <c r="D355" i="2"/>
  <c r="D356" i="2"/>
  <c r="D358" i="2"/>
  <c r="D360" i="2"/>
  <c r="D365" i="2"/>
  <c r="D366" i="2"/>
  <c r="D371" i="2"/>
  <c r="D374" i="2"/>
  <c r="D376" i="2"/>
  <c r="D378" i="2"/>
  <c r="D381" i="2"/>
  <c r="D382" i="2"/>
  <c r="D384" i="2"/>
  <c r="D386" i="2"/>
  <c r="D387" i="2"/>
  <c r="D390" i="2"/>
  <c r="D391" i="2"/>
  <c r="D392" i="2"/>
  <c r="D394" i="2"/>
  <c r="D397" i="2"/>
  <c r="D398" i="2"/>
  <c r="D400" i="2"/>
  <c r="D403" i="2"/>
  <c r="D404" i="2"/>
  <c r="D406" i="2"/>
  <c r="D408" i="2"/>
  <c r="D413" i="2"/>
  <c r="D414" i="2"/>
  <c r="D416" i="2"/>
  <c r="D418" i="2"/>
  <c r="D419" i="2"/>
  <c r="D422" i="2"/>
  <c r="D424" i="2"/>
  <c r="D426" i="2"/>
  <c r="D427" i="2"/>
  <c r="D429" i="2"/>
  <c r="D430" i="2"/>
  <c r="D432" i="2"/>
  <c r="D435" i="2"/>
  <c r="D438" i="2"/>
  <c r="D440" i="2"/>
  <c r="D445" i="2"/>
  <c r="D446" i="2"/>
  <c r="D447" i="2"/>
  <c r="D451" i="2"/>
  <c r="D454" i="2"/>
  <c r="D456" i="2"/>
  <c r="D458" i="2"/>
  <c r="D459" i="2"/>
  <c r="D461" i="2"/>
  <c r="D462" i="2"/>
  <c r="D464" i="2"/>
  <c r="D467" i="2"/>
  <c r="D468" i="2"/>
  <c r="D470" i="2"/>
  <c r="D472" i="2"/>
  <c r="D477" i="2"/>
  <c r="D478" i="2"/>
  <c r="D480" i="2"/>
  <c r="D483" i="2"/>
  <c r="D486" i="2"/>
  <c r="D488" i="2"/>
  <c r="D490" i="2"/>
  <c r="D493" i="2"/>
  <c r="D494" i="2"/>
  <c r="D495" i="2"/>
  <c r="D496" i="2"/>
  <c r="D499" i="2"/>
  <c r="D500" i="2"/>
  <c r="D502" i="2"/>
  <c r="D504" i="2"/>
  <c r="D509" i="2"/>
  <c r="D510" i="2"/>
  <c r="D511" i="2"/>
  <c r="D515" i="2"/>
  <c r="D516" i="2"/>
  <c r="D518" i="2"/>
  <c r="D520" i="2"/>
  <c r="D525" i="2"/>
  <c r="D526" i="2"/>
  <c r="D528" i="2"/>
  <c r="D530" i="2"/>
  <c r="D531" i="2"/>
  <c r="D534" i="2"/>
  <c r="D536" i="2"/>
  <c r="D538" i="2"/>
  <c r="D541" i="2"/>
  <c r="D542" i="2"/>
  <c r="D544" i="2"/>
  <c r="D547" i="2"/>
  <c r="D548" i="2"/>
  <c r="D550" i="2"/>
  <c r="D552" i="2"/>
  <c r="D557" i="2"/>
  <c r="D558" i="2"/>
  <c r="D562" i="2"/>
  <c r="D563" i="2"/>
  <c r="D566" i="2"/>
  <c r="D568" i="2"/>
  <c r="D570" i="2"/>
  <c r="D571" i="2"/>
  <c r="D572" i="2"/>
  <c r="D573" i="2"/>
  <c r="D574" i="2"/>
  <c r="D579" i="2"/>
  <c r="D580" i="2"/>
  <c r="D582" i="2"/>
  <c r="D584" i="2"/>
  <c r="D589" i="2"/>
  <c r="D590" i="2"/>
  <c r="D592" i="2"/>
  <c r="D594" i="2"/>
  <c r="D595" i="2"/>
  <c r="D598" i="2"/>
  <c r="D599" i="2"/>
  <c r="D600" i="2"/>
  <c r="D603" i="2"/>
  <c r="D604" i="2"/>
  <c r="D605" i="2"/>
  <c r="D606" i="2"/>
  <c r="D608" i="2"/>
  <c r="D611" i="2"/>
  <c r="D612" i="2"/>
  <c r="D613" i="2"/>
  <c r="D614" i="2"/>
  <c r="D616" i="2"/>
  <c r="D621" i="2"/>
  <c r="D622" i="2"/>
  <c r="D624" i="2"/>
  <c r="D626" i="2"/>
  <c r="D627" i="2"/>
  <c r="D630" i="2"/>
  <c r="D632" i="2"/>
  <c r="D634" i="2"/>
  <c r="D635" i="2"/>
  <c r="D637" i="2"/>
  <c r="D638" i="2"/>
  <c r="D640" i="2"/>
  <c r="D643" i="2"/>
  <c r="D646" i="2"/>
  <c r="D648" i="2"/>
  <c r="D653" i="2"/>
  <c r="D654" i="2"/>
  <c r="D656" i="2"/>
  <c r="D659" i="2"/>
  <c r="D662" i="2"/>
  <c r="D663" i="2"/>
  <c r="D664" i="2"/>
  <c r="D666" i="2"/>
  <c r="D667" i="2"/>
  <c r="D669" i="2"/>
  <c r="D670" i="2"/>
  <c r="D672" i="2"/>
  <c r="D675" i="2"/>
  <c r="D676" i="2"/>
  <c r="D678" i="2"/>
  <c r="D680" i="2"/>
  <c r="D685" i="2"/>
  <c r="D686" i="2"/>
  <c r="D688" i="2"/>
  <c r="D691" i="2"/>
  <c r="D694" i="2"/>
  <c r="D696" i="2"/>
  <c r="D698" i="2"/>
  <c r="D701" i="2"/>
  <c r="D702" i="2"/>
  <c r="D704" i="2"/>
  <c r="D706" i="2"/>
  <c r="D707" i="2"/>
  <c r="D708" i="2"/>
  <c r="D709" i="2"/>
  <c r="D710" i="2"/>
  <c r="D712" i="2"/>
  <c r="D717" i="2"/>
  <c r="D718" i="2"/>
  <c r="D723" i="2"/>
  <c r="D726" i="2"/>
  <c r="D728" i="2"/>
  <c r="D730" i="2"/>
  <c r="D731" i="2"/>
  <c r="D733" i="2"/>
  <c r="D734" i="2"/>
  <c r="D736" i="2"/>
  <c r="D739" i="2"/>
  <c r="D740" i="2"/>
  <c r="D742" i="2"/>
  <c r="F742" i="2" s="1"/>
  <c r="D744" i="2"/>
  <c r="F744" i="2" s="1"/>
  <c r="D749" i="2"/>
  <c r="D750" i="2"/>
  <c r="D752" i="2"/>
  <c r="D755" i="2"/>
  <c r="D758" i="2"/>
  <c r="D760" i="2"/>
  <c r="D762" i="2"/>
  <c r="D765" i="2"/>
  <c r="D766" i="2"/>
  <c r="D768" i="2"/>
  <c r="D770" i="2"/>
  <c r="D771" i="2"/>
  <c r="D772" i="2"/>
  <c r="D773" i="2"/>
  <c r="D774" i="2"/>
  <c r="D776" i="2"/>
  <c r="D781" i="2"/>
  <c r="D782" i="2"/>
  <c r="D787" i="2"/>
  <c r="D790" i="2"/>
  <c r="D792" i="2"/>
  <c r="D794" i="2"/>
  <c r="D795" i="2"/>
  <c r="D797" i="2"/>
  <c r="D798" i="2"/>
  <c r="D800" i="2"/>
  <c r="D803" i="2"/>
  <c r="D804" i="2"/>
  <c r="D806" i="2"/>
  <c r="D808" i="2"/>
  <c r="D813" i="2"/>
  <c r="D814" i="2"/>
  <c r="D816" i="2"/>
  <c r="D819" i="2"/>
  <c r="D822" i="2"/>
  <c r="D824" i="2"/>
  <c r="D826" i="2"/>
  <c r="D829" i="2"/>
  <c r="D830" i="2"/>
  <c r="D832" i="2"/>
  <c r="D834" i="2"/>
  <c r="D835" i="2"/>
  <c r="D836" i="2"/>
  <c r="D837" i="2"/>
  <c r="D838" i="2"/>
  <c r="D840" i="2"/>
  <c r="D845" i="2"/>
  <c r="D846" i="2"/>
  <c r="D851" i="2"/>
  <c r="D854" i="2"/>
  <c r="D856" i="2"/>
  <c r="D858" i="2"/>
  <c r="D859" i="2"/>
  <c r="D861" i="2"/>
  <c r="D862" i="2"/>
  <c r="D864" i="2"/>
  <c r="D867" i="2"/>
  <c r="D868" i="2"/>
  <c r="D870" i="2"/>
  <c r="D872" i="2"/>
  <c r="D877" i="2"/>
  <c r="D878" i="2"/>
  <c r="D880" i="2"/>
  <c r="D883" i="2"/>
  <c r="D886" i="2"/>
  <c r="D888" i="2"/>
  <c r="D890" i="2"/>
  <c r="D893" i="2"/>
  <c r="D894" i="2"/>
  <c r="D896" i="2"/>
  <c r="D898" i="2"/>
  <c r="D899" i="2"/>
  <c r="D900" i="2"/>
  <c r="D901" i="2"/>
  <c r="D902" i="2"/>
  <c r="D904" i="2"/>
  <c r="D909" i="2"/>
  <c r="D910" i="2"/>
  <c r="D915" i="2"/>
  <c r="D918" i="2"/>
  <c r="D920" i="2"/>
  <c r="D922" i="2"/>
  <c r="D923" i="2"/>
  <c r="D925" i="2"/>
  <c r="D926" i="2"/>
  <c r="D928" i="2"/>
  <c r="D931" i="2"/>
  <c r="D932" i="2"/>
  <c r="D934" i="2"/>
  <c r="D936" i="2"/>
  <c r="D941" i="2"/>
  <c r="D942" i="2"/>
  <c r="D944" i="2"/>
  <c r="D947" i="2"/>
  <c r="D950" i="2"/>
  <c r="D952" i="2"/>
  <c r="D954" i="2"/>
  <c r="D957" i="2"/>
  <c r="D958" i="2"/>
  <c r="D960" i="2"/>
  <c r="D962" i="2"/>
  <c r="D963" i="2"/>
  <c r="D964" i="2"/>
  <c r="D965" i="2"/>
  <c r="D966" i="2"/>
  <c r="D968" i="2"/>
  <c r="D973" i="2"/>
  <c r="D974" i="2"/>
  <c r="D979" i="2"/>
  <c r="D982" i="2"/>
  <c r="D984" i="2"/>
  <c r="D986" i="2"/>
  <c r="D987" i="2"/>
  <c r="D989" i="2"/>
  <c r="D990" i="2"/>
  <c r="D992" i="2"/>
  <c r="D995" i="2"/>
  <c r="D996" i="2"/>
  <c r="D998" i="2"/>
  <c r="D1000" i="2"/>
  <c r="D1005" i="2"/>
  <c r="D1006" i="2"/>
  <c r="D1008" i="2"/>
  <c r="D1011" i="2"/>
  <c r="D1014" i="2"/>
  <c r="D1016" i="2"/>
  <c r="D1018" i="2"/>
  <c r="D1021" i="2"/>
  <c r="D1022" i="2"/>
  <c r="D1024" i="2"/>
  <c r="D1026" i="2"/>
  <c r="D1027" i="2"/>
  <c r="D1028" i="2"/>
  <c r="D1029" i="2"/>
  <c r="D1030" i="2"/>
  <c r="D1032" i="2"/>
  <c r="D1037" i="2"/>
  <c r="D1038" i="2"/>
  <c r="D1043" i="2"/>
  <c r="D1046" i="2"/>
  <c r="D1048" i="2"/>
  <c r="D1050" i="2"/>
  <c r="D1051" i="2"/>
  <c r="D1053" i="2"/>
  <c r="D1054" i="2"/>
  <c r="D1056" i="2"/>
  <c r="D1059" i="2"/>
  <c r="D1060" i="2"/>
  <c r="D1069" i="2"/>
  <c r="D1070" i="2"/>
  <c r="D1072" i="2"/>
  <c r="D1075" i="2"/>
  <c r="D1078" i="2"/>
  <c r="D1080" i="2"/>
  <c r="D1082" i="2"/>
  <c r="D1085" i="2"/>
  <c r="D1086" i="2"/>
  <c r="D1088" i="2"/>
  <c r="D1090" i="2"/>
  <c r="D1091" i="2"/>
  <c r="D1094" i="2"/>
  <c r="D1096" i="2"/>
  <c r="D1101" i="2"/>
  <c r="D1102" i="2"/>
  <c r="D1104" i="2"/>
  <c r="D1107" i="2"/>
  <c r="D1110" i="2"/>
  <c r="D1112" i="2"/>
  <c r="D1115" i="2"/>
  <c r="D1116" i="2"/>
  <c r="D1117" i="2"/>
  <c r="D1118" i="2"/>
  <c r="D1120" i="2"/>
  <c r="D1123" i="2"/>
  <c r="D1126" i="2"/>
  <c r="D1133" i="2"/>
  <c r="D1134" i="2"/>
  <c r="D1136" i="2"/>
  <c r="D1138" i="2"/>
  <c r="D1139" i="2"/>
  <c r="D1142" i="2"/>
  <c r="D1144" i="2"/>
  <c r="D1146" i="2"/>
  <c r="D1147" i="2"/>
  <c r="D1148" i="2"/>
  <c r="D1149" i="2"/>
  <c r="D1150" i="2"/>
  <c r="D1155" i="2"/>
  <c r="D1158" i="2"/>
  <c r="D1160" i="2"/>
  <c r="D1162" i="2"/>
  <c r="D1165" i="2"/>
  <c r="D1166" i="2"/>
  <c r="D1168" i="2"/>
  <c r="D1170" i="2"/>
  <c r="D1171" i="2"/>
  <c r="D1176" i="2"/>
  <c r="D1181" i="2"/>
  <c r="D1182" i="2"/>
  <c r="D1184" i="2"/>
  <c r="D1187" i="2"/>
  <c r="D1190" i="2"/>
  <c r="D1192" i="2"/>
  <c r="D1194" i="2"/>
  <c r="D1197" i="2"/>
  <c r="D1198" i="2"/>
  <c r="D1200" i="2"/>
  <c r="D1202" i="2"/>
  <c r="D1203" i="2"/>
  <c r="D1204" i="2"/>
  <c r="D1205" i="2"/>
  <c r="D1206" i="2"/>
  <c r="D1208" i="2"/>
  <c r="D1213" i="2"/>
  <c r="D1214" i="2"/>
  <c r="D1219" i="2"/>
  <c r="D1222" i="2"/>
  <c r="D1224" i="2"/>
  <c r="D1227" i="2"/>
  <c r="D1228" i="2"/>
  <c r="D1229" i="2"/>
  <c r="D1230" i="2"/>
  <c r="D1232" i="2"/>
  <c r="D1235" i="2"/>
  <c r="D1236" i="2"/>
  <c r="D1237" i="2"/>
  <c r="D1245" i="2"/>
  <c r="D1246" i="2"/>
  <c r="D1248" i="2"/>
  <c r="D1250" i="2"/>
  <c r="D1254" i="2"/>
  <c r="D1256" i="2"/>
  <c r="D1258" i="2"/>
  <c r="D1259" i="2"/>
  <c r="D1261" i="2"/>
  <c r="D1262" i="2"/>
  <c r="D1267" i="2"/>
  <c r="D1270" i="2"/>
  <c r="D1272" i="2"/>
  <c r="D1274" i="2"/>
  <c r="D1275" i="2"/>
  <c r="D1277" i="2"/>
  <c r="D1278" i="2"/>
  <c r="D1280" i="2"/>
  <c r="D1283" i="2"/>
  <c r="D1284" i="2"/>
  <c r="D1293" i="2"/>
  <c r="D1294" i="2"/>
  <c r="D1296" i="2"/>
  <c r="D1298" i="2"/>
  <c r="D1299" i="2"/>
  <c r="D1302" i="2"/>
  <c r="D1304" i="2"/>
  <c r="D1306" i="2"/>
  <c r="D1307" i="2"/>
  <c r="D1308" i="2"/>
  <c r="D1309" i="2"/>
  <c r="D1310" i="2"/>
  <c r="D1315" i="2"/>
  <c r="D1316" i="2"/>
  <c r="D1318" i="2"/>
  <c r="D1320" i="2"/>
  <c r="D1325" i="2"/>
  <c r="D1326" i="2"/>
  <c r="D1328" i="2"/>
  <c r="D1330" i="2"/>
  <c r="D1331" i="2"/>
  <c r="D1341" i="2"/>
  <c r="D1342" i="2"/>
  <c r="D1344" i="2"/>
  <c r="D1347" i="2"/>
  <c r="D1350" i="2"/>
  <c r="D1352" i="2"/>
  <c r="D1354" i="2"/>
  <c r="D1357" i="2"/>
  <c r="D1358" i="2"/>
  <c r="D1360" i="2"/>
  <c r="D1363" i="2"/>
  <c r="D1366" i="2"/>
  <c r="D1368" i="2"/>
  <c r="D1373" i="2"/>
  <c r="D1374" i="2"/>
  <c r="D1376" i="2"/>
  <c r="D1378" i="2"/>
  <c r="D1379" i="2"/>
  <c r="D1382" i="2"/>
  <c r="D1384" i="2"/>
  <c r="D1386" i="2"/>
  <c r="D1389" i="2"/>
  <c r="D1390" i="2"/>
  <c r="D1392" i="2"/>
  <c r="D1395" i="2"/>
  <c r="D1398" i="2"/>
  <c r="D1400" i="2"/>
  <c r="D1402" i="2"/>
  <c r="D1405" i="2"/>
  <c r="D1406" i="2"/>
  <c r="D1411" i="2"/>
  <c r="D1414" i="2"/>
  <c r="D1416" i="2"/>
  <c r="D1421" i="2"/>
  <c r="D1422" i="2"/>
  <c r="D1424" i="2"/>
  <c r="D1426" i="2"/>
  <c r="D1427" i="2"/>
  <c r="D1430" i="2"/>
  <c r="D1432" i="2"/>
  <c r="D1434" i="2"/>
  <c r="D1437" i="2"/>
  <c r="D1438" i="2"/>
  <c r="D1440" i="2"/>
  <c r="D1443" i="2"/>
  <c r="D1446" i="2"/>
  <c r="D1448" i="2"/>
  <c r="D1453" i="2"/>
  <c r="D1454" i="2"/>
  <c r="D1456" i="2"/>
  <c r="D1459" i="2"/>
  <c r="D1460" i="2"/>
  <c r="D1462" i="2"/>
  <c r="D1464" i="2"/>
  <c r="D1469" i="2"/>
  <c r="D1470" i="2"/>
  <c r="D1475" i="2"/>
  <c r="D1478" i="2"/>
  <c r="D1480" i="2"/>
  <c r="D1482" i="2"/>
  <c r="D1483" i="2"/>
  <c r="D1485" i="2"/>
  <c r="D1486" i="2"/>
  <c r="D1488" i="2"/>
  <c r="D1491" i="2"/>
  <c r="D1492" i="2"/>
  <c r="D1501" i="2"/>
  <c r="D1502" i="2"/>
  <c r="D1504" i="2"/>
  <c r="D1506" i="2"/>
  <c r="D1507" i="2"/>
  <c r="D1510" i="2"/>
  <c r="D1512" i="2"/>
  <c r="D1514" i="2"/>
  <c r="D1515" i="2"/>
  <c r="D1517" i="2"/>
  <c r="D1518" i="2"/>
  <c r="D1520" i="2"/>
  <c r="D1523" i="2"/>
  <c r="D1526" i="2"/>
  <c r="D152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Oostra Vannoppen</author>
  </authors>
  <commentList>
    <comment ref="K26" authorId="0" shapeId="0" xr:uid="{4BFC63EB-DB2E-4A54-BABF-EC0C942C5ED6}">
      <text>
        <r>
          <rPr>
            <b/>
            <sz val="9"/>
            <color indexed="81"/>
            <rFont val="Tahoma"/>
            <charset val="1"/>
          </rPr>
          <t>esto es el centro de una parábola ajustada a los mismos puntos.</t>
        </r>
      </text>
    </comment>
    <comment ref="U31" authorId="0" shapeId="0" xr:uid="{C5B97E2F-8BEB-4F2D-AACA-5095D8D9D93D}">
      <text>
        <r>
          <rPr>
            <b/>
            <sz val="9"/>
            <color indexed="81"/>
            <rFont val="Tahoma"/>
            <charset val="1"/>
          </rPr>
          <t xml:space="preserve">esto es teórico; NIST no reporta observación
</t>
        </r>
      </text>
    </comment>
    <comment ref="I33" authorId="0" shapeId="0" xr:uid="{5473ACC7-0394-46B2-ACEF-320B55AF1A57}">
      <text>
        <r>
          <rPr>
            <b/>
            <sz val="9"/>
            <color indexed="81"/>
            <rFont val="Tahoma"/>
            <charset val="1"/>
          </rPr>
          <t xml:space="preserve">esto es teórico; NIST no reporta observación
</t>
        </r>
      </text>
    </comment>
    <comment ref="U34" authorId="0" shapeId="0" xr:uid="{226998F2-1EF3-4733-80C1-B84F589CC88D}">
      <text>
        <r>
          <rPr>
            <b/>
            <sz val="9"/>
            <color indexed="81"/>
            <rFont val="Tahoma"/>
            <family val="2"/>
          </rPr>
          <t>esto es el promedio de 2 líneas de hierro muy juntas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Oostra Vannoppen</author>
  </authors>
  <commentList>
    <comment ref="U31" authorId="0" shapeId="0" xr:uid="{B5662D18-CF79-414D-BAB2-D76DEB53B99D}">
      <text>
        <r>
          <rPr>
            <b/>
            <sz val="9"/>
            <color indexed="81"/>
            <rFont val="Tahoma"/>
            <charset val="1"/>
          </rPr>
          <t xml:space="preserve">esto es teórico; NIST no reporta observación
</t>
        </r>
      </text>
    </comment>
    <comment ref="I33" authorId="0" shapeId="0" xr:uid="{797F0ADE-F0AE-4926-AEDD-D3CA37E7FB5E}">
      <text>
        <r>
          <rPr>
            <b/>
            <sz val="9"/>
            <color indexed="81"/>
            <rFont val="Tahoma"/>
            <charset val="1"/>
          </rPr>
          <t xml:space="preserve">esto es teórico; NIST no reporta observación
</t>
        </r>
      </text>
    </comment>
    <comment ref="U34" authorId="0" shapeId="0" xr:uid="{1047B3EE-D572-46B6-8BA5-3F9C68CC31EE}">
      <text>
        <r>
          <rPr>
            <b/>
            <sz val="9"/>
            <color indexed="81"/>
            <rFont val="Tahoma"/>
            <family val="2"/>
          </rPr>
          <t>esto es el promedio de 2 líneas de Th1 muy juntas</t>
        </r>
      </text>
    </comment>
  </commentList>
</comments>
</file>

<file path=xl/sharedStrings.xml><?xml version="1.0" encoding="utf-8"?>
<sst xmlns="http://schemas.openxmlformats.org/spreadsheetml/2006/main" count="521" uniqueCount="209">
  <si>
    <t>saturada</t>
  </si>
  <si>
    <t>desfase entre fibras:</t>
  </si>
  <si>
    <t>2,87-0,0003x</t>
  </si>
  <si>
    <t>pix aprox</t>
  </si>
  <si>
    <r>
      <rPr>
        <sz val="11"/>
        <color theme="1"/>
        <rFont val="Symbol"/>
        <family val="1"/>
        <charset val="2"/>
      </rPr>
      <t>l</t>
    </r>
    <r>
      <rPr>
        <sz val="11"/>
        <color theme="1"/>
        <rFont val="Calibri"/>
        <family val="2"/>
        <scheme val="minor"/>
      </rPr>
      <t xml:space="preserve"> natural</t>
    </r>
  </si>
  <si>
    <r>
      <rPr>
        <sz val="11"/>
        <color theme="1"/>
        <rFont val="Symbol"/>
        <family val="1"/>
        <charset val="2"/>
      </rPr>
      <t>l</t>
    </r>
    <r>
      <rPr>
        <sz val="11"/>
        <color theme="1"/>
        <rFont val="Calibri"/>
        <family val="2"/>
        <scheme val="minor"/>
      </rPr>
      <t xml:space="preserve"> ponderada de 2  Th</t>
    </r>
  </si>
  <si>
    <t>bien</t>
  </si>
  <si>
    <t>no identificada.              6614,35</t>
  </si>
  <si>
    <t>no identificada.                 6499,1</t>
  </si>
  <si>
    <t>no identificada.                 6508,3</t>
  </si>
  <si>
    <r>
      <t>-0,0119x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- 0,1818x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+ 0,0656x + 8,6158</t>
    </r>
  </si>
  <si>
    <r>
      <t>-0,0075x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- 0,188x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+ 0,0758x + 7,3509</t>
    </r>
  </si>
  <si>
    <r>
      <t>-0,0123x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- 0,1683x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- 0,0072x + 6,8006</t>
    </r>
  </si>
  <si>
    <r>
      <t>-0,0001x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- 0,1524x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- 0,0379x + 6,5255</t>
    </r>
  </si>
  <si>
    <r>
      <t>-0,0026x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- 0,1202x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+ 0,0491x + 7,0148</t>
    </r>
  </si>
  <si>
    <r>
      <t>-0,0071x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- 0,2005x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- 0,0364x + 6,1803</t>
    </r>
  </si>
  <si>
    <r>
      <t>0,0003x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- 0,1585x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- 0,0602x + 7,1815</t>
    </r>
  </si>
  <si>
    <r>
      <t>0,0036x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- 0,1064x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- 0,0085x + 6,9447</t>
    </r>
  </si>
  <si>
    <r>
      <t>-0,0065x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- 0,1734x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+ 0,065x + 7,5022</t>
    </r>
  </si>
  <si>
    <r>
      <t>0,0029x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- 0,1853x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- 0,0604x + 8,8064</t>
    </r>
  </si>
  <si>
    <r>
      <t>-0,0018x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- 0,1207x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- 0,025x + 6,5752</t>
    </r>
  </si>
  <si>
    <r>
      <t>0,0064x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- 0,1633x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- 0,0772x + 7,37</t>
    </r>
  </si>
  <si>
    <r>
      <t>0,0088x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- 0,1737x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- 0,1079x + 10,218</t>
    </r>
  </si>
  <si>
    <r>
      <t>0,0004x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- 0,1654x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+ 0,0678x + 8,8659</t>
    </r>
  </si>
  <si>
    <r>
      <t>0,004x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- 0,1117x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- 0,0269x + 6,7823</t>
    </r>
  </si>
  <si>
    <r>
      <t>0,0129x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- 0,1239x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- 0,1055x + 8,9061</t>
    </r>
  </si>
  <si>
    <r>
      <t>0,0183x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- 0,0946x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- 0,079x + 7,2011</t>
    </r>
  </si>
  <si>
    <r>
      <t>0,0063x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- 0,1147x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- 0,038x + 6,101</t>
    </r>
  </si>
  <si>
    <r>
      <t>0,0122x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- 0,1131x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- 0,1067x + 8,889</t>
    </r>
  </si>
  <si>
    <r>
      <t>-0,0053x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- 0,1423x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+ 0,0372x + 10,209</t>
    </r>
  </si>
  <si>
    <r>
      <t>-0,0052x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- 0,162x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+ 0,0391x + 9,4446</t>
    </r>
  </si>
  <si>
    <r>
      <t>-0,0064x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- 0,1565x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+ 0,0344x + 6,1894</t>
    </r>
  </si>
  <si>
    <r>
      <t>-0,0067x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- 0,1787x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- 0,0118x + 6,6308</t>
    </r>
  </si>
  <si>
    <r>
      <t>-0,0019x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- 0,1622x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- 0,0115x + 8,7613</t>
    </r>
  </si>
  <si>
    <r>
      <t>-0,0065x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- 0,1704x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+ 0,0294x + 6,9038</t>
    </r>
  </si>
  <si>
    <r>
      <t>-0,0031x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- 0,1734x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- 0,1677x + 6,2418</t>
    </r>
  </si>
  <si>
    <r>
      <t>-0,0121x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- 0,1908x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- 0,057x + 6,3477</t>
    </r>
  </si>
  <si>
    <r>
      <t>-0,0056x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- 0,1893x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+ 0,0033x + 7,4294</t>
    </r>
  </si>
  <si>
    <r>
      <t>-0,0095x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- 0,1782x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+ 0,0185x + 6,2097</t>
    </r>
  </si>
  <si>
    <t>pix ref</t>
  </si>
  <si>
    <t>kubik</t>
  </si>
  <si>
    <t>cuad</t>
  </si>
  <si>
    <t>lineal</t>
  </si>
  <si>
    <t>const</t>
  </si>
  <si>
    <t>no identificada.           6620,98</t>
  </si>
  <si>
    <t>pixel</t>
  </si>
  <si>
    <t>observ</t>
  </si>
  <si>
    <t>corrección</t>
  </si>
  <si>
    <t>fibra</t>
  </si>
  <si>
    <t>corregido</t>
  </si>
  <si>
    <t>NIST</t>
  </si>
  <si>
    <r>
      <t>0,0088x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- 0,1072x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- 0,0089x - 1,4455</t>
    </r>
  </si>
  <si>
    <r>
      <t>-0,1072x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+ 0,0356x - 1,4455</t>
    </r>
  </si>
  <si>
    <r>
      <t>0,007x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- 0,0528x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- 0,0371x - 1,0539</t>
    </r>
  </si>
  <si>
    <r>
      <t>-0,0528x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- 0,0016x - 1,0539</t>
    </r>
  </si>
  <si>
    <r>
      <t>-0,0008x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- 0,0259x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+ 0,0172x - 0,6385</t>
    </r>
  </si>
  <si>
    <r>
      <t>-0,0259x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+ 0,0131x - 0,6385</t>
    </r>
  </si>
  <si>
    <r>
      <t>0,0004x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- 0,0303x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+ 0,0025x - 0,5131</t>
    </r>
  </si>
  <si>
    <r>
      <t>-0,0303x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+ 0,0046x - 0,5131</t>
    </r>
  </si>
  <si>
    <r>
      <t>0,0015x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- 0,0474x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+ 0,0102x - 0,7177</t>
    </r>
  </si>
  <si>
    <r>
      <t>-0,0474x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+ 0,0176x - 0,7177</t>
    </r>
  </si>
  <si>
    <r>
      <t>0,0034x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- 0,0839x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- 0,0268x - 1,5365</t>
    </r>
  </si>
  <si>
    <r>
      <t>-0,0839x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- 0,0154x - 1,5365</t>
    </r>
  </si>
  <si>
    <r>
      <t>0,0004x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- 0,0866x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+ 0,0529x - 1,0355</t>
    </r>
  </si>
  <si>
    <r>
      <t>-0,0866x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+ 0,0542x - 1,0355</t>
    </r>
  </si>
  <si>
    <r>
      <t>-0,003x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- 0,0421x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+ 0,0614x - 1,2008</t>
    </r>
  </si>
  <si>
    <r>
      <t>-0,0421x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+ 0,0513x - 1,2008</t>
    </r>
  </si>
  <si>
    <r>
      <t>0,0086x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- 0,0347x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- 0,0308x - 1,1722</t>
    </r>
  </si>
  <si>
    <r>
      <t>-0,0347x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- 0,0015x - 1,1722</t>
    </r>
  </si>
  <si>
    <r>
      <t>0,0048x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- 0,0667x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- 0,016x - 1,3418</t>
    </r>
  </si>
  <si>
    <r>
      <t>-0,0667x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+ 0,0084x - 1,3418</t>
    </r>
  </si>
  <si>
    <r>
      <t>0,0058x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- 0,0473x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- 0,0186x - 1,1102</t>
    </r>
  </si>
  <si>
    <r>
      <t>-0,0473x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+ 0,0012x - 1,1102</t>
    </r>
  </si>
  <si>
    <r>
      <t>0,0006x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- 0,0495x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- 0,0207x - 0,824</t>
    </r>
  </si>
  <si>
    <r>
      <t>-0,0495x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- 0,0178x - 0,824</t>
    </r>
  </si>
  <si>
    <r>
      <t>0,0029x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- 0,0268x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- 0,0214x - 0,9618</t>
    </r>
  </si>
  <si>
    <r>
      <t>-0,0268x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- 0,0116x - 0,9618</t>
    </r>
  </si>
  <si>
    <r>
      <t>-0,0006x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- 0,0461x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+ 0,0057x - 0,9616</t>
    </r>
  </si>
  <si>
    <r>
      <t>-0,0461x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+ 0,0026x - 0,9616</t>
    </r>
  </si>
  <si>
    <r>
      <t>-0,0017x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- 0,0451x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+ 0,018x - 0,7441</t>
    </r>
  </si>
  <si>
    <r>
      <t>-0,0451x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+ 0,0124x - 0,7441</t>
    </r>
  </si>
  <si>
    <r>
      <t>-0,0007x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- 0,0336x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+ 0,0114x - 1,2358</t>
    </r>
  </si>
  <si>
    <r>
      <t>-0,0336x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+ 0,0079x - 1,2358</t>
    </r>
  </si>
  <si>
    <r>
      <t>5E-05x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- 0,0485x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+ 0,0094x - 0,7232</t>
    </r>
  </si>
  <si>
    <r>
      <t>-0,0485x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+ 0,0096x - 0,7232</t>
    </r>
  </si>
  <si>
    <r>
      <t>0,0024x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- 0,0558x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+ 0,0126x - 0,7642</t>
    </r>
  </si>
  <si>
    <r>
      <t>-0,0558x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+ 0,0247x - 0,7642</t>
    </r>
  </si>
  <si>
    <r>
      <t>-0,0013x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- 0,0329x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+ 0,0195x - 0,9313</t>
    </r>
  </si>
  <si>
    <r>
      <t>-0,0329x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+ 0,015x - 0,9313</t>
    </r>
  </si>
  <si>
    <r>
      <t>-0,0004x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- 0,0667x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- 0,0256x - 1,3067</t>
    </r>
  </si>
  <si>
    <r>
      <t>-0,0667x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- 0,0269x - 1,3067</t>
    </r>
  </si>
  <si>
    <r>
      <t>-0,0002x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- 0,0397x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- 0,022x - 0,883</t>
    </r>
  </si>
  <si>
    <r>
      <t>-0,0397x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- 0,0229x - 0,883</t>
    </r>
  </si>
  <si>
    <r>
      <t>0,0005x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- 0,0486x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+ 0,0123x - 0,9117</t>
    </r>
  </si>
  <si>
    <r>
      <t>-0,0486x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+ 0,0147x - 0,9117</t>
    </r>
  </si>
  <si>
    <r>
      <t>-0,0044x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- 0,0613x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- 0,0423x - 0,8627</t>
    </r>
  </si>
  <si>
    <r>
      <t>-0,0613x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- 0,0571x - 0,8627</t>
    </r>
  </si>
  <si>
    <r>
      <t>0,003x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- 0,0978x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+ 0,0513x - 1,578</t>
    </r>
  </si>
  <si>
    <r>
      <t>-0,0978x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+ 0,0615x - 1,578</t>
    </r>
  </si>
  <si>
    <r>
      <t>-0,0031x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- 0,0679x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+ 0,0155x - 1,4067</t>
    </r>
  </si>
  <si>
    <r>
      <t>-0,0679x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+ 0,0049x - 1,4067</t>
    </r>
  </si>
  <si>
    <r>
      <t>-7E-05x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- 0,065x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+ 0,0134x - 1,313</t>
    </r>
  </si>
  <si>
    <r>
      <t>-0,065x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+ 0,013x - 1,313</t>
    </r>
  </si>
  <si>
    <r>
      <t>-0,0013x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- 0,0686x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+ 0,0042x - 1,0471</t>
    </r>
  </si>
  <si>
    <r>
      <t>-0,0686x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- 0,0026x - 1,0471</t>
    </r>
  </si>
  <si>
    <r>
      <t>-0,0003x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- 0,0665x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+ 0,0074x - 0,8945</t>
    </r>
  </si>
  <si>
    <r>
      <t>-0,0665x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+ 0,0056x - 0,8945</t>
    </r>
  </si>
  <si>
    <r>
      <t>0,0024x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- 0,1059x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+ 0,0067x - 1,2782</t>
    </r>
  </si>
  <si>
    <r>
      <t>-0,1059x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+ 0,0149x - 1,2782</t>
    </r>
  </si>
  <si>
    <t>pix exakt</t>
  </si>
  <si>
    <r>
      <rPr>
        <sz val="11"/>
        <color theme="1"/>
        <rFont val="Symbol"/>
        <family val="1"/>
        <charset val="2"/>
      </rPr>
      <t>l</t>
    </r>
    <r>
      <rPr>
        <sz val="11"/>
        <color theme="1"/>
        <rFont val="Calibri"/>
        <family val="2"/>
        <scheme val="minor"/>
      </rPr>
      <t xml:space="preserve"> observ</t>
    </r>
  </si>
  <si>
    <t>Ca</t>
  </si>
  <si>
    <t>Fe</t>
  </si>
  <si>
    <t>5 de Ba</t>
  </si>
  <si>
    <t>promedio</t>
  </si>
  <si>
    <t>Cr</t>
  </si>
  <si>
    <t>V</t>
  </si>
  <si>
    <t>Ti</t>
  </si>
  <si>
    <t>Ni</t>
  </si>
  <si>
    <t>Fe + Ti</t>
  </si>
  <si>
    <t>Fe + Fe</t>
  </si>
  <si>
    <t>Ca + Cr</t>
  </si>
  <si>
    <t>Zr</t>
  </si>
  <si>
    <t>?</t>
  </si>
  <si>
    <t>mezcla?</t>
  </si>
  <si>
    <t>Sc</t>
  </si>
  <si>
    <r>
      <t>0,0067x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- 0,0859x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+ 0,0671x - 1,2639</t>
    </r>
  </si>
  <si>
    <r>
      <t>-0,0859x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+ 0,0898x - 1,2639</t>
    </r>
  </si>
  <si>
    <r>
      <t>0,0034x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- 0,05x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- 0,007x - 1,3349</t>
    </r>
  </si>
  <si>
    <r>
      <t>-0,05x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+ 0,0046x - 1,3349</t>
    </r>
  </si>
  <si>
    <r>
      <t>-0,0065x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- 0,0418x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+ 0,0381x - 1,5858</t>
    </r>
  </si>
  <si>
    <r>
      <t>-0,0418x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+ 0,0159x - 1,5858</t>
    </r>
  </si>
  <si>
    <r>
      <t>-0,0039x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- 0,0414x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+ 0,0294x - 1,0648</t>
    </r>
  </si>
  <si>
    <r>
      <t>-0,0414x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+ 0,0162x - 1,0648</t>
    </r>
  </si>
  <si>
    <r>
      <t>-0,003x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- 0,047x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+ 0,0264x - 1,6626</t>
    </r>
  </si>
  <si>
    <r>
      <t>-0,047x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+ 0,0163x - 1,6626</t>
    </r>
  </si>
  <si>
    <t>F/Fc</t>
  </si>
  <si>
    <t>Fe+Ti</t>
  </si>
  <si>
    <t>mezcla</t>
  </si>
  <si>
    <t>deforme</t>
  </si>
  <si>
    <t>La</t>
  </si>
  <si>
    <t>H2O</t>
  </si>
  <si>
    <t>triplete</t>
  </si>
  <si>
    <t>Dl</t>
  </si>
  <si>
    <t>diferencia</t>
  </si>
  <si>
    <t xml:space="preserve">con </t>
  </si>
  <si>
    <t>calibración</t>
  </si>
  <si>
    <t>de grado 4</t>
  </si>
  <si>
    <t>con grado 6</t>
  </si>
  <si>
    <t>número</t>
  </si>
  <si>
    <t>de puntos</t>
  </si>
  <si>
    <r>
      <t>-0,1748x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+ 0,0117x + 8,6046</t>
    </r>
  </si>
  <si>
    <r>
      <t>-0,1761x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+ 0,2043x + 7,2659</t>
    </r>
  </si>
  <si>
    <r>
      <t>-0,1701x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- 0,2202x + 6,736</t>
    </r>
  </si>
  <si>
    <r>
      <t>-0,1524x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- 0,0385x + 6,5255</t>
    </r>
  </si>
  <si>
    <r>
      <t>-0,1202x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+ 0,0359x + 7,0148</t>
    </r>
  </si>
  <si>
    <r>
      <t>-0,1821x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+ 0,1104x + 6,1412</t>
    </r>
  </si>
  <si>
    <r>
      <t>-0,1585x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- 0,0585x + 7,1815</t>
    </r>
  </si>
  <si>
    <r>
      <t>-0,0941x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+ 0,0127x + 6,9251</t>
    </r>
  </si>
  <si>
    <r>
      <t>-0,1734x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+ 0,0321x + 7,5022</t>
    </r>
  </si>
  <si>
    <r>
      <t>-0,1853x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- 0,046x + 8,8064</t>
    </r>
  </si>
  <si>
    <r>
      <t>-0,1207x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- 0,0344x + 6,5752</t>
    </r>
  </si>
  <si>
    <r>
      <t>-0,1385x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+ 0,0682x + 7,3308</t>
    </r>
  </si>
  <si>
    <r>
      <t>-0,166x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+ 0,0963x + 10,194</t>
    </r>
  </si>
  <si>
    <r>
      <t>-0,1413x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+ 0,0638x + 8,8273</t>
    </r>
  </si>
  <si>
    <r>
      <t>-0,1117x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- 0,0134x + 6,7823</t>
    </r>
  </si>
  <si>
    <r>
      <t>-0,1285x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+ 0,0696x + 8,9109</t>
    </r>
  </si>
  <si>
    <r>
      <t>-0,1017x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+ 0,0891x + 7,1933</t>
    </r>
  </si>
  <si>
    <r>
      <t>-0,1139x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+ 0,0967x + 6,0799</t>
    </r>
  </si>
  <si>
    <r>
      <t>-0,1074x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- 0,0325x + 8,8799</t>
    </r>
  </si>
  <si>
    <r>
      <t>-0,1329x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- 0,0024x + 10,188</t>
    </r>
  </si>
  <si>
    <r>
      <t>-0,1496x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+ 0,008x + 9,4247</t>
    </r>
  </si>
  <si>
    <r>
      <t>-0,1565x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+ 0,0023x + 6,1894</t>
    </r>
  </si>
  <si>
    <r>
      <t>-0,1787x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- 0,0346x + 6,6308</t>
    </r>
  </si>
  <si>
    <r>
      <t>-0,1571x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+ 0,1359x + 8,7244</t>
    </r>
  </si>
  <si>
    <r>
      <t>-0,1704x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+ 0,0073x + 6,9038</t>
    </r>
  </si>
  <si>
    <r>
      <t>-0,1734x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- 0,1784x + 6,2418</t>
    </r>
  </si>
  <si>
    <r>
      <t>-0,1908x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- 0,0982x + 6,3477</t>
    </r>
  </si>
  <si>
    <r>
      <t>-0,1878x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- 0,2029x + 7,3726</t>
    </r>
  </si>
  <si>
    <r>
      <t>-0,1782x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- 0,0138x + 6,2097</t>
    </r>
  </si>
  <si>
    <t>modelo</t>
  </si>
  <si>
    <t>residuos</t>
  </si>
  <si>
    <t>triple</t>
  </si>
  <si>
    <t>thor parabola</t>
  </si>
  <si>
    <t>ster kubik</t>
  </si>
  <si>
    <t>promedio:</t>
  </si>
  <si>
    <t>incert:</t>
  </si>
  <si>
    <t>ster parabola</t>
  </si>
  <si>
    <t>y esto tiene cromodependencia.</t>
  </si>
  <si>
    <t>cromodependencia despreciable.</t>
  </si>
  <si>
    <t>F/FC</t>
  </si>
  <si>
    <t>resultado:</t>
  </si>
  <si>
    <r>
      <t>f'(x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) =</t>
    </r>
  </si>
  <si>
    <r>
      <t>centro x</t>
    </r>
    <r>
      <rPr>
        <vertAlign val="subscript"/>
        <sz val="11"/>
        <color theme="1"/>
        <rFont val="Calibri"/>
        <family val="2"/>
        <scheme val="minor"/>
      </rPr>
      <t>0</t>
    </r>
  </si>
  <si>
    <r>
      <rPr>
        <sz val="11"/>
        <color theme="1"/>
        <rFont val="Symbol"/>
        <family val="1"/>
        <charset val="2"/>
      </rPr>
      <t>l</t>
    </r>
    <r>
      <rPr>
        <sz val="11"/>
        <color theme="1"/>
        <rFont val="Calibri"/>
        <family val="2"/>
        <scheme val="minor"/>
      </rPr>
      <t xml:space="preserve"> central =</t>
    </r>
  </si>
  <si>
    <t>V =</t>
  </si>
  <si>
    <r>
      <t>f(x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) =</t>
    </r>
  </si>
  <si>
    <r>
      <t>= F/F</t>
    </r>
    <r>
      <rPr>
        <vertAlign val="sub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   </t>
    </r>
  </si>
  <si>
    <r>
      <t>f''(x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) =</t>
    </r>
  </si>
  <si>
    <t>= Curvatura</t>
  </si>
  <si>
    <r>
      <t>f'''(x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) =</t>
    </r>
  </si>
  <si>
    <t>Pendiente =</t>
  </si>
  <si>
    <t>en km/s es:</t>
  </si>
  <si>
    <r>
      <t xml:space="preserve">l </t>
    </r>
    <r>
      <rPr>
        <sz val="11"/>
        <color theme="1"/>
        <rFont val="Calibri"/>
        <family val="2"/>
        <scheme val="minor"/>
      </rPr>
      <t>natural</t>
    </r>
  </si>
  <si>
    <t>V (km/s)</t>
  </si>
  <si>
    <t>P (km/s)</t>
  </si>
  <si>
    <t>C</t>
  </si>
  <si>
    <t>N</t>
  </si>
  <si>
    <t>alerta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</si>
</sst>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1"/>
      <charset val="2"/>
      <scheme val="minor"/>
    </font>
    <font>
      <sz val="11"/>
      <color theme="1"/>
      <name val="Symbol"/>
      <family val="1"/>
      <charset val="2"/>
    </font>
    <font>
      <b/>
      <sz val="9"/>
      <color indexed="81"/>
      <name val="Tahoma"/>
      <charset val="1"/>
    </font>
    <font>
      <vertAlign val="superscript"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vertAlign val="subscript"/>
      <sz val="11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33" borderId="0" xfId="0" applyFill="1"/>
    <xf numFmtId="0" fontId="18" fillId="0" borderId="0" xfId="0" applyFont="1"/>
    <xf numFmtId="0" fontId="0" fillId="0" borderId="0" xfId="0" applyAlignment="1">
      <alignment horizontal="center"/>
    </xf>
    <xf numFmtId="0" fontId="0" fillId="34" borderId="0" xfId="0" applyFill="1" applyAlignment="1">
      <alignment horizontal="center"/>
    </xf>
    <xf numFmtId="0" fontId="0" fillId="34" borderId="0" xfId="0" applyFill="1"/>
    <xf numFmtId="17" fontId="0" fillId="0" borderId="0" xfId="0" applyNumberFormat="1" applyAlignment="1">
      <alignment horizontal="center"/>
    </xf>
    <xf numFmtId="11" fontId="0" fillId="0" borderId="0" xfId="0" applyNumberFormat="1"/>
    <xf numFmtId="0" fontId="18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34" borderId="0" xfId="0" applyFill="1" applyAlignment="1">
      <alignment horizontal="right"/>
    </xf>
    <xf numFmtId="0" fontId="19" fillId="0" borderId="0" xfId="0" applyFont="1" applyAlignment="1">
      <alignment horizontal="center"/>
    </xf>
    <xf numFmtId="16" fontId="0" fillId="0" borderId="0" xfId="0" applyNumberFormat="1"/>
    <xf numFmtId="0" fontId="0" fillId="35" borderId="0" xfId="0" applyFill="1"/>
    <xf numFmtId="0" fontId="0" fillId="33" borderId="0" xfId="0" applyFill="1" applyAlignment="1">
      <alignment horizontal="center"/>
    </xf>
    <xf numFmtId="0" fontId="0" fillId="36" borderId="0" xfId="0" applyFill="1"/>
    <xf numFmtId="0" fontId="0" fillId="36" borderId="0" xfId="0" applyFill="1" applyAlignment="1">
      <alignment horizontal="center"/>
    </xf>
    <xf numFmtId="0" fontId="0" fillId="37" borderId="0" xfId="0" applyFill="1" applyAlignment="1">
      <alignment horizontal="center"/>
    </xf>
    <xf numFmtId="0" fontId="0" fillId="36" borderId="0" xfId="0" quotePrefix="1" applyFill="1"/>
    <xf numFmtId="0" fontId="0" fillId="37" borderId="0" xfId="0" applyFill="1"/>
    <xf numFmtId="0" fontId="0" fillId="37" borderId="0" xfId="0" applyFill="1" applyAlignment="1">
      <alignment horizontal="right"/>
    </xf>
    <xf numFmtId="0" fontId="19" fillId="36" borderId="0" xfId="0" applyFont="1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'thor orden 1'!$A$1:$A$1530</c:f>
              <c:numCache>
                <c:formatCode>General</c:formatCode>
                <c:ptCount val="15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</c:numCache>
            </c:numRef>
          </c:xVal>
          <c:yVal>
            <c:numRef>
              <c:f>'thor orden 1'!$D$1:$D$1530</c:f>
              <c:numCache>
                <c:formatCode>General</c:formatCode>
                <c:ptCount val="1530"/>
                <c:pt idx="0">
                  <c:v>57.010999999999996</c:v>
                </c:pt>
                <c:pt idx="1">
                  <c:v>96.828851110000002</c:v>
                </c:pt>
                <c:pt idx="2">
                  <c:v>249.64700443999999</c:v>
                </c:pt>
                <c:pt idx="3">
                  <c:v>477.46545999</c:v>
                </c:pt>
                <c:pt idx="4">
                  <c:v>1125.28421776</c:v>
                </c:pt>
                <c:pt idx="5">
                  <c:v>2577.10327775</c:v>
                </c:pt>
                <c:pt idx="6">
                  <c:v>4329.9226399600002</c:v>
                </c:pt>
                <c:pt idx="7">
                  <c:v>5576.7423043899998</c:v>
                </c:pt>
                <c:pt idx="8">
                  <c:v>4820.5622710400003</c:v>
                </c:pt>
                <c:pt idx="9">
                  <c:v>2768.3825399100001</c:v>
                </c:pt>
                <c:pt idx="10">
                  <c:v>1154.203111</c:v>
                </c:pt>
                <c:pt idx="11">
                  <c:v>620.02398430999995</c:v>
                </c:pt>
                <c:pt idx="12">
                  <c:v>423.84515984000001</c:v>
                </c:pt>
                <c:pt idx="13">
                  <c:v>287.66663758999999</c:v>
                </c:pt>
                <c:pt idx="14">
                  <c:v>151.48841756000002</c:v>
                </c:pt>
                <c:pt idx="15">
                  <c:v>78.310499749999991</c:v>
                </c:pt>
                <c:pt idx="16">
                  <c:v>32.132884159999989</c:v>
                </c:pt>
                <c:pt idx="17">
                  <c:v>9.9555707899999959</c:v>
                </c:pt>
                <c:pt idx="18">
                  <c:v>2.7785596399999974</c:v>
                </c:pt>
                <c:pt idx="19">
                  <c:v>2.6018507099999937</c:v>
                </c:pt>
                <c:pt idx="20">
                  <c:v>9.4254439999999988</c:v>
                </c:pt>
                <c:pt idx="21">
                  <c:v>3.2493395099999987</c:v>
                </c:pt>
                <c:pt idx="22">
                  <c:v>15.073537239999993</c:v>
                </c:pt>
                <c:pt idx="23">
                  <c:v>15.898037189999997</c:v>
                </c:pt>
                <c:pt idx="24">
                  <c:v>18.722839359999995</c:v>
                </c:pt>
                <c:pt idx="25">
                  <c:v>9.5479437500000017</c:v>
                </c:pt>
                <c:pt idx="26">
                  <c:v>3.3733503599999892</c:v>
                </c:pt>
                <c:pt idx="27">
                  <c:v>21.19905919</c:v>
                </c:pt>
                <c:pt idx="28">
                  <c:v>43.025070239999991</c:v>
                </c:pt>
                <c:pt idx="29">
                  <c:v>85.851383509999991</c:v>
                </c:pt>
                <c:pt idx="30">
                  <c:v>166.677999</c:v>
                </c:pt>
                <c:pt idx="31">
                  <c:v>449.50491670999997</c:v>
                </c:pt>
                <c:pt idx="32">
                  <c:v>922.33213664000004</c:v>
                </c:pt>
                <c:pt idx="33">
                  <c:v>1448.1596587900001</c:v>
                </c:pt>
                <c:pt idx="34">
                  <c:v>1546.98748316</c:v>
                </c:pt>
                <c:pt idx="35">
                  <c:v>1104.81560975</c:v>
                </c:pt>
                <c:pt idx="36">
                  <c:v>518.64403856000001</c:v>
                </c:pt>
                <c:pt idx="37">
                  <c:v>269.47276958999998</c:v>
                </c:pt>
                <c:pt idx="38">
                  <c:v>224.30180283999999</c:v>
                </c:pt>
                <c:pt idx="39">
                  <c:v>307.13113830999998</c:v>
                </c:pt>
                <c:pt idx="40">
                  <c:v>513.96077600000001</c:v>
                </c:pt>
                <c:pt idx="41">
                  <c:v>767.79071591000002</c:v>
                </c:pt>
                <c:pt idx="42">
                  <c:v>909.62095804</c:v>
                </c:pt>
                <c:pt idx="43">
                  <c:v>738.45150238999997</c:v>
                </c:pt>
                <c:pt idx="44">
                  <c:v>410.28234895999998</c:v>
                </c:pt>
                <c:pt idx="45">
                  <c:v>167.11349774999999</c:v>
                </c:pt>
                <c:pt idx="46">
                  <c:v>97.944948759999988</c:v>
                </c:pt>
                <c:pt idx="47">
                  <c:v>47.776701989999992</c:v>
                </c:pt>
                <c:pt idx="48">
                  <c:v>16.608757439999991</c:v>
                </c:pt>
                <c:pt idx="49">
                  <c:v>5.4411151099999984</c:v>
                </c:pt>
                <c:pt idx="50">
                  <c:v>3.2737750000000005</c:v>
                </c:pt>
                <c:pt idx="51">
                  <c:v>0.10673710999999741</c:v>
                </c:pt>
                <c:pt idx="52">
                  <c:v>0.94000144000000319</c:v>
                </c:pt>
                <c:pt idx="53">
                  <c:v>19.773567990000004</c:v>
                </c:pt>
                <c:pt idx="54">
                  <c:v>52.607436759999999</c:v>
                </c:pt>
                <c:pt idx="55">
                  <c:v>104.44160775</c:v>
                </c:pt>
                <c:pt idx="56">
                  <c:v>120.27608096</c:v>
                </c:pt>
                <c:pt idx="57">
                  <c:v>107.11085639</c:v>
                </c:pt>
                <c:pt idx="58">
                  <c:v>45.945934039999997</c:v>
                </c:pt>
                <c:pt idx="59">
                  <c:v>23.781313909999994</c:v>
                </c:pt>
                <c:pt idx="60">
                  <c:v>35.616996</c:v>
                </c:pt>
                <c:pt idx="61">
                  <c:v>58.452980310000001</c:v>
                </c:pt>
                <c:pt idx="62">
                  <c:v>104.28926684</c:v>
                </c:pt>
                <c:pt idx="63">
                  <c:v>177.12585559000001</c:v>
                </c:pt>
                <c:pt idx="64">
                  <c:v>208.96274656</c:v>
                </c:pt>
                <c:pt idx="65">
                  <c:v>168.79993974999999</c:v>
                </c:pt>
                <c:pt idx="66">
                  <c:v>105.63743516</c:v>
                </c:pt>
                <c:pt idx="67">
                  <c:v>57.475232789999993</c:v>
                </c:pt>
                <c:pt idx="68">
                  <c:v>41.313332639999999</c:v>
                </c:pt>
                <c:pt idx="69">
                  <c:v>35.151734709999999</c:v>
                </c:pt>
                <c:pt idx="70">
                  <c:v>19.990438999999995</c:v>
                </c:pt>
                <c:pt idx="71">
                  <c:v>5.8294455099999993</c:v>
                </c:pt>
                <c:pt idx="72">
                  <c:v>22.668754239999998</c:v>
                </c:pt>
                <c:pt idx="73">
                  <c:v>26.508365189999992</c:v>
                </c:pt>
                <c:pt idx="74">
                  <c:v>51.348278359999995</c:v>
                </c:pt>
                <c:pt idx="75">
                  <c:v>51.188493749999992</c:v>
                </c:pt>
                <c:pt idx="76">
                  <c:v>42.029011359999998</c:v>
                </c:pt>
                <c:pt idx="77">
                  <c:v>48.869831189999999</c:v>
                </c:pt>
                <c:pt idx="78">
                  <c:v>103.71095323999999</c:v>
                </c:pt>
                <c:pt idx="79">
                  <c:v>163.55237750999999</c:v>
                </c:pt>
                <c:pt idx="80">
                  <c:v>192.394104</c:v>
                </c:pt>
                <c:pt idx="81">
                  <c:v>159.23613270999999</c:v>
                </c:pt>
                <c:pt idx="82">
                  <c:v>83.078463639999995</c:v>
                </c:pt>
                <c:pt idx="83">
                  <c:v>37.921096789999993</c:v>
                </c:pt>
                <c:pt idx="84">
                  <c:v>31.764032159999999</c:v>
                </c:pt>
                <c:pt idx="85">
                  <c:v>22.60726975</c:v>
                </c:pt>
                <c:pt idx="86">
                  <c:v>35.450809559999996</c:v>
                </c:pt>
                <c:pt idx="87">
                  <c:v>38.294651590000001</c:v>
                </c:pt>
                <c:pt idx="88">
                  <c:v>40.13879584</c:v>
                </c:pt>
                <c:pt idx="89">
                  <c:v>45.983242309999994</c:v>
                </c:pt>
                <c:pt idx="90">
                  <c:v>50.827990999999997</c:v>
                </c:pt>
                <c:pt idx="91">
                  <c:v>62.673041909999995</c:v>
                </c:pt>
                <c:pt idx="92">
                  <c:v>88.518395040000001</c:v>
                </c:pt>
                <c:pt idx="93">
                  <c:v>121.36405039</c:v>
                </c:pt>
                <c:pt idx="94">
                  <c:v>173.21000795999998</c:v>
                </c:pt>
                <c:pt idx="95">
                  <c:v>292.05626774999996</c:v>
                </c:pt>
                <c:pt idx="96">
                  <c:v>500.90282976000003</c:v>
                </c:pt>
                <c:pt idx="97">
                  <c:v>684.74969398999997</c:v>
                </c:pt>
                <c:pt idx="98">
                  <c:v>645.59686044</c:v>
                </c:pt>
                <c:pt idx="99">
                  <c:v>451.44432911000001</c:v>
                </c:pt>
                <c:pt idx="100">
                  <c:v>240.2921</c:v>
                </c:pt>
                <c:pt idx="101">
                  <c:v>155.14017311000001</c:v>
                </c:pt>
                <c:pt idx="102">
                  <c:v>128.98854843999999</c:v>
                </c:pt>
                <c:pt idx="103">
                  <c:v>122.83722598999999</c:v>
                </c:pt>
                <c:pt idx="104">
                  <c:v>168.68620576000001</c:v>
                </c:pt>
                <c:pt idx="105">
                  <c:v>254.53548774999999</c:v>
                </c:pt>
                <c:pt idx="106">
                  <c:v>350.38507196</c:v>
                </c:pt>
                <c:pt idx="107">
                  <c:v>440.23495838999997</c:v>
                </c:pt>
                <c:pt idx="108">
                  <c:v>496.08514703999998</c:v>
                </c:pt>
                <c:pt idx="109">
                  <c:v>510.93563790999997</c:v>
                </c:pt>
                <c:pt idx="110">
                  <c:v>465.78643099999999</c:v>
                </c:pt>
                <c:pt idx="111">
                  <c:v>365.63752631</c:v>
                </c:pt>
                <c:pt idx="112">
                  <c:v>311.48892383999998</c:v>
                </c:pt>
                <c:pt idx="113">
                  <c:v>312.34062359000001</c:v>
                </c:pt>
                <c:pt idx="114">
                  <c:v>321.19262556000001</c:v>
                </c:pt>
                <c:pt idx="115">
                  <c:v>283.04492974999999</c:v>
                </c:pt>
                <c:pt idx="116">
                  <c:v>215.89753616000002</c:v>
                </c:pt>
                <c:pt idx="117">
                  <c:v>168.75044478999999</c:v>
                </c:pt>
                <c:pt idx="118">
                  <c:v>160.60365564</c:v>
                </c:pt>
                <c:pt idx="119">
                  <c:v>209.45716870999999</c:v>
                </c:pt>
                <c:pt idx="120">
                  <c:v>283.31098399999996</c:v>
                </c:pt>
                <c:pt idx="121">
                  <c:v>377.16510151</c:v>
                </c:pt>
                <c:pt idx="122">
                  <c:v>420.01952124000002</c:v>
                </c:pt>
                <c:pt idx="123">
                  <c:v>384.87424319000002</c:v>
                </c:pt>
                <c:pt idx="124">
                  <c:v>343.72926735999999</c:v>
                </c:pt>
                <c:pt idx="125">
                  <c:v>341.58459375000001</c:v>
                </c:pt>
                <c:pt idx="126">
                  <c:v>488.44022236000001</c:v>
                </c:pt>
                <c:pt idx="127">
                  <c:v>771.29615319000004</c:v>
                </c:pt>
                <c:pt idx="128">
                  <c:v>1086.1523862399999</c:v>
                </c:pt>
                <c:pt idx="129">
                  <c:v>1110.0089215099999</c:v>
                </c:pt>
                <c:pt idx="130">
                  <c:v>889.86575900000003</c:v>
                </c:pt>
                <c:pt idx="131">
                  <c:v>573.72289870999998</c:v>
                </c:pt>
                <c:pt idx="132">
                  <c:v>356.58034064000003</c:v>
                </c:pt>
                <c:pt idx="133">
                  <c:v>234.43808479</c:v>
                </c:pt>
                <c:pt idx="134">
                  <c:v>150.29613115999999</c:v>
                </c:pt>
                <c:pt idx="135">
                  <c:v>102.15447974999999</c:v>
                </c:pt>
                <c:pt idx="136">
                  <c:v>71.013130559999993</c:v>
                </c:pt>
                <c:pt idx="137">
                  <c:v>44.872083590000003</c:v>
                </c:pt>
                <c:pt idx="138">
                  <c:v>32.731338839999992</c:v>
                </c:pt>
                <c:pt idx="139">
                  <c:v>34.590896310000005</c:v>
                </c:pt>
                <c:pt idx="140">
                  <c:v>38.450755999999998</c:v>
                </c:pt>
                <c:pt idx="141">
                  <c:v>57.310917910000001</c:v>
                </c:pt>
                <c:pt idx="142">
                  <c:v>117.17138204</c:v>
                </c:pt>
                <c:pt idx="143">
                  <c:v>247.03214839</c:v>
                </c:pt>
                <c:pt idx="144">
                  <c:v>410.89321696000002</c:v>
                </c:pt>
                <c:pt idx="145">
                  <c:v>486.75458774999998</c:v>
                </c:pt>
                <c:pt idx="146">
                  <c:v>376.61626075999999</c:v>
                </c:pt>
                <c:pt idx="147">
                  <c:v>190.47823599</c:v>
                </c:pt>
                <c:pt idx="148">
                  <c:v>97.340513439999995</c:v>
                </c:pt>
                <c:pt idx="149">
                  <c:v>61.203093109999998</c:v>
                </c:pt>
                <c:pt idx="150">
                  <c:v>50.065974999999995</c:v>
                </c:pt>
                <c:pt idx="151">
                  <c:v>58.929159110000001</c:v>
                </c:pt>
                <c:pt idx="152">
                  <c:v>57.792645440000001</c:v>
                </c:pt>
                <c:pt idx="153">
                  <c:v>51.656433989999996</c:v>
                </c:pt>
                <c:pt idx="154">
                  <c:v>52.520524760000001</c:v>
                </c:pt>
                <c:pt idx="155">
                  <c:v>31.38491775</c:v>
                </c:pt>
                <c:pt idx="156">
                  <c:v>24.249612960000007</c:v>
                </c:pt>
                <c:pt idx="157">
                  <c:v>30.114610389999996</c:v>
                </c:pt>
                <c:pt idx="158">
                  <c:v>41.979910039999993</c:v>
                </c:pt>
                <c:pt idx="159">
                  <c:v>65.845511909999999</c:v>
                </c:pt>
                <c:pt idx="160">
                  <c:v>109.711416</c:v>
                </c:pt>
                <c:pt idx="161">
                  <c:v>134.57762230999998</c:v>
                </c:pt>
                <c:pt idx="162">
                  <c:v>156.44413084000001</c:v>
                </c:pt>
                <c:pt idx="163">
                  <c:v>164.31094159</c:v>
                </c:pt>
                <c:pt idx="164">
                  <c:v>168.17805455999999</c:v>
                </c:pt>
                <c:pt idx="165">
                  <c:v>212.04546975</c:v>
                </c:pt>
                <c:pt idx="166">
                  <c:v>251.91318716000001</c:v>
                </c:pt>
                <c:pt idx="167">
                  <c:v>288.78120679</c:v>
                </c:pt>
                <c:pt idx="168">
                  <c:v>294.64952863999997</c:v>
                </c:pt>
                <c:pt idx="169">
                  <c:v>272.51815270999998</c:v>
                </c:pt>
                <c:pt idx="170">
                  <c:v>271.38707899999997</c:v>
                </c:pt>
                <c:pt idx="171">
                  <c:v>281.25630751</c:v>
                </c:pt>
                <c:pt idx="172">
                  <c:v>288.12583824000001</c:v>
                </c:pt>
                <c:pt idx="173">
                  <c:v>292.99567119</c:v>
                </c:pt>
                <c:pt idx="174">
                  <c:v>289.86580635999997</c:v>
                </c:pt>
                <c:pt idx="175">
                  <c:v>256.73624374999997</c:v>
                </c:pt>
                <c:pt idx="176">
                  <c:v>230.60698335999999</c:v>
                </c:pt>
                <c:pt idx="177">
                  <c:v>239.47802518999998</c:v>
                </c:pt>
                <c:pt idx="178">
                  <c:v>249.34936923999999</c:v>
                </c:pt>
                <c:pt idx="179">
                  <c:v>314.22101551000003</c:v>
                </c:pt>
                <c:pt idx="180">
                  <c:v>570.09296399999994</c:v>
                </c:pt>
                <c:pt idx="181">
                  <c:v>974.96521471000005</c:v>
                </c:pt>
                <c:pt idx="182">
                  <c:v>1340.83776764</c:v>
                </c:pt>
                <c:pt idx="183">
                  <c:v>1232.7106227899999</c:v>
                </c:pt>
                <c:pt idx="184">
                  <c:v>825.58378016000006</c:v>
                </c:pt>
                <c:pt idx="185">
                  <c:v>425.45723974999999</c:v>
                </c:pt>
                <c:pt idx="186">
                  <c:v>280.33100156</c:v>
                </c:pt>
                <c:pt idx="187">
                  <c:v>246.20506559</c:v>
                </c:pt>
                <c:pt idx="188">
                  <c:v>220.07943183999998</c:v>
                </c:pt>
                <c:pt idx="189">
                  <c:v>196.95410031</c:v>
                </c:pt>
                <c:pt idx="190">
                  <c:v>192.829071</c:v>
                </c:pt>
                <c:pt idx="191">
                  <c:v>204.70434391000001</c:v>
                </c:pt>
                <c:pt idx="192">
                  <c:v>260.57991903999999</c:v>
                </c:pt>
                <c:pt idx="193">
                  <c:v>418.45579638999999</c:v>
                </c:pt>
                <c:pt idx="194">
                  <c:v>670.33197596000002</c:v>
                </c:pt>
                <c:pt idx="195">
                  <c:v>937.20845774999998</c:v>
                </c:pt>
                <c:pt idx="196">
                  <c:v>1038.0852417599999</c:v>
                </c:pt>
                <c:pt idx="197">
                  <c:v>927.96232798999995</c:v>
                </c:pt>
                <c:pt idx="198">
                  <c:v>685.83971643999996</c:v>
                </c:pt>
                <c:pt idx="199">
                  <c:v>465.71740711000001</c:v>
                </c:pt>
                <c:pt idx="200">
                  <c:v>332.59539999999998</c:v>
                </c:pt>
                <c:pt idx="201">
                  <c:v>355.47369510999999</c:v>
                </c:pt>
                <c:pt idx="202">
                  <c:v>581.35229244000004</c:v>
                </c:pt>
                <c:pt idx="203">
                  <c:v>1110.2311919900001</c:v>
                </c:pt>
                <c:pt idx="204">
                  <c:v>1714.1103937600001</c:v>
                </c:pt>
                <c:pt idx="205">
                  <c:v>1807.98989775</c:v>
                </c:pt>
                <c:pt idx="206">
                  <c:v>1297.8697039599999</c:v>
                </c:pt>
                <c:pt idx="207">
                  <c:v>655.74981238999999</c:v>
                </c:pt>
                <c:pt idx="208">
                  <c:v>345.63022304000003</c:v>
                </c:pt>
                <c:pt idx="209">
                  <c:v>219.51093591</c:v>
                </c:pt>
                <c:pt idx="210">
                  <c:v>158.39195100000001</c:v>
                </c:pt>
                <c:pt idx="211">
                  <c:v>119.27326830999999</c:v>
                </c:pt>
                <c:pt idx="212">
                  <c:v>93.154887840000001</c:v>
                </c:pt>
                <c:pt idx="213">
                  <c:v>77.036809590000004</c:v>
                </c:pt>
                <c:pt idx="214">
                  <c:v>77.919033560000003</c:v>
                </c:pt>
                <c:pt idx="215">
                  <c:v>67.801559749999996</c:v>
                </c:pt>
                <c:pt idx="216">
                  <c:v>69.684388159999997</c:v>
                </c:pt>
                <c:pt idx="217">
                  <c:v>70.567518789999994</c:v>
                </c:pt>
                <c:pt idx="218">
                  <c:v>87.45095164</c:v>
                </c:pt>
                <c:pt idx="219">
                  <c:v>88.33468671</c:v>
                </c:pt>
                <c:pt idx="220">
                  <c:v>93.218724000000009</c:v>
                </c:pt>
                <c:pt idx="221">
                  <c:v>118.10306351</c:v>
                </c:pt>
                <c:pt idx="222">
                  <c:v>144.98770524</c:v>
                </c:pt>
                <c:pt idx="223">
                  <c:v>199.87264919</c:v>
                </c:pt>
                <c:pt idx="224">
                  <c:v>283.75789536000002</c:v>
                </c:pt>
                <c:pt idx="225">
                  <c:v>391.64344374999996</c:v>
                </c:pt>
                <c:pt idx="226">
                  <c:v>468.52929435999999</c:v>
                </c:pt>
                <c:pt idx="227">
                  <c:v>496.41544719000001</c:v>
                </c:pt>
                <c:pt idx="228">
                  <c:v>568.30190224</c:v>
                </c:pt>
                <c:pt idx="229">
                  <c:v>620.18865950999998</c:v>
                </c:pt>
                <c:pt idx="230">
                  <c:v>572.07571899999994</c:v>
                </c:pt>
                <c:pt idx="231">
                  <c:v>465.96308070999999</c:v>
                </c:pt>
                <c:pt idx="232">
                  <c:v>366.85074464000002</c:v>
                </c:pt>
                <c:pt idx="233">
                  <c:v>337.73871079000003</c:v>
                </c:pt>
                <c:pt idx="234">
                  <c:v>369.62697916000002</c:v>
                </c:pt>
                <c:pt idx="235">
                  <c:v>470.51554974999999</c:v>
                </c:pt>
                <c:pt idx="236">
                  <c:v>635.40442256000006</c:v>
                </c:pt>
                <c:pt idx="237">
                  <c:v>1043.29359759</c:v>
                </c:pt>
                <c:pt idx="238">
                  <c:v>2349.1830748399998</c:v>
                </c:pt>
                <c:pt idx="239">
                  <c:v>4668.0728543100004</c:v>
                </c:pt>
                <c:pt idx="240">
                  <c:v>6691.9629359999999</c:v>
                </c:pt>
                <c:pt idx="241">
                  <c:v>6227.8533199100002</c:v>
                </c:pt>
                <c:pt idx="242">
                  <c:v>3994.7440060399999</c:v>
                </c:pt>
                <c:pt idx="243">
                  <c:v>1896.63499439</c:v>
                </c:pt>
                <c:pt idx="244">
                  <c:v>1024.5262849599999</c:v>
                </c:pt>
                <c:pt idx="245">
                  <c:v>658.41787775</c:v>
                </c:pt>
                <c:pt idx="246">
                  <c:v>460.30977275999999</c:v>
                </c:pt>
                <c:pt idx="247">
                  <c:v>337.20196999000001</c:v>
                </c:pt>
                <c:pt idx="248">
                  <c:v>303.09446944000001</c:v>
                </c:pt>
                <c:pt idx="249">
                  <c:v>244.98727110999999</c:v>
                </c:pt>
                <c:pt idx="250">
                  <c:v>222.88037500000002</c:v>
                </c:pt>
                <c:pt idx="251">
                  <c:v>215.77378110999999</c:v>
                </c:pt>
                <c:pt idx="252">
                  <c:v>236.66748944</c:v>
                </c:pt>
                <c:pt idx="253">
                  <c:v>278.56149999000002</c:v>
                </c:pt>
                <c:pt idx="254">
                  <c:v>371.45581276000001</c:v>
                </c:pt>
                <c:pt idx="255">
                  <c:v>561.35042774999999</c:v>
                </c:pt>
                <c:pt idx="256">
                  <c:v>716.24534496000001</c:v>
                </c:pt>
                <c:pt idx="257">
                  <c:v>688.14056439000001</c:v>
                </c:pt>
                <c:pt idx="258">
                  <c:v>518.03608603999999</c:v>
                </c:pt>
                <c:pt idx="259">
                  <c:v>308.93190991</c:v>
                </c:pt>
                <c:pt idx="260">
                  <c:v>208.828036</c:v>
                </c:pt>
                <c:pt idx="261">
                  <c:v>177.72446431</c:v>
                </c:pt>
                <c:pt idx="262">
                  <c:v>170.62119483999999</c:v>
                </c:pt>
                <c:pt idx="263">
                  <c:v>160.51822758999998</c:v>
                </c:pt>
                <c:pt idx="264">
                  <c:v>140.41556256000001</c:v>
                </c:pt>
                <c:pt idx="265">
                  <c:v>144.31319975</c:v>
                </c:pt>
                <c:pt idx="266">
                  <c:v>157.21113916000002</c:v>
                </c:pt>
                <c:pt idx="267">
                  <c:v>188.10938078999999</c:v>
                </c:pt>
                <c:pt idx="268">
                  <c:v>185.00792464</c:v>
                </c:pt>
                <c:pt idx="269">
                  <c:v>168.90677070999999</c:v>
                </c:pt>
                <c:pt idx="270">
                  <c:v>149.80591900000002</c:v>
                </c:pt>
                <c:pt idx="271">
                  <c:v>155.70536951</c:v>
                </c:pt>
                <c:pt idx="272">
                  <c:v>160.60512224000001</c:v>
                </c:pt>
                <c:pt idx="273">
                  <c:v>156.50517718999998</c:v>
                </c:pt>
                <c:pt idx="274">
                  <c:v>130.40553435999999</c:v>
                </c:pt>
                <c:pt idx="275">
                  <c:v>118.30619375000001</c:v>
                </c:pt>
                <c:pt idx="276">
                  <c:v>131.20715536</c:v>
                </c:pt>
                <c:pt idx="277">
                  <c:v>161.10841919000001</c:v>
                </c:pt>
                <c:pt idx="278">
                  <c:v>163.00998523999999</c:v>
                </c:pt>
                <c:pt idx="279">
                  <c:v>152.91185351000001</c:v>
                </c:pt>
                <c:pt idx="280">
                  <c:v>137.81402400000002</c:v>
                </c:pt>
                <c:pt idx="281">
                  <c:v>141.71649671</c:v>
                </c:pt>
                <c:pt idx="282">
                  <c:v>157.61927163999999</c:v>
                </c:pt>
                <c:pt idx="283">
                  <c:v>146.52234879</c:v>
                </c:pt>
                <c:pt idx="284">
                  <c:v>121.42572816000001</c:v>
                </c:pt>
                <c:pt idx="285">
                  <c:v>102.32940975</c:v>
                </c:pt>
                <c:pt idx="286">
                  <c:v>103.23339356</c:v>
                </c:pt>
                <c:pt idx="287">
                  <c:v>112.13767959</c:v>
                </c:pt>
                <c:pt idx="288">
                  <c:v>121.04226783999999</c:v>
                </c:pt>
                <c:pt idx="289">
                  <c:v>89.947158309999992</c:v>
                </c:pt>
                <c:pt idx="290">
                  <c:v>79.852350999999999</c:v>
                </c:pt>
                <c:pt idx="291">
                  <c:v>82.75784591</c:v>
                </c:pt>
                <c:pt idx="292">
                  <c:v>103.66364304</c:v>
                </c:pt>
                <c:pt idx="293">
                  <c:v>109.56974239</c:v>
                </c:pt>
                <c:pt idx="294">
                  <c:v>85.476143960000002</c:v>
                </c:pt>
                <c:pt idx="295">
                  <c:v>91.382847749999996</c:v>
                </c:pt>
                <c:pt idx="296">
                  <c:v>100.28985376</c:v>
                </c:pt>
                <c:pt idx="297">
                  <c:v>121.19716199</c:v>
                </c:pt>
                <c:pt idx="298">
                  <c:v>126.10477244</c:v>
                </c:pt>
                <c:pt idx="299">
                  <c:v>116.01268510999999</c:v>
                </c:pt>
                <c:pt idx="300">
                  <c:v>108.9209</c:v>
                </c:pt>
                <c:pt idx="301">
                  <c:v>120.82941711000001</c:v>
                </c:pt>
                <c:pt idx="302">
                  <c:v>120.73823644000001</c:v>
                </c:pt>
                <c:pt idx="303">
                  <c:v>152.64735798999999</c:v>
                </c:pt>
                <c:pt idx="304">
                  <c:v>159.55678176000001</c:v>
                </c:pt>
                <c:pt idx="305">
                  <c:v>147.46650775000001</c:v>
                </c:pt>
                <c:pt idx="306">
                  <c:v>155.37653596000001</c:v>
                </c:pt>
                <c:pt idx="307">
                  <c:v>152.28686639</c:v>
                </c:pt>
                <c:pt idx="308">
                  <c:v>147.19749904</c:v>
                </c:pt>
                <c:pt idx="309">
                  <c:v>118.10843391</c:v>
                </c:pt>
                <c:pt idx="310">
                  <c:v>112.01967099999999</c:v>
                </c:pt>
                <c:pt idx="311">
                  <c:v>93.931210309999997</c:v>
                </c:pt>
                <c:pt idx="312">
                  <c:v>100.84305184</c:v>
                </c:pt>
                <c:pt idx="313">
                  <c:v>112.75519559</c:v>
                </c:pt>
                <c:pt idx="314">
                  <c:v>107.66764155999999</c:v>
                </c:pt>
                <c:pt idx="315">
                  <c:v>89.580389749999995</c:v>
                </c:pt>
                <c:pt idx="316">
                  <c:v>74.493440160000006</c:v>
                </c:pt>
                <c:pt idx="317">
                  <c:v>76.406792789999997</c:v>
                </c:pt>
                <c:pt idx="318">
                  <c:v>71.320447639999998</c:v>
                </c:pt>
                <c:pt idx="319">
                  <c:v>79.234404710000007</c:v>
                </c:pt>
                <c:pt idx="320">
                  <c:v>83.148663999999997</c:v>
                </c:pt>
                <c:pt idx="321">
                  <c:v>68.063225509999995</c:v>
                </c:pt>
                <c:pt idx="322">
                  <c:v>57.978089240000003</c:v>
                </c:pt>
                <c:pt idx="323">
                  <c:v>57.893255189999991</c:v>
                </c:pt>
                <c:pt idx="324">
                  <c:v>66.808723360000002</c:v>
                </c:pt>
                <c:pt idx="325">
                  <c:v>64.724493749999993</c:v>
                </c:pt>
                <c:pt idx="326">
                  <c:v>67.640566359999994</c:v>
                </c:pt>
                <c:pt idx="327">
                  <c:v>65.556941190000003</c:v>
                </c:pt>
                <c:pt idx="328">
                  <c:v>67.473618240000008</c:v>
                </c:pt>
                <c:pt idx="329">
                  <c:v>62.390597510000006</c:v>
                </c:pt>
                <c:pt idx="330">
                  <c:v>62.307879</c:v>
                </c:pt>
                <c:pt idx="331">
                  <c:v>67.225462710000002</c:v>
                </c:pt>
                <c:pt idx="332">
                  <c:v>69.143348639999999</c:v>
                </c:pt>
                <c:pt idx="333">
                  <c:v>67.061536789999991</c:v>
                </c:pt>
                <c:pt idx="334">
                  <c:v>69.980027159999992</c:v>
                </c:pt>
                <c:pt idx="335">
                  <c:v>74.898819750000001</c:v>
                </c:pt>
                <c:pt idx="336">
                  <c:v>82.817914560000006</c:v>
                </c:pt>
                <c:pt idx="337">
                  <c:v>126.73731158999999</c:v>
                </c:pt>
                <c:pt idx="338">
                  <c:v>221.65701084</c:v>
                </c:pt>
                <c:pt idx="339">
                  <c:v>306.57701230999999</c:v>
                </c:pt>
                <c:pt idx="340">
                  <c:v>388.49731600000001</c:v>
                </c:pt>
                <c:pt idx="341">
                  <c:v>434.41792191000002</c:v>
                </c:pt>
                <c:pt idx="342">
                  <c:v>569.33883003999995</c:v>
                </c:pt>
                <c:pt idx="343">
                  <c:v>918.26004038999997</c:v>
                </c:pt>
                <c:pt idx="344">
                  <c:v>1433.1815529600001</c:v>
                </c:pt>
                <c:pt idx="345">
                  <c:v>1611.10336775</c:v>
                </c:pt>
                <c:pt idx="346">
                  <c:v>1244.0254847599999</c:v>
                </c:pt>
                <c:pt idx="347">
                  <c:v>746.94790398999999</c:v>
                </c:pt>
                <c:pt idx="348">
                  <c:v>476.87062544000003</c:v>
                </c:pt>
                <c:pt idx="349">
                  <c:v>402.79364910999999</c:v>
                </c:pt>
                <c:pt idx="350">
                  <c:v>356.71697499999999</c:v>
                </c:pt>
                <c:pt idx="351">
                  <c:v>282.64060311000003</c:v>
                </c:pt>
                <c:pt idx="352">
                  <c:v>185.56453343999999</c:v>
                </c:pt>
                <c:pt idx="353">
                  <c:v>132.48876598999999</c:v>
                </c:pt>
                <c:pt idx="354">
                  <c:v>123.41330076</c:v>
                </c:pt>
                <c:pt idx="355">
                  <c:v>115.33813775</c:v>
                </c:pt>
                <c:pt idx="356">
                  <c:v>108.26327696</c:v>
                </c:pt>
                <c:pt idx="357">
                  <c:v>92.188718390000005</c:v>
                </c:pt>
                <c:pt idx="358">
                  <c:v>74.114462040000006</c:v>
                </c:pt>
                <c:pt idx="359">
                  <c:v>91.040507910000002</c:v>
                </c:pt>
                <c:pt idx="360">
                  <c:v>87.966855999999993</c:v>
                </c:pt>
                <c:pt idx="361">
                  <c:v>97.893506309999992</c:v>
                </c:pt>
                <c:pt idx="362">
                  <c:v>97.820458840000001</c:v>
                </c:pt>
                <c:pt idx="363">
                  <c:v>92.747713590000004</c:v>
                </c:pt>
                <c:pt idx="364">
                  <c:v>90.675270560000001</c:v>
                </c:pt>
                <c:pt idx="365">
                  <c:v>71.603129750000008</c:v>
                </c:pt>
                <c:pt idx="366">
                  <c:v>72.531291159999995</c:v>
                </c:pt>
                <c:pt idx="367">
                  <c:v>54.459754790000005</c:v>
                </c:pt>
                <c:pt idx="368">
                  <c:v>58.388520639999996</c:v>
                </c:pt>
                <c:pt idx="369">
                  <c:v>77.317588709999995</c:v>
                </c:pt>
                <c:pt idx="370">
                  <c:v>79.246959000000004</c:v>
                </c:pt>
                <c:pt idx="371">
                  <c:v>81.176631510000007</c:v>
                </c:pt>
                <c:pt idx="372">
                  <c:v>67.106606240000005</c:v>
                </c:pt>
                <c:pt idx="373">
                  <c:v>61.036883189999998</c:v>
                </c:pt>
                <c:pt idx="374">
                  <c:v>46.967462359999999</c:v>
                </c:pt>
                <c:pt idx="375">
                  <c:v>44.898343749999995</c:v>
                </c:pt>
                <c:pt idx="376">
                  <c:v>26.82952736</c:v>
                </c:pt>
                <c:pt idx="377">
                  <c:v>23.76101319</c:v>
                </c:pt>
                <c:pt idx="378">
                  <c:v>22.692801240000009</c:v>
                </c:pt>
                <c:pt idx="379">
                  <c:v>17.624891509999998</c:v>
                </c:pt>
                <c:pt idx="380">
                  <c:v>27.557283999999996</c:v>
                </c:pt>
                <c:pt idx="381">
                  <c:v>46.489978710000003</c:v>
                </c:pt>
                <c:pt idx="382">
                  <c:v>81.422975640000004</c:v>
                </c:pt>
                <c:pt idx="383">
                  <c:v>110.35627479</c:v>
                </c:pt>
                <c:pt idx="384">
                  <c:v>114.28987616000001</c:v>
                </c:pt>
                <c:pt idx="385">
                  <c:v>143.22377975000001</c:v>
                </c:pt>
                <c:pt idx="386">
                  <c:v>225.15798555999999</c:v>
                </c:pt>
                <c:pt idx="387">
                  <c:v>342.09249359</c:v>
                </c:pt>
                <c:pt idx="388">
                  <c:v>430.02730384</c:v>
                </c:pt>
                <c:pt idx="389">
                  <c:v>425.96241630999998</c:v>
                </c:pt>
                <c:pt idx="390">
                  <c:v>366.897831</c:v>
                </c:pt>
                <c:pt idx="391">
                  <c:v>329.83354790999999</c:v>
                </c:pt>
                <c:pt idx="392">
                  <c:v>325.76956703999997</c:v>
                </c:pt>
                <c:pt idx="393">
                  <c:v>303.70588838999998</c:v>
                </c:pt>
                <c:pt idx="394">
                  <c:v>289.64251195999998</c:v>
                </c:pt>
                <c:pt idx="395">
                  <c:v>265.57943775000001</c:v>
                </c:pt>
                <c:pt idx="396">
                  <c:v>265.51666576000002</c:v>
                </c:pt>
                <c:pt idx="397">
                  <c:v>259.45419599000002</c:v>
                </c:pt>
                <c:pt idx="398">
                  <c:v>252.39202843999999</c:v>
                </c:pt>
                <c:pt idx="399">
                  <c:v>211.33016311</c:v>
                </c:pt>
                <c:pt idx="400">
                  <c:v>202.26859999999999</c:v>
                </c:pt>
                <c:pt idx="401">
                  <c:v>174.20733910999999</c:v>
                </c:pt>
                <c:pt idx="402">
                  <c:v>184.14638044</c:v>
                </c:pt>
                <c:pt idx="403">
                  <c:v>172.08572399000002</c:v>
                </c:pt>
                <c:pt idx="404">
                  <c:v>164.02536975999999</c:v>
                </c:pt>
                <c:pt idx="405">
                  <c:v>148.96531775</c:v>
                </c:pt>
                <c:pt idx="406">
                  <c:v>138.90556796000001</c:v>
                </c:pt>
                <c:pt idx="407">
                  <c:v>149.84612039000001</c:v>
                </c:pt>
                <c:pt idx="408">
                  <c:v>148.78697504000002</c:v>
                </c:pt>
                <c:pt idx="409">
                  <c:v>143.72813191</c:v>
                </c:pt>
                <c:pt idx="410">
                  <c:v>132.669591</c:v>
                </c:pt>
                <c:pt idx="411">
                  <c:v>109.61135231</c:v>
                </c:pt>
                <c:pt idx="412">
                  <c:v>114.55341584000001</c:v>
                </c:pt>
                <c:pt idx="413">
                  <c:v>123.49578159000001</c:v>
                </c:pt>
                <c:pt idx="414">
                  <c:v>129.43844955999998</c:v>
                </c:pt>
                <c:pt idx="415">
                  <c:v>125.38141974999999</c:v>
                </c:pt>
                <c:pt idx="416">
                  <c:v>108.32469216</c:v>
                </c:pt>
                <c:pt idx="417">
                  <c:v>101.26826679</c:v>
                </c:pt>
                <c:pt idx="418">
                  <c:v>110.21214364000001</c:v>
                </c:pt>
                <c:pt idx="419">
                  <c:v>101.15632271000001</c:v>
                </c:pt>
                <c:pt idx="420">
                  <c:v>108.100804</c:v>
                </c:pt>
                <c:pt idx="421">
                  <c:v>109.04558751</c:v>
                </c:pt>
                <c:pt idx="422">
                  <c:v>86.990673240000007</c:v>
                </c:pt>
                <c:pt idx="423">
                  <c:v>76.936061190000004</c:v>
                </c:pt>
                <c:pt idx="424">
                  <c:v>87.881751359999996</c:v>
                </c:pt>
                <c:pt idx="425">
                  <c:v>97.82774375000001</c:v>
                </c:pt>
                <c:pt idx="426">
                  <c:v>102.77403836000001</c:v>
                </c:pt>
                <c:pt idx="427">
                  <c:v>108.72063519</c:v>
                </c:pt>
                <c:pt idx="428">
                  <c:v>112.66753423999999</c:v>
                </c:pt>
                <c:pt idx="429">
                  <c:v>135.61473551</c:v>
                </c:pt>
                <c:pt idx="430">
                  <c:v>175.56223900000001</c:v>
                </c:pt>
                <c:pt idx="431">
                  <c:v>211.51004470999999</c:v>
                </c:pt>
                <c:pt idx="432">
                  <c:v>230.45815264000001</c:v>
                </c:pt>
                <c:pt idx="433">
                  <c:v>198.40656279000001</c:v>
                </c:pt>
                <c:pt idx="434">
                  <c:v>184.35527515999999</c:v>
                </c:pt>
                <c:pt idx="435">
                  <c:v>216.30428975000001</c:v>
                </c:pt>
                <c:pt idx="436">
                  <c:v>316.25360655999998</c:v>
                </c:pt>
                <c:pt idx="437">
                  <c:v>422.20322558999999</c:v>
                </c:pt>
                <c:pt idx="438">
                  <c:v>506.15314683999998</c:v>
                </c:pt>
                <c:pt idx="439">
                  <c:v>695.10337030999995</c:v>
                </c:pt>
                <c:pt idx="440">
                  <c:v>1160.0538959999999</c:v>
                </c:pt>
                <c:pt idx="441">
                  <c:v>2091.0047239099999</c:v>
                </c:pt>
                <c:pt idx="442">
                  <c:v>4632.9558540400003</c:v>
                </c:pt>
                <c:pt idx="443">
                  <c:v>10576.90728639</c:v>
                </c:pt>
                <c:pt idx="444">
                  <c:v>21079.859020960001</c:v>
                </c:pt>
                <c:pt idx="445">
                  <c:v>27547.811057750001</c:v>
                </c:pt>
                <c:pt idx="446">
                  <c:v>25190.763396760001</c:v>
                </c:pt>
                <c:pt idx="447">
                  <c:v>16049.71603799</c:v>
                </c:pt>
                <c:pt idx="448">
                  <c:v>8125.6689814399997</c:v>
                </c:pt>
                <c:pt idx="449">
                  <c:v>3848.62222711</c:v>
                </c:pt>
                <c:pt idx="450">
                  <c:v>1661.575775</c:v>
                </c:pt>
                <c:pt idx="451">
                  <c:v>732.52962510999998</c:v>
                </c:pt>
                <c:pt idx="452">
                  <c:v>376.48377744000004</c:v>
                </c:pt>
                <c:pt idx="453">
                  <c:v>242.43823199000002</c:v>
                </c:pt>
                <c:pt idx="454">
                  <c:v>206.39298875999998</c:v>
                </c:pt>
                <c:pt idx="455">
                  <c:v>163.34804774999998</c:v>
                </c:pt>
                <c:pt idx="456">
                  <c:v>127.30340896</c:v>
                </c:pt>
                <c:pt idx="457">
                  <c:v>101.25907239</c:v>
                </c:pt>
                <c:pt idx="458">
                  <c:v>87.215038039999996</c:v>
                </c:pt>
                <c:pt idx="459">
                  <c:v>54.171305910000001</c:v>
                </c:pt>
                <c:pt idx="460">
                  <c:v>58.127876000000015</c:v>
                </c:pt>
                <c:pt idx="461">
                  <c:v>88.084748309999995</c:v>
                </c:pt>
                <c:pt idx="462">
                  <c:v>120.04192284</c:v>
                </c:pt>
                <c:pt idx="463">
                  <c:v>122.99939959</c:v>
                </c:pt>
                <c:pt idx="464">
                  <c:v>98.957178560000003</c:v>
                </c:pt>
                <c:pt idx="465">
                  <c:v>75.915259750000004</c:v>
                </c:pt>
                <c:pt idx="466">
                  <c:v>79.87364316</c:v>
                </c:pt>
                <c:pt idx="467">
                  <c:v>82.832328790000005</c:v>
                </c:pt>
                <c:pt idx="468">
                  <c:v>109.79131663999999</c:v>
                </c:pt>
                <c:pt idx="469">
                  <c:v>130.75060671</c:v>
                </c:pt>
                <c:pt idx="470">
                  <c:v>125.710199</c:v>
                </c:pt>
                <c:pt idx="471">
                  <c:v>111.67009351</c:v>
                </c:pt>
                <c:pt idx="472">
                  <c:v>96.630290239999994</c:v>
                </c:pt>
                <c:pt idx="473">
                  <c:v>87.59078919000001</c:v>
                </c:pt>
                <c:pt idx="474">
                  <c:v>83.551590360000006</c:v>
                </c:pt>
                <c:pt idx="475">
                  <c:v>74.512693749999997</c:v>
                </c:pt>
                <c:pt idx="476">
                  <c:v>60.474099359999997</c:v>
                </c:pt>
                <c:pt idx="477">
                  <c:v>51.435807189999991</c:v>
                </c:pt>
                <c:pt idx="478">
                  <c:v>68.397817239999995</c:v>
                </c:pt>
                <c:pt idx="479">
                  <c:v>106.36012951000001</c:v>
                </c:pt>
                <c:pt idx="480">
                  <c:v>141.322744</c:v>
                </c:pt>
                <c:pt idx="481">
                  <c:v>111.28566071</c:v>
                </c:pt>
                <c:pt idx="482">
                  <c:v>73.248879639999998</c:v>
                </c:pt>
                <c:pt idx="483">
                  <c:v>44.212400790000004</c:v>
                </c:pt>
                <c:pt idx="484">
                  <c:v>35.176224160000004</c:v>
                </c:pt>
                <c:pt idx="485">
                  <c:v>30.140349750000013</c:v>
                </c:pt>
                <c:pt idx="486">
                  <c:v>14.104777560000002</c:v>
                </c:pt>
                <c:pt idx="487">
                  <c:v>30.069507590000001</c:v>
                </c:pt>
                <c:pt idx="488">
                  <c:v>32.034539840000008</c:v>
                </c:pt>
                <c:pt idx="489">
                  <c:v>36.999874309999996</c:v>
                </c:pt>
                <c:pt idx="490">
                  <c:v>43.965510999999992</c:v>
                </c:pt>
                <c:pt idx="491">
                  <c:v>38.931449909999998</c:v>
                </c:pt>
                <c:pt idx="492">
                  <c:v>32.897691040000012</c:v>
                </c:pt>
                <c:pt idx="493">
                  <c:v>30.864234390000007</c:v>
                </c:pt>
                <c:pt idx="494">
                  <c:v>54.831079960000011</c:v>
                </c:pt>
                <c:pt idx="495">
                  <c:v>91.798227749999995</c:v>
                </c:pt>
                <c:pt idx="496">
                  <c:v>129.76567775999999</c:v>
                </c:pt>
                <c:pt idx="497">
                  <c:v>154.73342998999999</c:v>
                </c:pt>
                <c:pt idx="498">
                  <c:v>128.70148444</c:v>
                </c:pt>
                <c:pt idx="499">
                  <c:v>78.669841109999993</c:v>
                </c:pt>
                <c:pt idx="500">
                  <c:v>55.638500000000008</c:v>
                </c:pt>
                <c:pt idx="501">
                  <c:v>41.607461110000003</c:v>
                </c:pt>
                <c:pt idx="502">
                  <c:v>16.576724439999992</c:v>
                </c:pt>
                <c:pt idx="503">
                  <c:v>19.546289989999991</c:v>
                </c:pt>
                <c:pt idx="504">
                  <c:v>24.516157759999999</c:v>
                </c:pt>
                <c:pt idx="505">
                  <c:v>33.486327750000001</c:v>
                </c:pt>
                <c:pt idx="506">
                  <c:v>64.456799960000012</c:v>
                </c:pt>
                <c:pt idx="507">
                  <c:v>127.42757439000002</c:v>
                </c:pt>
                <c:pt idx="508">
                  <c:v>186.39865104</c:v>
                </c:pt>
                <c:pt idx="509">
                  <c:v>216.37002991</c:v>
                </c:pt>
                <c:pt idx="510">
                  <c:v>261.34171100000003</c:v>
                </c:pt>
                <c:pt idx="511">
                  <c:v>350.31369431000002</c:v>
                </c:pt>
                <c:pt idx="512">
                  <c:v>521.28597983999998</c:v>
                </c:pt>
                <c:pt idx="513">
                  <c:v>727.25856758999998</c:v>
                </c:pt>
                <c:pt idx="514">
                  <c:v>945.23145755999997</c:v>
                </c:pt>
                <c:pt idx="515">
                  <c:v>1631.20464975</c:v>
                </c:pt>
                <c:pt idx="516">
                  <c:v>3186.1781441600001</c:v>
                </c:pt>
                <c:pt idx="517">
                  <c:v>5579.1519407899996</c:v>
                </c:pt>
                <c:pt idx="518">
                  <c:v>7144.1260396400003</c:v>
                </c:pt>
                <c:pt idx="519">
                  <c:v>6395.1004407099999</c:v>
                </c:pt>
                <c:pt idx="520">
                  <c:v>4207.0751440000004</c:v>
                </c:pt>
                <c:pt idx="521">
                  <c:v>2350.0501495100002</c:v>
                </c:pt>
                <c:pt idx="522">
                  <c:v>1155.0254572399999</c:v>
                </c:pt>
                <c:pt idx="523">
                  <c:v>472.00106718999996</c:v>
                </c:pt>
                <c:pt idx="524">
                  <c:v>207.97697936</c:v>
                </c:pt>
                <c:pt idx="525">
                  <c:v>116.95319375</c:v>
                </c:pt>
                <c:pt idx="526">
                  <c:v>84.929710360000001</c:v>
                </c:pt>
                <c:pt idx="527">
                  <c:v>52.906529190000001</c:v>
                </c:pt>
                <c:pt idx="528">
                  <c:v>35.883650240000009</c:v>
                </c:pt>
                <c:pt idx="529">
                  <c:v>31.861073510000011</c:v>
                </c:pt>
                <c:pt idx="530">
                  <c:v>29.838798999999995</c:v>
                </c:pt>
                <c:pt idx="531">
                  <c:v>25.816826710000001</c:v>
                </c:pt>
                <c:pt idx="532">
                  <c:v>23.795156640000002</c:v>
                </c:pt>
                <c:pt idx="533">
                  <c:v>33.773788789999998</c:v>
                </c:pt>
                <c:pt idx="534">
                  <c:v>29.752723160000002</c:v>
                </c:pt>
                <c:pt idx="535">
                  <c:v>20.731959750000016</c:v>
                </c:pt>
                <c:pt idx="536">
                  <c:v>7.7114985599999955</c:v>
                </c:pt>
                <c:pt idx="537">
                  <c:v>7.6913395899999983</c:v>
                </c:pt>
                <c:pt idx="538">
                  <c:v>19.67148284000001</c:v>
                </c:pt>
                <c:pt idx="539">
                  <c:v>44.651928310000002</c:v>
                </c:pt>
                <c:pt idx="540">
                  <c:v>48.632676000000004</c:v>
                </c:pt>
                <c:pt idx="541">
                  <c:v>38.613725909999999</c:v>
                </c:pt>
                <c:pt idx="542">
                  <c:v>60.595078040000004</c:v>
                </c:pt>
                <c:pt idx="543">
                  <c:v>100.57673238999999</c:v>
                </c:pt>
                <c:pt idx="544">
                  <c:v>108.55868896</c:v>
                </c:pt>
                <c:pt idx="545">
                  <c:v>92.540947750000001</c:v>
                </c:pt>
                <c:pt idx="546">
                  <c:v>40.523508759999999</c:v>
                </c:pt>
                <c:pt idx="547">
                  <c:v>20.506371990000005</c:v>
                </c:pt>
                <c:pt idx="548">
                  <c:v>3.4895374400000065</c:v>
                </c:pt>
                <c:pt idx="549">
                  <c:v>15.473005110000003</c:v>
                </c:pt>
                <c:pt idx="550">
                  <c:v>8.4567749999999933</c:v>
                </c:pt>
                <c:pt idx="551">
                  <c:v>11.440847109999993</c:v>
                </c:pt>
                <c:pt idx="552">
                  <c:v>-0.57477855999999861</c:v>
                </c:pt>
                <c:pt idx="553">
                  <c:v>-7.5901020099999954</c:v>
                </c:pt>
                <c:pt idx="554">
                  <c:v>-7.6051232399999975</c:v>
                </c:pt>
                <c:pt idx="555">
                  <c:v>-13.619842249999991</c:v>
                </c:pt>
                <c:pt idx="556">
                  <c:v>-8.6342590399999892</c:v>
                </c:pt>
                <c:pt idx="557">
                  <c:v>9.3516263900000069</c:v>
                </c:pt>
                <c:pt idx="558">
                  <c:v>46.337814039999998</c:v>
                </c:pt>
                <c:pt idx="559">
                  <c:v>89.324303909999998</c:v>
                </c:pt>
                <c:pt idx="560">
                  <c:v>147.31109600000002</c:v>
                </c:pt>
                <c:pt idx="561">
                  <c:v>160.29819031</c:v>
                </c:pt>
                <c:pt idx="562">
                  <c:v>124.28558684000001</c:v>
                </c:pt>
                <c:pt idx="563">
                  <c:v>84.273285590000015</c:v>
                </c:pt>
                <c:pt idx="564">
                  <c:v>83.261286560000002</c:v>
                </c:pt>
                <c:pt idx="565">
                  <c:v>80.249589749999998</c:v>
                </c:pt>
                <c:pt idx="566">
                  <c:v>66.238195160000004</c:v>
                </c:pt>
                <c:pt idx="567">
                  <c:v>27.227102790000004</c:v>
                </c:pt>
                <c:pt idx="568">
                  <c:v>5.2163126400000124</c:v>
                </c:pt>
                <c:pt idx="569">
                  <c:v>-2.7941752899999841</c:v>
                </c:pt>
                <c:pt idx="570">
                  <c:v>-13.804360999999986</c:v>
                </c:pt>
                <c:pt idx="571">
                  <c:v>-22.814244489999993</c:v>
                </c:pt>
                <c:pt idx="572">
                  <c:v>-22.823825760000005</c:v>
                </c:pt>
                <c:pt idx="573">
                  <c:v>-27.833104809999995</c:v>
                </c:pt>
                <c:pt idx="574">
                  <c:v>-28.842081640000004</c:v>
                </c:pt>
                <c:pt idx="575">
                  <c:v>-22.850756249999989</c:v>
                </c:pt>
                <c:pt idx="576">
                  <c:v>-22.859128639999994</c:v>
                </c:pt>
                <c:pt idx="577">
                  <c:v>-33.867198810000005</c:v>
                </c:pt>
                <c:pt idx="578">
                  <c:v>-31.874966760000007</c:v>
                </c:pt>
                <c:pt idx="579">
                  <c:v>-21.882432489999999</c:v>
                </c:pt>
                <c:pt idx="580">
                  <c:v>-24.889595999999997</c:v>
                </c:pt>
                <c:pt idx="581">
                  <c:v>-24.896457290000001</c:v>
                </c:pt>
                <c:pt idx="582">
                  <c:v>-33.903016359999995</c:v>
                </c:pt>
                <c:pt idx="583">
                  <c:v>-29.909273209999981</c:v>
                </c:pt>
                <c:pt idx="584">
                  <c:v>-33.91522784</c:v>
                </c:pt>
                <c:pt idx="585">
                  <c:v>-20.92088025000001</c:v>
                </c:pt>
                <c:pt idx="586">
                  <c:v>-9.9262304399999834</c:v>
                </c:pt>
                <c:pt idx="587">
                  <c:v>-8.9312784100000044</c:v>
                </c:pt>
                <c:pt idx="588">
                  <c:v>-3.9360241599999881</c:v>
                </c:pt>
                <c:pt idx="589">
                  <c:v>6.0595323100000087</c:v>
                </c:pt>
                <c:pt idx="590">
                  <c:v>42.055391000000014</c:v>
                </c:pt>
                <c:pt idx="591">
                  <c:v>106.05155191</c:v>
                </c:pt>
                <c:pt idx="592">
                  <c:v>230.04801504</c:v>
                </c:pt>
                <c:pt idx="593">
                  <c:v>430.04478039000003</c:v>
                </c:pt>
                <c:pt idx="594">
                  <c:v>584.04184796000004</c:v>
                </c:pt>
                <c:pt idx="595">
                  <c:v>593.03921775000003</c:v>
                </c:pt>
                <c:pt idx="596">
                  <c:v>493.03688976000001</c:v>
                </c:pt>
                <c:pt idx="597">
                  <c:v>385.03486399000002</c:v>
                </c:pt>
                <c:pt idx="598">
                  <c:v>312.03314044000001</c:v>
                </c:pt>
                <c:pt idx="599">
                  <c:v>307.03171910999998</c:v>
                </c:pt>
                <c:pt idx="600">
                  <c:v>358.03059999999999</c:v>
                </c:pt>
                <c:pt idx="601">
                  <c:v>343.02978311000004</c:v>
                </c:pt>
                <c:pt idx="602">
                  <c:v>262.02926844000001</c:v>
                </c:pt>
                <c:pt idx="603">
                  <c:v>181.02905599000002</c:v>
                </c:pt>
                <c:pt idx="604">
                  <c:v>144.02914576000001</c:v>
                </c:pt>
                <c:pt idx="605">
                  <c:v>105.02953775</c:v>
                </c:pt>
                <c:pt idx="606">
                  <c:v>80.030231960000009</c:v>
                </c:pt>
                <c:pt idx="607">
                  <c:v>68.03122839000001</c:v>
                </c:pt>
                <c:pt idx="608">
                  <c:v>77.032527040000005</c:v>
                </c:pt>
                <c:pt idx="609">
                  <c:v>69.034127910000009</c:v>
                </c:pt>
                <c:pt idx="610">
                  <c:v>56.036031000000008</c:v>
                </c:pt>
                <c:pt idx="611">
                  <c:v>44.038236310000002</c:v>
                </c:pt>
                <c:pt idx="612">
                  <c:v>33.040743840000005</c:v>
                </c:pt>
                <c:pt idx="613">
                  <c:v>34.043553590000002</c:v>
                </c:pt>
                <c:pt idx="614">
                  <c:v>32.046665560000008</c:v>
                </c:pt>
                <c:pt idx="615">
                  <c:v>34.050079750000009</c:v>
                </c:pt>
                <c:pt idx="616">
                  <c:v>54.053796160000005</c:v>
                </c:pt>
                <c:pt idx="617">
                  <c:v>70.057814790000009</c:v>
                </c:pt>
                <c:pt idx="618">
                  <c:v>82.062135640000008</c:v>
                </c:pt>
                <c:pt idx="619">
                  <c:v>98.066758710000002</c:v>
                </c:pt>
                <c:pt idx="620">
                  <c:v>92.071684000000005</c:v>
                </c:pt>
                <c:pt idx="621">
                  <c:v>114.07691151</c:v>
                </c:pt>
                <c:pt idx="622">
                  <c:v>177.08244124000001</c:v>
                </c:pt>
                <c:pt idx="623">
                  <c:v>267.08827319</c:v>
                </c:pt>
                <c:pt idx="624">
                  <c:v>357.09440735999999</c:v>
                </c:pt>
                <c:pt idx="625">
                  <c:v>379.10084374999997</c:v>
                </c:pt>
                <c:pt idx="626">
                  <c:v>336.10758236000004</c:v>
                </c:pt>
                <c:pt idx="627">
                  <c:v>294.11462318999997</c:v>
                </c:pt>
                <c:pt idx="628">
                  <c:v>235.12196624000001</c:v>
                </c:pt>
                <c:pt idx="629">
                  <c:v>195.12961151000002</c:v>
                </c:pt>
                <c:pt idx="630">
                  <c:v>168.13755900000001</c:v>
                </c:pt>
                <c:pt idx="631">
                  <c:v>156.14580871000001</c:v>
                </c:pt>
                <c:pt idx="632">
                  <c:v>151.15436063999999</c:v>
                </c:pt>
                <c:pt idx="633">
                  <c:v>125.16321479</c:v>
                </c:pt>
                <c:pt idx="634">
                  <c:v>113.17237116000001</c:v>
                </c:pt>
                <c:pt idx="635">
                  <c:v>103.18182975000001</c:v>
                </c:pt>
                <c:pt idx="636">
                  <c:v>105.19159056000001</c:v>
                </c:pt>
                <c:pt idx="637">
                  <c:v>137.20165359000001</c:v>
                </c:pt>
                <c:pt idx="638">
                  <c:v>219.21201884000001</c:v>
                </c:pt>
                <c:pt idx="639">
                  <c:v>311.22268630999997</c:v>
                </c:pt>
                <c:pt idx="640">
                  <c:v>375.233656</c:v>
                </c:pt>
                <c:pt idx="641">
                  <c:v>367.24492791</c:v>
                </c:pt>
                <c:pt idx="642">
                  <c:v>336.25650203999999</c:v>
                </c:pt>
                <c:pt idx="643">
                  <c:v>304.26837839000001</c:v>
                </c:pt>
                <c:pt idx="644">
                  <c:v>259.28055696000001</c:v>
                </c:pt>
                <c:pt idx="645">
                  <c:v>235.29303775000002</c:v>
                </c:pt>
                <c:pt idx="646">
                  <c:v>241.30582076000002</c:v>
                </c:pt>
                <c:pt idx="647">
                  <c:v>253.31890598999999</c:v>
                </c:pt>
                <c:pt idx="648">
                  <c:v>301.33229344</c:v>
                </c:pt>
                <c:pt idx="649">
                  <c:v>309.34598311000002</c:v>
                </c:pt>
                <c:pt idx="650">
                  <c:v>286.35997500000002</c:v>
                </c:pt>
                <c:pt idx="651">
                  <c:v>262.37426911</c:v>
                </c:pt>
                <c:pt idx="652">
                  <c:v>262.38886544000002</c:v>
                </c:pt>
                <c:pt idx="653">
                  <c:v>234.40376399000002</c:v>
                </c:pt>
                <c:pt idx="654">
                  <c:v>205.41896475999999</c:v>
                </c:pt>
                <c:pt idx="655">
                  <c:v>162.43446775000001</c:v>
                </c:pt>
                <c:pt idx="656">
                  <c:v>141.45027296000001</c:v>
                </c:pt>
                <c:pt idx="657">
                  <c:v>140.46638039000001</c:v>
                </c:pt>
                <c:pt idx="658">
                  <c:v>135.48279004</c:v>
                </c:pt>
                <c:pt idx="659">
                  <c:v>137.49950190999999</c:v>
                </c:pt>
                <c:pt idx="660">
                  <c:v>169.516516</c:v>
                </c:pt>
                <c:pt idx="661">
                  <c:v>244.53383230999998</c:v>
                </c:pt>
                <c:pt idx="662">
                  <c:v>390.55145084000003</c:v>
                </c:pt>
                <c:pt idx="663">
                  <c:v>577.56937158999995</c:v>
                </c:pt>
                <c:pt idx="664">
                  <c:v>802.58759456000007</c:v>
                </c:pt>
                <c:pt idx="665">
                  <c:v>889.60611975000006</c:v>
                </c:pt>
                <c:pt idx="666">
                  <c:v>766.62494716000003</c:v>
                </c:pt>
                <c:pt idx="667">
                  <c:v>552.64407678999999</c:v>
                </c:pt>
                <c:pt idx="668">
                  <c:v>393.66350864000003</c:v>
                </c:pt>
                <c:pt idx="669">
                  <c:v>312.68324271</c:v>
                </c:pt>
                <c:pt idx="670">
                  <c:v>334.70327900000001</c:v>
                </c:pt>
                <c:pt idx="671">
                  <c:v>362.72361751</c:v>
                </c:pt>
                <c:pt idx="672">
                  <c:v>395.74425824000002</c:v>
                </c:pt>
                <c:pt idx="673">
                  <c:v>385.76520118999997</c:v>
                </c:pt>
                <c:pt idx="674">
                  <c:v>353.78644636000001</c:v>
                </c:pt>
                <c:pt idx="675">
                  <c:v>346.80799374999998</c:v>
                </c:pt>
                <c:pt idx="676">
                  <c:v>331.82984336000004</c:v>
                </c:pt>
                <c:pt idx="677">
                  <c:v>298.85199519000003</c:v>
                </c:pt>
                <c:pt idx="678">
                  <c:v>270.87444923999999</c:v>
                </c:pt>
                <c:pt idx="679">
                  <c:v>254.89720551000002</c:v>
                </c:pt>
                <c:pt idx="680">
                  <c:v>254.920264</c:v>
                </c:pt>
                <c:pt idx="681">
                  <c:v>244.94362470999999</c:v>
                </c:pt>
                <c:pt idx="682">
                  <c:v>298.96728764</c:v>
                </c:pt>
                <c:pt idx="683">
                  <c:v>378.99125278999998</c:v>
                </c:pt>
                <c:pt idx="684">
                  <c:v>429.01552015999999</c:v>
                </c:pt>
                <c:pt idx="685">
                  <c:v>475.04008974999999</c:v>
                </c:pt>
                <c:pt idx="686">
                  <c:v>583.06496156000003</c:v>
                </c:pt>
                <c:pt idx="687">
                  <c:v>801.09013559000005</c:v>
                </c:pt>
                <c:pt idx="688">
                  <c:v>1364.1156118399999</c:v>
                </c:pt>
                <c:pt idx="689">
                  <c:v>2763.1413903100001</c:v>
                </c:pt>
                <c:pt idx="690">
                  <c:v>5006.1674709999998</c:v>
                </c:pt>
                <c:pt idx="691">
                  <c:v>7150.1938539100001</c:v>
                </c:pt>
                <c:pt idx="692">
                  <c:v>7376.2205390400004</c:v>
                </c:pt>
                <c:pt idx="693">
                  <c:v>5941.2475263899996</c:v>
                </c:pt>
                <c:pt idx="694">
                  <c:v>4034.2748159600001</c:v>
                </c:pt>
                <c:pt idx="695">
                  <c:v>2456.3024077499999</c:v>
                </c:pt>
                <c:pt idx="696">
                  <c:v>1250.3303017600001</c:v>
                </c:pt>
                <c:pt idx="697">
                  <c:v>612.35849799000005</c:v>
                </c:pt>
                <c:pt idx="698">
                  <c:v>355.38699644000002</c:v>
                </c:pt>
                <c:pt idx="699">
                  <c:v>277.41579711000003</c:v>
                </c:pt>
                <c:pt idx="700">
                  <c:v>252.44490000000002</c:v>
                </c:pt>
                <c:pt idx="701">
                  <c:v>229.47430510999999</c:v>
                </c:pt>
                <c:pt idx="702">
                  <c:v>221.50401244</c:v>
                </c:pt>
                <c:pt idx="703">
                  <c:v>221.53402199000004</c:v>
                </c:pt>
                <c:pt idx="704">
                  <c:v>210.56433376000001</c:v>
                </c:pt>
                <c:pt idx="705">
                  <c:v>200.59494774999999</c:v>
                </c:pt>
                <c:pt idx="706">
                  <c:v>194.62586396</c:v>
                </c:pt>
                <c:pt idx="707">
                  <c:v>178.65708239</c:v>
                </c:pt>
                <c:pt idx="708">
                  <c:v>163.68860304</c:v>
                </c:pt>
                <c:pt idx="709">
                  <c:v>177.72042591000002</c:v>
                </c:pt>
                <c:pt idx="710">
                  <c:v>179.75255100000001</c:v>
                </c:pt>
                <c:pt idx="711">
                  <c:v>192.78497831000001</c:v>
                </c:pt>
                <c:pt idx="712">
                  <c:v>196.81770784000003</c:v>
                </c:pt>
                <c:pt idx="713">
                  <c:v>217.85073958999999</c:v>
                </c:pt>
                <c:pt idx="714">
                  <c:v>216.88407356000002</c:v>
                </c:pt>
                <c:pt idx="715">
                  <c:v>206.91770975000003</c:v>
                </c:pt>
                <c:pt idx="716">
                  <c:v>206.95164816000002</c:v>
                </c:pt>
                <c:pt idx="717">
                  <c:v>186.98588878999999</c:v>
                </c:pt>
                <c:pt idx="718">
                  <c:v>175.02043164</c:v>
                </c:pt>
                <c:pt idx="719">
                  <c:v>155.05527670999999</c:v>
                </c:pt>
                <c:pt idx="720">
                  <c:v>166.09042399999998</c:v>
                </c:pt>
                <c:pt idx="721">
                  <c:v>145.12587351000002</c:v>
                </c:pt>
                <c:pt idx="722">
                  <c:v>145.16162524000001</c:v>
                </c:pt>
                <c:pt idx="723">
                  <c:v>135.19767919</c:v>
                </c:pt>
                <c:pt idx="724">
                  <c:v>136.23403536000001</c:v>
                </c:pt>
                <c:pt idx="725">
                  <c:v>137.27069375000002</c:v>
                </c:pt>
                <c:pt idx="726">
                  <c:v>134.30765436000002</c:v>
                </c:pt>
                <c:pt idx="727">
                  <c:v>129.34491719000002</c:v>
                </c:pt>
                <c:pt idx="728">
                  <c:v>140.38248224</c:v>
                </c:pt>
                <c:pt idx="729">
                  <c:v>155.42034951000002</c:v>
                </c:pt>
                <c:pt idx="730">
                  <c:v>155.45851900000002</c:v>
                </c:pt>
                <c:pt idx="731">
                  <c:v>150.49699070999998</c:v>
                </c:pt>
                <c:pt idx="732">
                  <c:v>153.53576464</c:v>
                </c:pt>
                <c:pt idx="733">
                  <c:v>139.57484079</c:v>
                </c:pt>
                <c:pt idx="734">
                  <c:v>134.61421916</c:v>
                </c:pt>
                <c:pt idx="735">
                  <c:v>140.65389974999999</c:v>
                </c:pt>
                <c:pt idx="736">
                  <c:v>130.69388256000002</c:v>
                </c:pt>
                <c:pt idx="737">
                  <c:v>146.73416759</c:v>
                </c:pt>
                <c:pt idx="738">
                  <c:v>189.77475484000001</c:v>
                </c:pt>
                <c:pt idx="739">
                  <c:v>309.81564431000004</c:v>
                </c:pt>
                <c:pt idx="740">
                  <c:v>555.85683600000004</c:v>
                </c:pt>
                <c:pt idx="741">
                  <c:v>929.89832991000003</c:v>
                </c:pt>
                <c:pt idx="742">
                  <c:v>1292.94012604</c:v>
                </c:pt>
                <c:pt idx="743">
                  <c:v>1345.9822243900001</c:v>
                </c:pt>
                <c:pt idx="744">
                  <c:v>1145.02462496</c:v>
                </c:pt>
                <c:pt idx="745">
                  <c:v>908.06732775</c:v>
                </c:pt>
                <c:pt idx="746">
                  <c:v>670.11033276000001</c:v>
                </c:pt>
                <c:pt idx="747">
                  <c:v>429.15363998999999</c:v>
                </c:pt>
                <c:pt idx="748">
                  <c:v>289.19724944000001</c:v>
                </c:pt>
                <c:pt idx="749">
                  <c:v>194.24116111000001</c:v>
                </c:pt>
                <c:pt idx="750">
                  <c:v>160.28537499999999</c:v>
                </c:pt>
                <c:pt idx="751">
                  <c:v>145.32989111000001</c:v>
                </c:pt>
                <c:pt idx="752">
                  <c:v>176.37470944</c:v>
                </c:pt>
                <c:pt idx="753">
                  <c:v>251.41982999000001</c:v>
                </c:pt>
                <c:pt idx="754">
                  <c:v>354.46525276</c:v>
                </c:pt>
                <c:pt idx="755">
                  <c:v>392.51097775000005</c:v>
                </c:pt>
                <c:pt idx="756">
                  <c:v>383.55700496000003</c:v>
                </c:pt>
                <c:pt idx="757">
                  <c:v>309.60333438999999</c:v>
                </c:pt>
                <c:pt idx="758">
                  <c:v>248.64996603999998</c:v>
                </c:pt>
                <c:pt idx="759">
                  <c:v>167.69689991000001</c:v>
                </c:pt>
                <c:pt idx="760">
                  <c:v>141.744136</c:v>
                </c:pt>
                <c:pt idx="761">
                  <c:v>129.79167430999999</c:v>
                </c:pt>
                <c:pt idx="762">
                  <c:v>151.83951483999999</c:v>
                </c:pt>
                <c:pt idx="763">
                  <c:v>159.88765759</c:v>
                </c:pt>
                <c:pt idx="764">
                  <c:v>159.93610255999999</c:v>
                </c:pt>
                <c:pt idx="765">
                  <c:v>143.98484975000002</c:v>
                </c:pt>
                <c:pt idx="766">
                  <c:v>133.03389916000003</c:v>
                </c:pt>
                <c:pt idx="767">
                  <c:v>115.08325079000001</c:v>
                </c:pt>
                <c:pt idx="768">
                  <c:v>96.132904640000021</c:v>
                </c:pt>
                <c:pt idx="769">
                  <c:v>108.18286071000001</c:v>
                </c:pt>
                <c:pt idx="770">
                  <c:v>105.23311900000002</c:v>
                </c:pt>
                <c:pt idx="771">
                  <c:v>99.283679510000013</c:v>
                </c:pt>
                <c:pt idx="772">
                  <c:v>97.334542240000005</c:v>
                </c:pt>
                <c:pt idx="773">
                  <c:v>98.385707190000005</c:v>
                </c:pt>
                <c:pt idx="774">
                  <c:v>102.43717436</c:v>
                </c:pt>
                <c:pt idx="775">
                  <c:v>123.48894375</c:v>
                </c:pt>
                <c:pt idx="776">
                  <c:v>141.54101536000002</c:v>
                </c:pt>
                <c:pt idx="777">
                  <c:v>159.59338919000001</c:v>
                </c:pt>
                <c:pt idx="778">
                  <c:v>169.64606523999998</c:v>
                </c:pt>
                <c:pt idx="779">
                  <c:v>147.69904351000002</c:v>
                </c:pt>
                <c:pt idx="780">
                  <c:v>125.75232400000002</c:v>
                </c:pt>
                <c:pt idx="781">
                  <c:v>98.805906710000016</c:v>
                </c:pt>
                <c:pt idx="782">
                  <c:v>89.859791640000026</c:v>
                </c:pt>
                <c:pt idx="783">
                  <c:v>74.913978790000016</c:v>
                </c:pt>
                <c:pt idx="784">
                  <c:v>83.968468160000015</c:v>
                </c:pt>
                <c:pt idx="785">
                  <c:v>81.023259750000022</c:v>
                </c:pt>
                <c:pt idx="786">
                  <c:v>85.078353559999996</c:v>
                </c:pt>
                <c:pt idx="787">
                  <c:v>72.133749589999994</c:v>
                </c:pt>
                <c:pt idx="788">
                  <c:v>70.18944784</c:v>
                </c:pt>
                <c:pt idx="789">
                  <c:v>66.24544831</c:v>
                </c:pt>
                <c:pt idx="790">
                  <c:v>81.30175100000001</c:v>
                </c:pt>
                <c:pt idx="791">
                  <c:v>71.35835591</c:v>
                </c:pt>
                <c:pt idx="792">
                  <c:v>66.415263039999999</c:v>
                </c:pt>
                <c:pt idx="793">
                  <c:v>61.472472390000007</c:v>
                </c:pt>
                <c:pt idx="794">
                  <c:v>69.52998396000001</c:v>
                </c:pt>
                <c:pt idx="795">
                  <c:v>82.587797750000007</c:v>
                </c:pt>
                <c:pt idx="796">
                  <c:v>106.64591376000003</c:v>
                </c:pt>
                <c:pt idx="797">
                  <c:v>110.70433199000001</c:v>
                </c:pt>
                <c:pt idx="798">
                  <c:v>146.76305244000002</c:v>
                </c:pt>
                <c:pt idx="799">
                  <c:v>199.82207511000001</c:v>
                </c:pt>
                <c:pt idx="800">
                  <c:v>328.88139999999999</c:v>
                </c:pt>
                <c:pt idx="801">
                  <c:v>492.94102710999999</c:v>
                </c:pt>
                <c:pt idx="802">
                  <c:v>644.00095643999998</c:v>
                </c:pt>
                <c:pt idx="803">
                  <c:v>652.06118799000001</c:v>
                </c:pt>
                <c:pt idx="804">
                  <c:v>535.12172176000001</c:v>
                </c:pt>
                <c:pt idx="805">
                  <c:v>400.18255775</c:v>
                </c:pt>
                <c:pt idx="806">
                  <c:v>313.24369596000003</c:v>
                </c:pt>
                <c:pt idx="807">
                  <c:v>282.30513639000003</c:v>
                </c:pt>
                <c:pt idx="808">
                  <c:v>333.36687904000001</c:v>
                </c:pt>
                <c:pt idx="809">
                  <c:v>399.42892390999998</c:v>
                </c:pt>
                <c:pt idx="810">
                  <c:v>421.49127100000004</c:v>
                </c:pt>
                <c:pt idx="811">
                  <c:v>388.55392031000002</c:v>
                </c:pt>
                <c:pt idx="812">
                  <c:v>349.61687184000004</c:v>
                </c:pt>
                <c:pt idx="813">
                  <c:v>298.68012558999999</c:v>
                </c:pt>
                <c:pt idx="814">
                  <c:v>242.74368156</c:v>
                </c:pt>
                <c:pt idx="815">
                  <c:v>193.80753974999999</c:v>
                </c:pt>
                <c:pt idx="816">
                  <c:v>162.87170015999999</c:v>
                </c:pt>
                <c:pt idx="817">
                  <c:v>156.93616279000003</c:v>
                </c:pt>
                <c:pt idx="818">
                  <c:v>160.00092763999999</c:v>
                </c:pt>
                <c:pt idx="819">
                  <c:v>155.06599471000001</c:v>
                </c:pt>
                <c:pt idx="820">
                  <c:v>140.13136400000002</c:v>
                </c:pt>
                <c:pt idx="821">
                  <c:v>144.19703551000003</c:v>
                </c:pt>
                <c:pt idx="822">
                  <c:v>128.26300924000003</c:v>
                </c:pt>
                <c:pt idx="823">
                  <c:v>134.32928519000001</c:v>
                </c:pt>
                <c:pt idx="824">
                  <c:v>142.39586336000002</c:v>
                </c:pt>
                <c:pt idx="825">
                  <c:v>155.46274375000002</c:v>
                </c:pt>
                <c:pt idx="826">
                  <c:v>149.52992636000002</c:v>
                </c:pt>
                <c:pt idx="827">
                  <c:v>135.59741119</c:v>
                </c:pt>
                <c:pt idx="828">
                  <c:v>119.66519824</c:v>
                </c:pt>
                <c:pt idx="829">
                  <c:v>86.733287509999997</c:v>
                </c:pt>
                <c:pt idx="830">
                  <c:v>76.801679000000007</c:v>
                </c:pt>
                <c:pt idx="831">
                  <c:v>68.870372709999998</c:v>
                </c:pt>
                <c:pt idx="832">
                  <c:v>64.939368640000012</c:v>
                </c:pt>
                <c:pt idx="833">
                  <c:v>80.008666790000021</c:v>
                </c:pt>
                <c:pt idx="834">
                  <c:v>69.07826716000001</c:v>
                </c:pt>
                <c:pt idx="835">
                  <c:v>54.148169750000008</c:v>
                </c:pt>
                <c:pt idx="836">
                  <c:v>53.218374560000029</c:v>
                </c:pt>
                <c:pt idx="837">
                  <c:v>52.288881590000017</c:v>
                </c:pt>
                <c:pt idx="838">
                  <c:v>45.359690840000027</c:v>
                </c:pt>
                <c:pt idx="839">
                  <c:v>50.430802310000033</c:v>
                </c:pt>
                <c:pt idx="840">
                  <c:v>45.50221599999999</c:v>
                </c:pt>
                <c:pt idx="841">
                  <c:v>40.573931909999999</c:v>
                </c:pt>
                <c:pt idx="842">
                  <c:v>29.645950040000017</c:v>
                </c:pt>
                <c:pt idx="843">
                  <c:v>31.718270390000001</c:v>
                </c:pt>
                <c:pt idx="844">
                  <c:v>23.790892960000008</c:v>
                </c:pt>
                <c:pt idx="845">
                  <c:v>38.863817749999995</c:v>
                </c:pt>
                <c:pt idx="846">
                  <c:v>42.937044760000006</c:v>
                </c:pt>
                <c:pt idx="847">
                  <c:v>48.010573990000012</c:v>
                </c:pt>
                <c:pt idx="848">
                  <c:v>30.084405439999998</c:v>
                </c:pt>
                <c:pt idx="849">
                  <c:v>18.158539110000021</c:v>
                </c:pt>
                <c:pt idx="850">
                  <c:v>15.232975000000025</c:v>
                </c:pt>
                <c:pt idx="851">
                  <c:v>28.307713110000009</c:v>
                </c:pt>
                <c:pt idx="852">
                  <c:v>49.382753440000016</c:v>
                </c:pt>
                <c:pt idx="853">
                  <c:v>64.458095990000032</c:v>
                </c:pt>
                <c:pt idx="854">
                  <c:v>63.533740759999986</c:v>
                </c:pt>
                <c:pt idx="855">
                  <c:v>97.609687750000006</c:v>
                </c:pt>
                <c:pt idx="856">
                  <c:v>168.68593695999999</c:v>
                </c:pt>
                <c:pt idx="857">
                  <c:v>290.76248838999999</c:v>
                </c:pt>
                <c:pt idx="858">
                  <c:v>403.83934204000002</c:v>
                </c:pt>
                <c:pt idx="859">
                  <c:v>457.91649790999998</c:v>
                </c:pt>
                <c:pt idx="860">
                  <c:v>378.99395600000003</c:v>
                </c:pt>
                <c:pt idx="861">
                  <c:v>276.07171631</c:v>
                </c:pt>
                <c:pt idx="862">
                  <c:v>195.14977884000001</c:v>
                </c:pt>
                <c:pt idx="863">
                  <c:v>132.22814359</c:v>
                </c:pt>
                <c:pt idx="864">
                  <c:v>109.30681056000003</c:v>
                </c:pt>
                <c:pt idx="865">
                  <c:v>102.38577975000001</c:v>
                </c:pt>
                <c:pt idx="866">
                  <c:v>95.465051160000016</c:v>
                </c:pt>
                <c:pt idx="867">
                  <c:v>72.54462479</c:v>
                </c:pt>
                <c:pt idx="868">
                  <c:v>66.624500639999994</c:v>
                </c:pt>
                <c:pt idx="869">
                  <c:v>54.704678709999996</c:v>
                </c:pt>
                <c:pt idx="870">
                  <c:v>64.785159000000007</c:v>
                </c:pt>
                <c:pt idx="871">
                  <c:v>55.865941509999999</c:v>
                </c:pt>
                <c:pt idx="872">
                  <c:v>65.947026240000014</c:v>
                </c:pt>
                <c:pt idx="873">
                  <c:v>81.028413190000023</c:v>
                </c:pt>
                <c:pt idx="874">
                  <c:v>96.110102360000013</c:v>
                </c:pt>
                <c:pt idx="875">
                  <c:v>129.19209375000003</c:v>
                </c:pt>
                <c:pt idx="876">
                  <c:v>183.27438735999999</c:v>
                </c:pt>
                <c:pt idx="877">
                  <c:v>248.35698318999999</c:v>
                </c:pt>
                <c:pt idx="878">
                  <c:v>273.43988124000003</c:v>
                </c:pt>
                <c:pt idx="879">
                  <c:v>248.52308151</c:v>
                </c:pt>
                <c:pt idx="880">
                  <c:v>207.60658400000003</c:v>
                </c:pt>
                <c:pt idx="881">
                  <c:v>169.69038871000001</c:v>
                </c:pt>
                <c:pt idx="882">
                  <c:v>122.77449564</c:v>
                </c:pt>
                <c:pt idx="883">
                  <c:v>101.85890479</c:v>
                </c:pt>
                <c:pt idx="884">
                  <c:v>104.94361616000002</c:v>
                </c:pt>
                <c:pt idx="885">
                  <c:v>94.028629749999993</c:v>
                </c:pt>
                <c:pt idx="886">
                  <c:v>100.11394556</c:v>
                </c:pt>
                <c:pt idx="887">
                  <c:v>81.199563590000025</c:v>
                </c:pt>
                <c:pt idx="888">
                  <c:v>64.285483840000012</c:v>
                </c:pt>
                <c:pt idx="889">
                  <c:v>53.371706310000022</c:v>
                </c:pt>
                <c:pt idx="890">
                  <c:v>47.458231000000026</c:v>
                </c:pt>
                <c:pt idx="891">
                  <c:v>55.545057910000011</c:v>
                </c:pt>
                <c:pt idx="892">
                  <c:v>99.632187040000019</c:v>
                </c:pt>
                <c:pt idx="893">
                  <c:v>122.71961839000001</c:v>
                </c:pt>
                <c:pt idx="894">
                  <c:v>132.80735196000001</c:v>
                </c:pt>
                <c:pt idx="895">
                  <c:v>105.89538775000001</c:v>
                </c:pt>
                <c:pt idx="896">
                  <c:v>83.983725759999999</c:v>
                </c:pt>
                <c:pt idx="897">
                  <c:v>56.072365990000009</c:v>
                </c:pt>
                <c:pt idx="898">
                  <c:v>51.161308440000013</c:v>
                </c:pt>
                <c:pt idx="899">
                  <c:v>49.250553109999998</c:v>
                </c:pt>
                <c:pt idx="900">
                  <c:v>52.340100000000007</c:v>
                </c:pt>
                <c:pt idx="901">
                  <c:v>49.429949110000024</c:v>
                </c:pt>
                <c:pt idx="902">
                  <c:v>40.520100440000007</c:v>
                </c:pt>
                <c:pt idx="903">
                  <c:v>36.610553990000014</c:v>
                </c:pt>
                <c:pt idx="904">
                  <c:v>40.701309760000029</c:v>
                </c:pt>
                <c:pt idx="905">
                  <c:v>41.792367750000011</c:v>
                </c:pt>
                <c:pt idx="906">
                  <c:v>38.88372796000003</c:v>
                </c:pt>
                <c:pt idx="907">
                  <c:v>27.975390390000015</c:v>
                </c:pt>
                <c:pt idx="908">
                  <c:v>32.067355039999995</c:v>
                </c:pt>
                <c:pt idx="909">
                  <c:v>33.159621910000013</c:v>
                </c:pt>
                <c:pt idx="910">
                  <c:v>28.252190999999996</c:v>
                </c:pt>
                <c:pt idx="911">
                  <c:v>25.345062310000003</c:v>
                </c:pt>
                <c:pt idx="912">
                  <c:v>20.438235840000019</c:v>
                </c:pt>
                <c:pt idx="913">
                  <c:v>14.53171159</c:v>
                </c:pt>
                <c:pt idx="914">
                  <c:v>12.625489560000005</c:v>
                </c:pt>
                <c:pt idx="915">
                  <c:v>9.7195697500000193</c:v>
                </c:pt>
                <c:pt idx="916">
                  <c:v>16.813952160000014</c:v>
                </c:pt>
                <c:pt idx="917">
                  <c:v>21.908636790000017</c:v>
                </c:pt>
                <c:pt idx="918">
                  <c:v>13.003623640000029</c:v>
                </c:pt>
                <c:pt idx="919">
                  <c:v>10.098912710000022</c:v>
                </c:pt>
                <c:pt idx="920">
                  <c:v>7.1945040000000233</c:v>
                </c:pt>
                <c:pt idx="921">
                  <c:v>16.290397510000048</c:v>
                </c:pt>
                <c:pt idx="922">
                  <c:v>14.386593239999996</c:v>
                </c:pt>
                <c:pt idx="923">
                  <c:v>32.48309119000001</c:v>
                </c:pt>
                <c:pt idx="924">
                  <c:v>44.579891360000005</c:v>
                </c:pt>
                <c:pt idx="925">
                  <c:v>81.676993750000008</c:v>
                </c:pt>
                <c:pt idx="926">
                  <c:v>140.77439836000002</c:v>
                </c:pt>
                <c:pt idx="927">
                  <c:v>255.87210519000001</c:v>
                </c:pt>
                <c:pt idx="928">
                  <c:v>369.97011424000004</c:v>
                </c:pt>
                <c:pt idx="929">
                  <c:v>385.06842551</c:v>
                </c:pt>
                <c:pt idx="930">
                  <c:v>327.16703900000005</c:v>
                </c:pt>
                <c:pt idx="931">
                  <c:v>242.26595471000002</c:v>
                </c:pt>
                <c:pt idx="932">
                  <c:v>194.36517264000003</c:v>
                </c:pt>
                <c:pt idx="933">
                  <c:v>187.46469279000002</c:v>
                </c:pt>
                <c:pt idx="934">
                  <c:v>241.56451516000001</c:v>
                </c:pt>
                <c:pt idx="935">
                  <c:v>371.66463975000005</c:v>
                </c:pt>
                <c:pt idx="936">
                  <c:v>622.76506656000004</c:v>
                </c:pt>
                <c:pt idx="937">
                  <c:v>1294.8657955900001</c:v>
                </c:pt>
                <c:pt idx="938">
                  <c:v>2869.9668268400001</c:v>
                </c:pt>
                <c:pt idx="939">
                  <c:v>5181.0681603100002</c:v>
                </c:pt>
                <c:pt idx="940">
                  <c:v>7110.1697960000001</c:v>
                </c:pt>
                <c:pt idx="941">
                  <c:v>7264.27173391</c:v>
                </c:pt>
                <c:pt idx="942">
                  <c:v>5885.3739740399997</c:v>
                </c:pt>
                <c:pt idx="943">
                  <c:v>4110.4765163900001</c:v>
                </c:pt>
                <c:pt idx="944">
                  <c:v>2633.57936096</c:v>
                </c:pt>
                <c:pt idx="945">
                  <c:v>1724.68250775</c:v>
                </c:pt>
                <c:pt idx="946">
                  <c:v>1210.7859567600001</c:v>
                </c:pt>
                <c:pt idx="947">
                  <c:v>814.88970799000003</c:v>
                </c:pt>
                <c:pt idx="948">
                  <c:v>535.99376144000007</c:v>
                </c:pt>
                <c:pt idx="949">
                  <c:v>346.09811710999998</c:v>
                </c:pt>
                <c:pt idx="950">
                  <c:v>215.202775</c:v>
                </c:pt>
                <c:pt idx="951">
                  <c:v>166.30773511000001</c:v>
                </c:pt>
                <c:pt idx="952">
                  <c:v>154.41299744000003</c:v>
                </c:pt>
                <c:pt idx="953">
                  <c:v>150.51856198999999</c:v>
                </c:pt>
                <c:pt idx="954">
                  <c:v>206.62442876</c:v>
                </c:pt>
                <c:pt idx="955">
                  <c:v>241.73059774999999</c:v>
                </c:pt>
                <c:pt idx="956">
                  <c:v>265.83706896000001</c:v>
                </c:pt>
                <c:pt idx="957">
                  <c:v>285.94384238999999</c:v>
                </c:pt>
                <c:pt idx="958">
                  <c:v>270.05091804</c:v>
                </c:pt>
                <c:pt idx="959">
                  <c:v>241.15829591000002</c:v>
                </c:pt>
                <c:pt idx="960">
                  <c:v>213.26597600000002</c:v>
                </c:pt>
                <c:pt idx="961">
                  <c:v>201.37395831000001</c:v>
                </c:pt>
                <c:pt idx="962">
                  <c:v>190.48224284000003</c:v>
                </c:pt>
                <c:pt idx="963">
                  <c:v>187.59082959</c:v>
                </c:pt>
                <c:pt idx="964">
                  <c:v>184.69971856000001</c:v>
                </c:pt>
                <c:pt idx="965">
                  <c:v>181.80890975</c:v>
                </c:pt>
                <c:pt idx="966">
                  <c:v>168.91840316000003</c:v>
                </c:pt>
                <c:pt idx="967">
                  <c:v>155.02819879</c:v>
                </c:pt>
                <c:pt idx="968">
                  <c:v>150.13829664000002</c:v>
                </c:pt>
                <c:pt idx="969">
                  <c:v>131.24869670999999</c:v>
                </c:pt>
                <c:pt idx="970">
                  <c:v>152.35939900000002</c:v>
                </c:pt>
                <c:pt idx="971">
                  <c:v>215.47040351000001</c:v>
                </c:pt>
                <c:pt idx="972">
                  <c:v>293.58171024000001</c:v>
                </c:pt>
                <c:pt idx="973">
                  <c:v>308.69331919000001</c:v>
                </c:pt>
                <c:pt idx="974">
                  <c:v>293.80523036</c:v>
                </c:pt>
                <c:pt idx="975">
                  <c:v>222.91744375000002</c:v>
                </c:pt>
                <c:pt idx="976">
                  <c:v>150.02995936000002</c:v>
                </c:pt>
                <c:pt idx="977">
                  <c:v>95.142777190000004</c:v>
                </c:pt>
                <c:pt idx="978">
                  <c:v>69.255897239999996</c:v>
                </c:pt>
                <c:pt idx="979">
                  <c:v>60.369319509999997</c:v>
                </c:pt>
                <c:pt idx="980">
                  <c:v>50.483044000000007</c:v>
                </c:pt>
                <c:pt idx="981">
                  <c:v>71.597070709999997</c:v>
                </c:pt>
                <c:pt idx="982">
                  <c:v>75.711399640000025</c:v>
                </c:pt>
                <c:pt idx="983">
                  <c:v>95.826030790000033</c:v>
                </c:pt>
                <c:pt idx="984">
                  <c:v>124.94096416000002</c:v>
                </c:pt>
                <c:pt idx="985">
                  <c:v>125.05619975000002</c:v>
                </c:pt>
                <c:pt idx="986">
                  <c:v>128.17173756</c:v>
                </c:pt>
                <c:pt idx="987">
                  <c:v>148.28757759000001</c:v>
                </c:pt>
                <c:pt idx="988">
                  <c:v>145.40371984000004</c:v>
                </c:pt>
                <c:pt idx="989">
                  <c:v>133.52016431000001</c:v>
                </c:pt>
                <c:pt idx="990">
                  <c:v>124.636911</c:v>
                </c:pt>
                <c:pt idx="991">
                  <c:v>102.75395991000002</c:v>
                </c:pt>
                <c:pt idx="992">
                  <c:v>105.87131103999999</c:v>
                </c:pt>
                <c:pt idx="993">
                  <c:v>111.98896439000001</c:v>
                </c:pt>
                <c:pt idx="994">
                  <c:v>106.10691996000003</c:v>
                </c:pt>
                <c:pt idx="995">
                  <c:v>108.22517775</c:v>
                </c:pt>
                <c:pt idx="996">
                  <c:v>127.34373776000001</c:v>
                </c:pt>
                <c:pt idx="997">
                  <c:v>137.46259999000003</c:v>
                </c:pt>
                <c:pt idx="998">
                  <c:v>137.58176444</c:v>
                </c:pt>
                <c:pt idx="999">
                  <c:v>137.70123111000001</c:v>
                </c:pt>
                <c:pt idx="1000">
                  <c:v>148.82100000000003</c:v>
                </c:pt>
                <c:pt idx="1001">
                  <c:v>156.94107111000002</c:v>
                </c:pt>
                <c:pt idx="1002">
                  <c:v>188.06144444000003</c:v>
                </c:pt>
                <c:pt idx="1003">
                  <c:v>234.18211999000002</c:v>
                </c:pt>
                <c:pt idx="1004">
                  <c:v>360.30309776000001</c:v>
                </c:pt>
                <c:pt idx="1005">
                  <c:v>620.42437775000008</c:v>
                </c:pt>
                <c:pt idx="1006">
                  <c:v>1061.5459599599999</c:v>
                </c:pt>
                <c:pt idx="1007">
                  <c:v>1687.66784439</c:v>
                </c:pt>
                <c:pt idx="1008">
                  <c:v>2813.79003104</c:v>
                </c:pt>
                <c:pt idx="1009">
                  <c:v>5479.9125199099999</c:v>
                </c:pt>
                <c:pt idx="1010">
                  <c:v>12483.035311</c:v>
                </c:pt>
                <c:pt idx="1011">
                  <c:v>22917.158404310001</c:v>
                </c:pt>
                <c:pt idx="1012">
                  <c:v>31473.281799839999</c:v>
                </c:pt>
                <c:pt idx="1013">
                  <c:v>32668.40549759</c:v>
                </c:pt>
                <c:pt idx="1014">
                  <c:v>29793.529497560001</c:v>
                </c:pt>
                <c:pt idx="1015">
                  <c:v>19700.653799750002</c:v>
                </c:pt>
                <c:pt idx="1016">
                  <c:v>10382.778404160001</c:v>
                </c:pt>
                <c:pt idx="1017">
                  <c:v>4947.9033107900004</c:v>
                </c:pt>
                <c:pt idx="1018">
                  <c:v>2673.02851964</c:v>
                </c:pt>
                <c:pt idx="1019">
                  <c:v>1813.1540307099999</c:v>
                </c:pt>
                <c:pt idx="1020">
                  <c:v>1392.2798439999999</c:v>
                </c:pt>
                <c:pt idx="1021">
                  <c:v>1069.40595951</c:v>
                </c:pt>
                <c:pt idx="1022">
                  <c:v>772.53237723999996</c:v>
                </c:pt>
                <c:pt idx="1023">
                  <c:v>511.65909719000001</c:v>
                </c:pt>
                <c:pt idx="1024">
                  <c:v>337.78611936000004</c:v>
                </c:pt>
                <c:pt idx="1025">
                  <c:v>273.91344375000006</c:v>
                </c:pt>
                <c:pt idx="1026">
                  <c:v>226.04107036000002</c:v>
                </c:pt>
                <c:pt idx="1027">
                  <c:v>216.16899919000002</c:v>
                </c:pt>
                <c:pt idx="1028">
                  <c:v>213.29723024000003</c:v>
                </c:pt>
                <c:pt idx="1029">
                  <c:v>206.42576351000002</c:v>
                </c:pt>
                <c:pt idx="1030">
                  <c:v>241.55459900000002</c:v>
                </c:pt>
                <c:pt idx="1031">
                  <c:v>267.68373671000001</c:v>
                </c:pt>
                <c:pt idx="1032">
                  <c:v>289.81317663999999</c:v>
                </c:pt>
                <c:pt idx="1033">
                  <c:v>288.94291879000002</c:v>
                </c:pt>
                <c:pt idx="1034">
                  <c:v>274.07296315999997</c:v>
                </c:pt>
                <c:pt idx="1035">
                  <c:v>228.20330975000002</c:v>
                </c:pt>
                <c:pt idx="1036">
                  <c:v>200.33395856000001</c:v>
                </c:pt>
                <c:pt idx="1037">
                  <c:v>165.46490958999999</c:v>
                </c:pt>
                <c:pt idx="1038">
                  <c:v>133.59616284000001</c:v>
                </c:pt>
                <c:pt idx="1039">
                  <c:v>108.72771831000003</c:v>
                </c:pt>
                <c:pt idx="1040">
                  <c:v>107.859576</c:v>
                </c:pt>
                <c:pt idx="1041">
                  <c:v>106.99173591000002</c:v>
                </c:pt>
                <c:pt idx="1042">
                  <c:v>95.124198040000039</c:v>
                </c:pt>
                <c:pt idx="1043">
                  <c:v>95.256962390000012</c:v>
                </c:pt>
                <c:pt idx="1044">
                  <c:v>83.390028960000024</c:v>
                </c:pt>
                <c:pt idx="1045">
                  <c:v>88.523397750000015</c:v>
                </c:pt>
                <c:pt idx="1046">
                  <c:v>100.65706875999999</c:v>
                </c:pt>
                <c:pt idx="1047">
                  <c:v>105.79104199000002</c:v>
                </c:pt>
                <c:pt idx="1048">
                  <c:v>112.92531743999999</c:v>
                </c:pt>
                <c:pt idx="1049">
                  <c:v>108.05989511000001</c:v>
                </c:pt>
                <c:pt idx="1050">
                  <c:v>103.19477500000002</c:v>
                </c:pt>
                <c:pt idx="1051">
                  <c:v>114.32995711000001</c:v>
                </c:pt>
                <c:pt idx="1052">
                  <c:v>128.46544144000001</c:v>
                </c:pt>
                <c:pt idx="1053">
                  <c:v>149.60122799000004</c:v>
                </c:pt>
                <c:pt idx="1054">
                  <c:v>236.73731676</c:v>
                </c:pt>
                <c:pt idx="1055">
                  <c:v>437.87370774999999</c:v>
                </c:pt>
                <c:pt idx="1056">
                  <c:v>789.01040095999997</c:v>
                </c:pt>
                <c:pt idx="1057">
                  <c:v>1353.14739639</c:v>
                </c:pt>
                <c:pt idx="1058">
                  <c:v>2379.28469404</c:v>
                </c:pt>
                <c:pt idx="1059">
                  <c:v>4739.42229391</c:v>
                </c:pt>
                <c:pt idx="1060">
                  <c:v>10561.560196</c:v>
                </c:pt>
                <c:pt idx="1061">
                  <c:v>19618.698400310001</c:v>
                </c:pt>
                <c:pt idx="1062">
                  <c:v>28620.836906839999</c:v>
                </c:pt>
                <c:pt idx="1063">
                  <c:v>30683.975715590001</c:v>
                </c:pt>
                <c:pt idx="1064">
                  <c:v>26267.114826559999</c:v>
                </c:pt>
                <c:pt idx="1065">
                  <c:v>15973.25423975</c:v>
                </c:pt>
                <c:pt idx="1066">
                  <c:v>7806.3939551599997</c:v>
                </c:pt>
                <c:pt idx="1067">
                  <c:v>3352.53397279</c:v>
                </c:pt>
                <c:pt idx="1068">
                  <c:v>1524.67429264</c:v>
                </c:pt>
                <c:pt idx="1069">
                  <c:v>790.81491471000004</c:v>
                </c:pt>
                <c:pt idx="1070">
                  <c:v>497.95583900000003</c:v>
                </c:pt>
                <c:pt idx="1071">
                  <c:v>380.09706550999999</c:v>
                </c:pt>
                <c:pt idx="1072">
                  <c:v>266.23859424</c:v>
                </c:pt>
                <c:pt idx="1073">
                  <c:v>204.38042519000001</c:v>
                </c:pt>
                <c:pt idx="1074">
                  <c:v>188.52255836</c:v>
                </c:pt>
                <c:pt idx="1075">
                  <c:v>184.66499375000001</c:v>
                </c:pt>
                <c:pt idx="1076">
                  <c:v>159.80773136000002</c:v>
                </c:pt>
                <c:pt idx="1077">
                  <c:v>140.95077119000001</c:v>
                </c:pt>
                <c:pt idx="1078">
                  <c:v>139.09411324000001</c:v>
                </c:pt>
                <c:pt idx="1079">
                  <c:v>132.23775751000002</c:v>
                </c:pt>
                <c:pt idx="1080">
                  <c:v>133.38170400000001</c:v>
                </c:pt>
                <c:pt idx="1081">
                  <c:v>125.52595271000004</c:v>
                </c:pt>
                <c:pt idx="1082">
                  <c:v>126.67050364000002</c:v>
                </c:pt>
                <c:pt idx="1083">
                  <c:v>137.81535679000001</c:v>
                </c:pt>
                <c:pt idx="1084">
                  <c:v>158.96051216000004</c:v>
                </c:pt>
                <c:pt idx="1085">
                  <c:v>217.10596975000001</c:v>
                </c:pt>
                <c:pt idx="1086">
                  <c:v>308.25172956</c:v>
                </c:pt>
                <c:pt idx="1087">
                  <c:v>509.39779159</c:v>
                </c:pt>
                <c:pt idx="1088">
                  <c:v>942.54415584000003</c:v>
                </c:pt>
                <c:pt idx="1089">
                  <c:v>1691.6908223099999</c:v>
                </c:pt>
                <c:pt idx="1090">
                  <c:v>2980.8377909999999</c:v>
                </c:pt>
                <c:pt idx="1091">
                  <c:v>5540.9850619099998</c:v>
                </c:pt>
                <c:pt idx="1092">
                  <c:v>11050.13263504</c:v>
                </c:pt>
                <c:pt idx="1093">
                  <c:v>18924.280510389999</c:v>
                </c:pt>
                <c:pt idx="1094">
                  <c:v>25968.42868796</c:v>
                </c:pt>
                <c:pt idx="1095">
                  <c:v>26388.577167750002</c:v>
                </c:pt>
                <c:pt idx="1096">
                  <c:v>20621.725949759999</c:v>
                </c:pt>
                <c:pt idx="1097">
                  <c:v>11259.87503399</c:v>
                </c:pt>
                <c:pt idx="1098">
                  <c:v>5107.0244204399996</c:v>
                </c:pt>
                <c:pt idx="1099">
                  <c:v>2184.1741091100002</c:v>
                </c:pt>
                <c:pt idx="1100">
                  <c:v>1077.3241</c:v>
                </c:pt>
                <c:pt idx="1101">
                  <c:v>573.47439311000005</c:v>
                </c:pt>
                <c:pt idx="1102">
                  <c:v>368.62498844000004</c:v>
                </c:pt>
                <c:pt idx="1103">
                  <c:v>304.77588599000001</c:v>
                </c:pt>
                <c:pt idx="1104">
                  <c:v>249.92708576000001</c:v>
                </c:pt>
                <c:pt idx="1105">
                  <c:v>187.07858775</c:v>
                </c:pt>
                <c:pt idx="1106">
                  <c:v>160.23039196000002</c:v>
                </c:pt>
                <c:pt idx="1107">
                  <c:v>162.38249839000002</c:v>
                </c:pt>
                <c:pt idx="1108">
                  <c:v>152.53490704000001</c:v>
                </c:pt>
                <c:pt idx="1109">
                  <c:v>150.68761791000003</c:v>
                </c:pt>
                <c:pt idx="1110">
                  <c:v>158.84063100000003</c:v>
                </c:pt>
                <c:pt idx="1111">
                  <c:v>165.99394631000001</c:v>
                </c:pt>
                <c:pt idx="1112">
                  <c:v>203.14756384000003</c:v>
                </c:pt>
                <c:pt idx="1113">
                  <c:v>324.30148358999998</c:v>
                </c:pt>
                <c:pt idx="1114">
                  <c:v>580.45570556000007</c:v>
                </c:pt>
                <c:pt idx="1115">
                  <c:v>946.61022975000003</c:v>
                </c:pt>
                <c:pt idx="1116">
                  <c:v>1306.7650561600001</c:v>
                </c:pt>
                <c:pt idx="1117">
                  <c:v>1844.9201847899999</c:v>
                </c:pt>
                <c:pt idx="1118">
                  <c:v>3260.0756156400003</c:v>
                </c:pt>
                <c:pt idx="1119">
                  <c:v>6372.23134871</c:v>
                </c:pt>
                <c:pt idx="1120">
                  <c:v>10401.387384</c:v>
                </c:pt>
                <c:pt idx="1121">
                  <c:v>12619.543721509999</c:v>
                </c:pt>
                <c:pt idx="1122">
                  <c:v>11131.70036124</c:v>
                </c:pt>
                <c:pt idx="1123">
                  <c:v>6857.8573031899996</c:v>
                </c:pt>
                <c:pt idx="1124">
                  <c:v>3270.0145473600001</c:v>
                </c:pt>
                <c:pt idx="1125">
                  <c:v>1399.1720937499999</c:v>
                </c:pt>
                <c:pt idx="1126">
                  <c:v>699.32994236000002</c:v>
                </c:pt>
                <c:pt idx="1127">
                  <c:v>464.48809318999997</c:v>
                </c:pt>
                <c:pt idx="1128">
                  <c:v>367.64654624000002</c:v>
                </c:pt>
                <c:pt idx="1129">
                  <c:v>341.80530151000005</c:v>
                </c:pt>
                <c:pt idx="1130">
                  <c:v>289.964359</c:v>
                </c:pt>
                <c:pt idx="1131">
                  <c:v>199.12371871000002</c:v>
                </c:pt>
                <c:pt idx="1132">
                  <c:v>133.28338064000002</c:v>
                </c:pt>
                <c:pt idx="1133">
                  <c:v>88.443344789999998</c:v>
                </c:pt>
                <c:pt idx="1134">
                  <c:v>70.603611160000014</c:v>
                </c:pt>
                <c:pt idx="1135">
                  <c:v>63.764179750000039</c:v>
                </c:pt>
                <c:pt idx="1136">
                  <c:v>72.925050560000017</c:v>
                </c:pt>
                <c:pt idx="1137">
                  <c:v>72.086223590000031</c:v>
                </c:pt>
                <c:pt idx="1138">
                  <c:v>77.247698840000055</c:v>
                </c:pt>
                <c:pt idx="1139">
                  <c:v>68.409476310000031</c:v>
                </c:pt>
                <c:pt idx="1140">
                  <c:v>65.571556000000044</c:v>
                </c:pt>
                <c:pt idx="1141">
                  <c:v>90.733937910000009</c:v>
                </c:pt>
                <c:pt idx="1142">
                  <c:v>184.89662204000001</c:v>
                </c:pt>
                <c:pt idx="1143">
                  <c:v>337.05960838999999</c:v>
                </c:pt>
                <c:pt idx="1144">
                  <c:v>460.22289695999996</c:v>
                </c:pt>
                <c:pt idx="1145">
                  <c:v>466.38648775000001</c:v>
                </c:pt>
                <c:pt idx="1146">
                  <c:v>361.55038076000005</c:v>
                </c:pt>
                <c:pt idx="1147">
                  <c:v>179.71457599000001</c:v>
                </c:pt>
                <c:pt idx="1148">
                  <c:v>86.879073440000013</c:v>
                </c:pt>
                <c:pt idx="1149">
                  <c:v>40.043873110000021</c:v>
                </c:pt>
                <c:pt idx="1150">
                  <c:v>28.208975000000009</c:v>
                </c:pt>
                <c:pt idx="1151">
                  <c:v>18.374379110000035</c:v>
                </c:pt>
                <c:pt idx="1152">
                  <c:v>27.540085440000041</c:v>
                </c:pt>
                <c:pt idx="1153">
                  <c:v>43.706093990000028</c:v>
                </c:pt>
                <c:pt idx="1154">
                  <c:v>45.872404759999995</c:v>
                </c:pt>
                <c:pt idx="1155">
                  <c:v>46.039017750000028</c:v>
                </c:pt>
                <c:pt idx="1156">
                  <c:v>33.205932960000013</c:v>
                </c:pt>
                <c:pt idx="1157">
                  <c:v>21.373150390000006</c:v>
                </c:pt>
                <c:pt idx="1158">
                  <c:v>26.540670040000009</c:v>
                </c:pt>
                <c:pt idx="1159">
                  <c:v>-6.2915080899999793</c:v>
                </c:pt>
                <c:pt idx="1160">
                  <c:v>15.876616000000013</c:v>
                </c:pt>
                <c:pt idx="1161">
                  <c:v>21.045042310000014</c:v>
                </c:pt>
                <c:pt idx="1162">
                  <c:v>7.2137708400000236</c:v>
                </c:pt>
                <c:pt idx="1163">
                  <c:v>8.3828015900000423</c:v>
                </c:pt>
                <c:pt idx="1164">
                  <c:v>2.5521345600000132</c:v>
                </c:pt>
                <c:pt idx="1165">
                  <c:v>-7.2782302499999787</c:v>
                </c:pt>
                <c:pt idx="1166">
                  <c:v>11.891707160000038</c:v>
                </c:pt>
                <c:pt idx="1167">
                  <c:v>26.061946790000036</c:v>
                </c:pt>
                <c:pt idx="1168">
                  <c:v>46.232488640000014</c:v>
                </c:pt>
                <c:pt idx="1169">
                  <c:v>87.403332710000029</c:v>
                </c:pt>
                <c:pt idx="1170">
                  <c:v>174.574479</c:v>
                </c:pt>
                <c:pt idx="1171">
                  <c:v>273.74592751</c:v>
                </c:pt>
                <c:pt idx="1172">
                  <c:v>371.91767824000004</c:v>
                </c:pt>
                <c:pt idx="1173">
                  <c:v>342.08973119000001</c:v>
                </c:pt>
                <c:pt idx="1174">
                  <c:v>235.26208636000001</c:v>
                </c:pt>
                <c:pt idx="1175">
                  <c:v>136.43474375</c:v>
                </c:pt>
                <c:pt idx="1176">
                  <c:v>98.607703360000016</c:v>
                </c:pt>
                <c:pt idx="1177">
                  <c:v>100.78096519000005</c:v>
                </c:pt>
                <c:pt idx="1178">
                  <c:v>208.95452924000003</c:v>
                </c:pt>
                <c:pt idx="1179">
                  <c:v>400.12839551000002</c:v>
                </c:pt>
                <c:pt idx="1180">
                  <c:v>650.30256400000007</c:v>
                </c:pt>
                <c:pt idx="1181">
                  <c:v>750.47703471</c:v>
                </c:pt>
                <c:pt idx="1182">
                  <c:v>626.65180764000002</c:v>
                </c:pt>
                <c:pt idx="1183">
                  <c:v>342.82688279000001</c:v>
                </c:pt>
                <c:pt idx="1184">
                  <c:v>155.00226015999999</c:v>
                </c:pt>
                <c:pt idx="1185">
                  <c:v>52.177939750000007</c:v>
                </c:pt>
                <c:pt idx="1186">
                  <c:v>33.353921560000032</c:v>
                </c:pt>
                <c:pt idx="1187">
                  <c:v>38.530205590000008</c:v>
                </c:pt>
                <c:pt idx="1188">
                  <c:v>49.706791840000022</c:v>
                </c:pt>
                <c:pt idx="1189">
                  <c:v>54.883680310000045</c:v>
                </c:pt>
                <c:pt idx="1190">
                  <c:v>64.06087100000002</c:v>
                </c:pt>
                <c:pt idx="1191">
                  <c:v>50.238363910000032</c:v>
                </c:pt>
                <c:pt idx="1192">
                  <c:v>54.416159040000025</c:v>
                </c:pt>
                <c:pt idx="1193">
                  <c:v>68.594256390000027</c:v>
                </c:pt>
                <c:pt idx="1194">
                  <c:v>93.772655960000037</c:v>
                </c:pt>
                <c:pt idx="1195">
                  <c:v>107.95135775</c:v>
                </c:pt>
                <c:pt idx="1196">
                  <c:v>102.13036176</c:v>
                </c:pt>
                <c:pt idx="1197">
                  <c:v>106.30966799000001</c:v>
                </c:pt>
                <c:pt idx="1198">
                  <c:v>113.48927644</c:v>
                </c:pt>
                <c:pt idx="1199">
                  <c:v>107.66918711000002</c:v>
                </c:pt>
                <c:pt idx="1200">
                  <c:v>90.849400000000031</c:v>
                </c:pt>
                <c:pt idx="1201">
                  <c:v>66.029915110000019</c:v>
                </c:pt>
                <c:pt idx="1202">
                  <c:v>56.210732440000015</c:v>
                </c:pt>
                <c:pt idx="1203">
                  <c:v>54.391851990000049</c:v>
                </c:pt>
                <c:pt idx="1204">
                  <c:v>54.573273760000006</c:v>
                </c:pt>
                <c:pt idx="1205">
                  <c:v>33.75499775000003</c:v>
                </c:pt>
                <c:pt idx="1206">
                  <c:v>28.937023960000005</c:v>
                </c:pt>
                <c:pt idx="1207">
                  <c:v>33.119352390000017</c:v>
                </c:pt>
                <c:pt idx="1208">
                  <c:v>29.301983040000039</c:v>
                </c:pt>
                <c:pt idx="1209">
                  <c:v>29.484915909999984</c:v>
                </c:pt>
                <c:pt idx="1210">
                  <c:v>31.668150999999995</c:v>
                </c:pt>
                <c:pt idx="1211">
                  <c:v>26.851688310000014</c:v>
                </c:pt>
                <c:pt idx="1212">
                  <c:v>42.035527840000015</c:v>
                </c:pt>
                <c:pt idx="1213">
                  <c:v>39.219669590000024</c:v>
                </c:pt>
                <c:pt idx="1214">
                  <c:v>64.404113560000042</c:v>
                </c:pt>
                <c:pt idx="1215">
                  <c:v>94.588859750000012</c:v>
                </c:pt>
                <c:pt idx="1216">
                  <c:v>120.77390816000002</c:v>
                </c:pt>
                <c:pt idx="1217">
                  <c:v>122.95925879000004</c:v>
                </c:pt>
                <c:pt idx="1218">
                  <c:v>93.144911640000032</c:v>
                </c:pt>
                <c:pt idx="1219">
                  <c:v>72.330866710000038</c:v>
                </c:pt>
                <c:pt idx="1220">
                  <c:v>57.517124000000052</c:v>
                </c:pt>
                <c:pt idx="1221">
                  <c:v>44.703683510000019</c:v>
                </c:pt>
                <c:pt idx="1222">
                  <c:v>37.890545240000023</c:v>
                </c:pt>
                <c:pt idx="1223">
                  <c:v>57.077709190000007</c:v>
                </c:pt>
                <c:pt idx="1224">
                  <c:v>99.265175360000001</c:v>
                </c:pt>
                <c:pt idx="1225">
                  <c:v>149.45294375000003</c:v>
                </c:pt>
                <c:pt idx="1226">
                  <c:v>173.64101436000001</c:v>
                </c:pt>
                <c:pt idx="1227">
                  <c:v>165.82938719000001</c:v>
                </c:pt>
                <c:pt idx="1228">
                  <c:v>144.01806224000003</c:v>
                </c:pt>
                <c:pt idx="1229">
                  <c:v>137.20703951000002</c:v>
                </c:pt>
                <c:pt idx="1230">
                  <c:v>129.39631900000003</c:v>
                </c:pt>
                <c:pt idx="1231">
                  <c:v>134.58590071000003</c:v>
                </c:pt>
                <c:pt idx="1232">
                  <c:v>140.77578464000001</c:v>
                </c:pt>
                <c:pt idx="1233">
                  <c:v>204.96597079000003</c:v>
                </c:pt>
                <c:pt idx="1234">
                  <c:v>348.15645916000005</c:v>
                </c:pt>
                <c:pt idx="1235">
                  <c:v>678.34724975000006</c:v>
                </c:pt>
                <c:pt idx="1236">
                  <c:v>1657.53834256</c:v>
                </c:pt>
                <c:pt idx="1237">
                  <c:v>3467.7297375899998</c:v>
                </c:pt>
                <c:pt idx="1238">
                  <c:v>5491.9214348400001</c:v>
                </c:pt>
                <c:pt idx="1239">
                  <c:v>6396.1134343100002</c:v>
                </c:pt>
                <c:pt idx="1240">
                  <c:v>5346.3057360000003</c:v>
                </c:pt>
                <c:pt idx="1241">
                  <c:v>3210.4983399100001</c:v>
                </c:pt>
                <c:pt idx="1242">
                  <c:v>1772.6912460400001</c:v>
                </c:pt>
                <c:pt idx="1243">
                  <c:v>1470.88445439</c:v>
                </c:pt>
                <c:pt idx="1244">
                  <c:v>1664.0779649599999</c:v>
                </c:pt>
                <c:pt idx="1245">
                  <c:v>1749.27177775</c:v>
                </c:pt>
                <c:pt idx="1246">
                  <c:v>1465.4658927600001</c:v>
                </c:pt>
                <c:pt idx="1247">
                  <c:v>893.66030999000009</c:v>
                </c:pt>
                <c:pt idx="1248">
                  <c:v>486.85502944000007</c:v>
                </c:pt>
                <c:pt idx="1249">
                  <c:v>283.05005111000003</c:v>
                </c:pt>
                <c:pt idx="1250">
                  <c:v>214.24537500000002</c:v>
                </c:pt>
                <c:pt idx="1251">
                  <c:v>167.44100111000003</c:v>
                </c:pt>
                <c:pt idx="1252">
                  <c:v>136.63692944000002</c:v>
                </c:pt>
                <c:pt idx="1253">
                  <c:v>120.83315999000001</c:v>
                </c:pt>
                <c:pt idx="1254">
                  <c:v>108.02969275999999</c:v>
                </c:pt>
                <c:pt idx="1255">
                  <c:v>101.22652775</c:v>
                </c:pt>
                <c:pt idx="1256">
                  <c:v>99.423664960000025</c:v>
                </c:pt>
                <c:pt idx="1257">
                  <c:v>95.621104389999999</c:v>
                </c:pt>
                <c:pt idx="1258">
                  <c:v>107.81884604000001</c:v>
                </c:pt>
                <c:pt idx="1259">
                  <c:v>101.01688991000003</c:v>
                </c:pt>
                <c:pt idx="1260">
                  <c:v>86.215236000000004</c:v>
                </c:pt>
                <c:pt idx="1261">
                  <c:v>74.413884310000043</c:v>
                </c:pt>
                <c:pt idx="1262">
                  <c:v>61.612834840000033</c:v>
                </c:pt>
                <c:pt idx="1263">
                  <c:v>51.812087590000004</c:v>
                </c:pt>
                <c:pt idx="1264">
                  <c:v>48.011642560000013</c:v>
                </c:pt>
                <c:pt idx="1265">
                  <c:v>39.21149975000003</c:v>
                </c:pt>
                <c:pt idx="1266">
                  <c:v>35.411659159999999</c:v>
                </c:pt>
                <c:pt idx="1267">
                  <c:v>35.612120790000034</c:v>
                </c:pt>
                <c:pt idx="1268">
                  <c:v>31.81288464000005</c:v>
                </c:pt>
                <c:pt idx="1269">
                  <c:v>32.013950710000017</c:v>
                </c:pt>
                <c:pt idx="1270">
                  <c:v>24.215319000000022</c:v>
                </c:pt>
                <c:pt idx="1271">
                  <c:v>28.416989510000008</c:v>
                </c:pt>
                <c:pt idx="1272">
                  <c:v>34.61896224000003</c:v>
                </c:pt>
                <c:pt idx="1273">
                  <c:v>30.821237190000033</c:v>
                </c:pt>
                <c:pt idx="1274">
                  <c:v>39.023814360000017</c:v>
                </c:pt>
                <c:pt idx="1275">
                  <c:v>45.226693750000038</c:v>
                </c:pt>
                <c:pt idx="1276">
                  <c:v>63.42987536000004</c:v>
                </c:pt>
                <c:pt idx="1277">
                  <c:v>70.633359189999993</c:v>
                </c:pt>
                <c:pt idx="1278">
                  <c:v>67.837145240000012</c:v>
                </c:pt>
                <c:pt idx="1279">
                  <c:v>58.04123351000004</c:v>
                </c:pt>
                <c:pt idx="1280">
                  <c:v>39.245623999999992</c:v>
                </c:pt>
                <c:pt idx="1281">
                  <c:v>32.45031671000001</c:v>
                </c:pt>
                <c:pt idx="1282">
                  <c:v>29.655311640000036</c:v>
                </c:pt>
                <c:pt idx="1283">
                  <c:v>32.860608790000015</c:v>
                </c:pt>
                <c:pt idx="1284">
                  <c:v>44.066208160000031</c:v>
                </c:pt>
                <c:pt idx="1285">
                  <c:v>55.272109749999998</c:v>
                </c:pt>
                <c:pt idx="1286">
                  <c:v>65.478313560000032</c:v>
                </c:pt>
                <c:pt idx="1287">
                  <c:v>70.684819590000046</c:v>
                </c:pt>
                <c:pt idx="1288">
                  <c:v>67.891627840000012</c:v>
                </c:pt>
                <c:pt idx="1289">
                  <c:v>72.098738310000044</c:v>
                </c:pt>
                <c:pt idx="1290">
                  <c:v>69.306151000000057</c:v>
                </c:pt>
                <c:pt idx="1291">
                  <c:v>69.513865909999993</c:v>
                </c:pt>
                <c:pt idx="1292">
                  <c:v>65.721883040000023</c:v>
                </c:pt>
                <c:pt idx="1293">
                  <c:v>63.930202390000034</c:v>
                </c:pt>
                <c:pt idx="1294">
                  <c:v>56.138823959999996</c:v>
                </c:pt>
                <c:pt idx="1295">
                  <c:v>66.347747750000025</c:v>
                </c:pt>
                <c:pt idx="1296">
                  <c:v>69.556973760000034</c:v>
                </c:pt>
                <c:pt idx="1297">
                  <c:v>66.766501990000023</c:v>
                </c:pt>
                <c:pt idx="1298">
                  <c:v>72.976332440000022</c:v>
                </c:pt>
                <c:pt idx="1299">
                  <c:v>66.186465110000057</c:v>
                </c:pt>
                <c:pt idx="1300">
                  <c:v>72.396900000000016</c:v>
                </c:pt>
                <c:pt idx="1301">
                  <c:v>72.607637110000042</c:v>
                </c:pt>
                <c:pt idx="1302">
                  <c:v>84.81867643999999</c:v>
                </c:pt>
                <c:pt idx="1303">
                  <c:v>90.030017990000033</c:v>
                </c:pt>
                <c:pt idx="1304">
                  <c:v>90.241661760000028</c:v>
                </c:pt>
                <c:pt idx="1305">
                  <c:v>113.45360774999997</c:v>
                </c:pt>
                <c:pt idx="1306">
                  <c:v>123.66585596000002</c:v>
                </c:pt>
                <c:pt idx="1307">
                  <c:v>130.87840639000004</c:v>
                </c:pt>
                <c:pt idx="1308">
                  <c:v>129.09125903999998</c:v>
                </c:pt>
                <c:pt idx="1309">
                  <c:v>108.30441391000002</c:v>
                </c:pt>
                <c:pt idx="1310">
                  <c:v>78.517871000000042</c:v>
                </c:pt>
                <c:pt idx="1311">
                  <c:v>75.731630310000043</c:v>
                </c:pt>
                <c:pt idx="1312">
                  <c:v>61.945691840000023</c:v>
                </c:pt>
                <c:pt idx="1313">
                  <c:v>65.160055590000042</c:v>
                </c:pt>
                <c:pt idx="1314">
                  <c:v>60.37472156000004</c:v>
                </c:pt>
                <c:pt idx="1315">
                  <c:v>56.589689750000019</c:v>
                </c:pt>
                <c:pt idx="1316">
                  <c:v>56.804960160000036</c:v>
                </c:pt>
                <c:pt idx="1317">
                  <c:v>59.020532790000033</c:v>
                </c:pt>
                <c:pt idx="1318">
                  <c:v>48.236407640000039</c:v>
                </c:pt>
                <c:pt idx="1319">
                  <c:v>52.452584709999996</c:v>
                </c:pt>
                <c:pt idx="1320">
                  <c:v>55.669063999999992</c:v>
                </c:pt>
                <c:pt idx="1321">
                  <c:v>53.885845510000024</c:v>
                </c:pt>
                <c:pt idx="1322">
                  <c:v>52.10292923999998</c:v>
                </c:pt>
                <c:pt idx="1323">
                  <c:v>52.320315190000031</c:v>
                </c:pt>
                <c:pt idx="1324">
                  <c:v>64.538003360000062</c:v>
                </c:pt>
                <c:pt idx="1325">
                  <c:v>73.755993750000016</c:v>
                </c:pt>
                <c:pt idx="1326">
                  <c:v>84.974286360000008</c:v>
                </c:pt>
                <c:pt idx="1327">
                  <c:v>124.19288119000004</c:v>
                </c:pt>
                <c:pt idx="1328">
                  <c:v>255.41177824000005</c:v>
                </c:pt>
                <c:pt idx="1329">
                  <c:v>500.63097751000004</c:v>
                </c:pt>
                <c:pt idx="1330">
                  <c:v>819.85047900000006</c:v>
                </c:pt>
                <c:pt idx="1331">
                  <c:v>998.07028271000001</c:v>
                </c:pt>
                <c:pt idx="1332">
                  <c:v>858.29038864000006</c:v>
                </c:pt>
                <c:pt idx="1333">
                  <c:v>507.51079678999997</c:v>
                </c:pt>
                <c:pt idx="1334">
                  <c:v>221.73150716000001</c:v>
                </c:pt>
                <c:pt idx="1335">
                  <c:v>112.95251975000005</c:v>
                </c:pt>
                <c:pt idx="1336">
                  <c:v>80.173834560000017</c:v>
                </c:pt>
                <c:pt idx="1337">
                  <c:v>81.395451590000022</c:v>
                </c:pt>
                <c:pt idx="1338">
                  <c:v>124.61737084000006</c:v>
                </c:pt>
                <c:pt idx="1339">
                  <c:v>235.83959231000003</c:v>
                </c:pt>
                <c:pt idx="1340">
                  <c:v>368.06211600000006</c:v>
                </c:pt>
                <c:pt idx="1341">
                  <c:v>513.28494191000004</c:v>
                </c:pt>
                <c:pt idx="1342">
                  <c:v>512.50807004000001</c:v>
                </c:pt>
                <c:pt idx="1343">
                  <c:v>364.73150039000006</c:v>
                </c:pt>
                <c:pt idx="1344">
                  <c:v>178.95523296000007</c:v>
                </c:pt>
                <c:pt idx="1345">
                  <c:v>88.179267750000008</c:v>
                </c:pt>
                <c:pt idx="1346">
                  <c:v>65.403604760000007</c:v>
                </c:pt>
                <c:pt idx="1347">
                  <c:v>60.628243989999987</c:v>
                </c:pt>
                <c:pt idx="1348">
                  <c:v>65.853185440000004</c:v>
                </c:pt>
                <c:pt idx="1349">
                  <c:v>76.078429110000002</c:v>
                </c:pt>
                <c:pt idx="1350">
                  <c:v>84.30397499999998</c:v>
                </c:pt>
                <c:pt idx="1351">
                  <c:v>83.529823109999995</c:v>
                </c:pt>
                <c:pt idx="1352">
                  <c:v>84.755973440000048</c:v>
                </c:pt>
                <c:pt idx="1353">
                  <c:v>71.982425990000024</c:v>
                </c:pt>
                <c:pt idx="1354">
                  <c:v>63.209180760000038</c:v>
                </c:pt>
                <c:pt idx="1355">
                  <c:v>55.436237750000032</c:v>
                </c:pt>
                <c:pt idx="1356">
                  <c:v>52.663596960000007</c:v>
                </c:pt>
                <c:pt idx="1357">
                  <c:v>55.891258390000019</c:v>
                </c:pt>
                <c:pt idx="1358">
                  <c:v>59.119222040000068</c:v>
                </c:pt>
                <c:pt idx="1359">
                  <c:v>49.347487910000012</c:v>
                </c:pt>
                <c:pt idx="1360">
                  <c:v>50.576056000000023</c:v>
                </c:pt>
                <c:pt idx="1361">
                  <c:v>52.804926310000013</c:v>
                </c:pt>
                <c:pt idx="1362">
                  <c:v>62.034098839999984</c:v>
                </c:pt>
                <c:pt idx="1363">
                  <c:v>54.26357359000005</c:v>
                </c:pt>
                <c:pt idx="1364">
                  <c:v>48.493350559999982</c:v>
                </c:pt>
                <c:pt idx="1365">
                  <c:v>49.723429750000008</c:v>
                </c:pt>
                <c:pt idx="1366">
                  <c:v>69.953811160000015</c:v>
                </c:pt>
                <c:pt idx="1367">
                  <c:v>91.184494790000002</c:v>
                </c:pt>
                <c:pt idx="1368">
                  <c:v>130.41548064000003</c:v>
                </c:pt>
                <c:pt idx="1369">
                  <c:v>208.64676871000003</c:v>
                </c:pt>
                <c:pt idx="1370">
                  <c:v>307.87835900000005</c:v>
                </c:pt>
                <c:pt idx="1371">
                  <c:v>349.11025151000001</c:v>
                </c:pt>
                <c:pt idx="1372">
                  <c:v>292.34244624000007</c:v>
                </c:pt>
                <c:pt idx="1373">
                  <c:v>211.57494319</c:v>
                </c:pt>
                <c:pt idx="1374">
                  <c:v>201.80774236000002</c:v>
                </c:pt>
                <c:pt idx="1375">
                  <c:v>255.04084375000002</c:v>
                </c:pt>
                <c:pt idx="1376">
                  <c:v>283.27424736</c:v>
                </c:pt>
                <c:pt idx="1377">
                  <c:v>229.50795319000002</c:v>
                </c:pt>
                <c:pt idx="1378">
                  <c:v>142.74196124000002</c:v>
                </c:pt>
                <c:pt idx="1379">
                  <c:v>101.97627151</c:v>
                </c:pt>
                <c:pt idx="1380">
                  <c:v>178.21088400000002</c:v>
                </c:pt>
                <c:pt idx="1381">
                  <c:v>328.44579871000002</c:v>
                </c:pt>
                <c:pt idx="1382">
                  <c:v>507.68101564000006</c:v>
                </c:pt>
                <c:pt idx="1383">
                  <c:v>567.91653479000001</c:v>
                </c:pt>
                <c:pt idx="1384">
                  <c:v>442.15235616000001</c:v>
                </c:pt>
                <c:pt idx="1385">
                  <c:v>215.38847975000004</c:v>
                </c:pt>
                <c:pt idx="1386">
                  <c:v>81.62490556000003</c:v>
                </c:pt>
                <c:pt idx="1387">
                  <c:v>28.861633590000025</c:v>
                </c:pt>
                <c:pt idx="1388">
                  <c:v>17.09866384</c:v>
                </c:pt>
                <c:pt idx="1389">
                  <c:v>23.335996310000013</c:v>
                </c:pt>
                <c:pt idx="1390">
                  <c:v>12.573631000000006</c:v>
                </c:pt>
                <c:pt idx="1391">
                  <c:v>12.811567910000036</c:v>
                </c:pt>
                <c:pt idx="1392">
                  <c:v>4.9807040000047209E-2</c:v>
                </c:pt>
                <c:pt idx="1393">
                  <c:v>3.2883483900000385</c:v>
                </c:pt>
                <c:pt idx="1394">
                  <c:v>19.52719196000001</c:v>
                </c:pt>
                <c:pt idx="1395">
                  <c:v>24.766337750000019</c:v>
                </c:pt>
                <c:pt idx="1396">
                  <c:v>41.005785760000009</c:v>
                </c:pt>
                <c:pt idx="1397">
                  <c:v>67.245535990000036</c:v>
                </c:pt>
                <c:pt idx="1398">
                  <c:v>148.48558844000004</c:v>
                </c:pt>
                <c:pt idx="1399">
                  <c:v>366.72594311</c:v>
                </c:pt>
                <c:pt idx="1400">
                  <c:v>822.96659999999997</c:v>
                </c:pt>
                <c:pt idx="1401">
                  <c:v>1386.2075591099999</c:v>
                </c:pt>
                <c:pt idx="1402">
                  <c:v>1705.44882044</c:v>
                </c:pt>
                <c:pt idx="1403">
                  <c:v>1379.6903839900001</c:v>
                </c:pt>
                <c:pt idx="1404">
                  <c:v>761.93224975999999</c:v>
                </c:pt>
                <c:pt idx="1405">
                  <c:v>297.17441775000009</c:v>
                </c:pt>
                <c:pt idx="1406">
                  <c:v>145.41688796000008</c:v>
                </c:pt>
                <c:pt idx="1407">
                  <c:v>102.65966038999997</c:v>
                </c:pt>
                <c:pt idx="1408">
                  <c:v>81.90273504000001</c:v>
                </c:pt>
                <c:pt idx="1409">
                  <c:v>82.14611191000003</c:v>
                </c:pt>
                <c:pt idx="1410">
                  <c:v>125.38979099999997</c:v>
                </c:pt>
                <c:pt idx="1411">
                  <c:v>253.63377231000001</c:v>
                </c:pt>
                <c:pt idx="1412">
                  <c:v>412.87805584</c:v>
                </c:pt>
                <c:pt idx="1413">
                  <c:v>497.12264159000006</c:v>
                </c:pt>
                <c:pt idx="1414">
                  <c:v>420.36752955999998</c:v>
                </c:pt>
                <c:pt idx="1415">
                  <c:v>234.61271975000002</c:v>
                </c:pt>
                <c:pt idx="1416">
                  <c:v>91.858212160000022</c:v>
                </c:pt>
                <c:pt idx="1417">
                  <c:v>41.104006790000057</c:v>
                </c:pt>
                <c:pt idx="1418">
                  <c:v>16.350103640000015</c:v>
                </c:pt>
                <c:pt idx="1419">
                  <c:v>7.59650271000001</c:v>
                </c:pt>
                <c:pt idx="1420">
                  <c:v>-1.1567959999999573</c:v>
                </c:pt>
                <c:pt idx="1421">
                  <c:v>-3.909792490000001</c:v>
                </c:pt>
                <c:pt idx="1422">
                  <c:v>-6.6624867599999504</c:v>
                </c:pt>
                <c:pt idx="1423">
                  <c:v>3.5851211900000237</c:v>
                </c:pt>
                <c:pt idx="1424">
                  <c:v>4.8330313600000352</c:v>
                </c:pt>
                <c:pt idx="1425">
                  <c:v>11.081243750000027</c:v>
                </c:pt>
                <c:pt idx="1426">
                  <c:v>10.32975836</c:v>
                </c:pt>
                <c:pt idx="1427">
                  <c:v>20.578575190000009</c:v>
                </c:pt>
                <c:pt idx="1428">
                  <c:v>14.827694240000056</c:v>
                </c:pt>
                <c:pt idx="1429">
                  <c:v>12.077115510000027</c:v>
                </c:pt>
                <c:pt idx="1430">
                  <c:v>0.32683900000003518</c:v>
                </c:pt>
                <c:pt idx="1431">
                  <c:v>-2.4231352899999195</c:v>
                </c:pt>
                <c:pt idx="1432">
                  <c:v>-5.1728073599999504</c:v>
                </c:pt>
                <c:pt idx="1433">
                  <c:v>-6.9221772099999441</c:v>
                </c:pt>
                <c:pt idx="1434">
                  <c:v>-6.6712448400000142</c:v>
                </c:pt>
                <c:pt idx="1435">
                  <c:v>-0.42001024999999004</c:v>
                </c:pt>
                <c:pt idx="1436">
                  <c:v>-0.16847343999998543</c:v>
                </c:pt>
                <c:pt idx="1437">
                  <c:v>-5.9166344100000003</c:v>
                </c:pt>
                <c:pt idx="1438">
                  <c:v>-1.6644931599999779</c:v>
                </c:pt>
                <c:pt idx="1439">
                  <c:v>3.587950310000025</c:v>
                </c:pt>
                <c:pt idx="1440">
                  <c:v>2.8406960000000083</c:v>
                </c:pt>
                <c:pt idx="1441">
                  <c:v>8.093743910000029</c:v>
                </c:pt>
                <c:pt idx="1442">
                  <c:v>21.34709404000003</c:v>
                </c:pt>
                <c:pt idx="1443">
                  <c:v>34.600746390000012</c:v>
                </c:pt>
                <c:pt idx="1444">
                  <c:v>29.854700960000031</c:v>
                </c:pt>
                <c:pt idx="1445">
                  <c:v>24.10895775000003</c:v>
                </c:pt>
                <c:pt idx="1446">
                  <c:v>4.3635167600000102</c:v>
                </c:pt>
                <c:pt idx="1447">
                  <c:v>-4.3816220099999725</c:v>
                </c:pt>
                <c:pt idx="1448">
                  <c:v>4.8735414400000252</c:v>
                </c:pt>
                <c:pt idx="1449">
                  <c:v>-3.8709928899999966</c:v>
                </c:pt>
                <c:pt idx="1450">
                  <c:v>2.384775000000019</c:v>
                </c:pt>
                <c:pt idx="1451">
                  <c:v>10.640845110000072</c:v>
                </c:pt>
                <c:pt idx="1452">
                  <c:v>3.8972174400000483</c:v>
                </c:pt>
                <c:pt idx="1453">
                  <c:v>5.1538919900000622</c:v>
                </c:pt>
                <c:pt idx="1454">
                  <c:v>2.4108687600000565</c:v>
                </c:pt>
                <c:pt idx="1455">
                  <c:v>-7.3318522499999688</c:v>
                </c:pt>
                <c:pt idx="1456">
                  <c:v>1.9257289600000433</c:v>
                </c:pt>
                <c:pt idx="1457">
                  <c:v>-5.8163876099999072</c:v>
                </c:pt>
                <c:pt idx="1458">
                  <c:v>12.441798040000066</c:v>
                </c:pt>
                <c:pt idx="1459">
                  <c:v>24.700285910000076</c:v>
                </c:pt>
                <c:pt idx="1460">
                  <c:v>19.95907600000001</c:v>
                </c:pt>
                <c:pt idx="1461">
                  <c:v>5.2181683099999816</c:v>
                </c:pt>
                <c:pt idx="1462">
                  <c:v>3.4775628399999903</c:v>
                </c:pt>
                <c:pt idx="1463">
                  <c:v>6.7372595899999794</c:v>
                </c:pt>
                <c:pt idx="1464">
                  <c:v>7.9972585600000059</c:v>
                </c:pt>
                <c:pt idx="1465">
                  <c:v>9.2575597500000129</c:v>
                </c:pt>
                <c:pt idx="1466">
                  <c:v>6.5181631600000003</c:v>
                </c:pt>
                <c:pt idx="1467">
                  <c:v>2.779068790000025</c:v>
                </c:pt>
                <c:pt idx="1468">
                  <c:v>-0.95972335999996972</c:v>
                </c:pt>
                <c:pt idx="1469">
                  <c:v>1.301786710000016</c:v>
                </c:pt>
                <c:pt idx="1470">
                  <c:v>11.563599000000039</c:v>
                </c:pt>
                <c:pt idx="1471">
                  <c:v>20.825713510000043</c:v>
                </c:pt>
                <c:pt idx="1472">
                  <c:v>12.088130240000027</c:v>
                </c:pt>
                <c:pt idx="1473">
                  <c:v>1.3508491900000479</c:v>
                </c:pt>
                <c:pt idx="1474">
                  <c:v>-5.3861296400000072</c:v>
                </c:pt>
                <c:pt idx="1475">
                  <c:v>-8.122806249999968</c:v>
                </c:pt>
                <c:pt idx="1476">
                  <c:v>-3.8591806399999484</c:v>
                </c:pt>
                <c:pt idx="1477">
                  <c:v>-0.59525281000000518</c:v>
                </c:pt>
                <c:pt idx="1478">
                  <c:v>2.6689772400000322</c:v>
                </c:pt>
                <c:pt idx="1479">
                  <c:v>1.9335095100000501</c:v>
                </c:pt>
                <c:pt idx="1480">
                  <c:v>-3.8016559999999515</c:v>
                </c:pt>
                <c:pt idx="1481">
                  <c:v>-7.5365192899999727</c:v>
                </c:pt>
                <c:pt idx="1482">
                  <c:v>-6.2710803599999565</c:v>
                </c:pt>
                <c:pt idx="1483">
                  <c:v>-9.0053392099999598</c:v>
                </c:pt>
                <c:pt idx="1484">
                  <c:v>4.2607041600000741</c:v>
                </c:pt>
                <c:pt idx="1485">
                  <c:v>0.52704975000008858</c:v>
                </c:pt>
                <c:pt idx="1486">
                  <c:v>-3.2063024399999733</c:v>
                </c:pt>
                <c:pt idx="1487">
                  <c:v>-2.9393524099999411</c:v>
                </c:pt>
                <c:pt idx="1488">
                  <c:v>-4.6721001599999283</c:v>
                </c:pt>
                <c:pt idx="1489">
                  <c:v>0.59545431000000804</c:v>
                </c:pt>
                <c:pt idx="1490">
                  <c:v>2.8633110000000386</c:v>
                </c:pt>
                <c:pt idx="1491">
                  <c:v>17.131469909999993</c:v>
                </c:pt>
                <c:pt idx="1492">
                  <c:v>12.399931039999984</c:v>
                </c:pt>
                <c:pt idx="1493">
                  <c:v>7.6686943900000131</c:v>
                </c:pt>
                <c:pt idx="1494">
                  <c:v>8.9377599600000224</c:v>
                </c:pt>
                <c:pt idx="1495">
                  <c:v>3.2071277500000122</c:v>
                </c:pt>
                <c:pt idx="1496">
                  <c:v>-4.5232022399999607</c:v>
                </c:pt>
                <c:pt idx="1497">
                  <c:v>-0.25323001000001</c:v>
                </c:pt>
                <c:pt idx="1498">
                  <c:v>-9.9829555599999651</c:v>
                </c:pt>
                <c:pt idx="1499">
                  <c:v>-2.7123788899999397</c:v>
                </c:pt>
                <c:pt idx="1500">
                  <c:v>5.5585000000000093</c:v>
                </c:pt>
                <c:pt idx="1501">
                  <c:v>6.8296811100000525</c:v>
                </c:pt>
                <c:pt idx="1502">
                  <c:v>3.1011644400000762</c:v>
                </c:pt>
                <c:pt idx="1503">
                  <c:v>7.3729499900000235</c:v>
                </c:pt>
                <c:pt idx="1504">
                  <c:v>0.64503776000006496</c:v>
                </c:pt>
                <c:pt idx="1505">
                  <c:v>4.9174277500000301</c:v>
                </c:pt>
                <c:pt idx="1506">
                  <c:v>0.19011996000003251</c:v>
                </c:pt>
                <c:pt idx="1507">
                  <c:v>10.463114390000072</c:v>
                </c:pt>
                <c:pt idx="1508">
                  <c:v>8.7364110400000357</c:v>
                </c:pt>
                <c:pt idx="1509">
                  <c:v>7.0100099100000364</c:v>
                </c:pt>
                <c:pt idx="1510">
                  <c:v>2.2839110000000744</c:v>
                </c:pt>
                <c:pt idx="1511">
                  <c:v>1.5581143100000361</c:v>
                </c:pt>
                <c:pt idx="1512">
                  <c:v>-3.1673801599999649</c:v>
                </c:pt>
                <c:pt idx="1513">
                  <c:v>-0.8925724099999286</c:v>
                </c:pt>
                <c:pt idx="1514">
                  <c:v>3.3825375600000314</c:v>
                </c:pt>
                <c:pt idx="1515">
                  <c:v>12.657949750000085</c:v>
                </c:pt>
                <c:pt idx="1516">
                  <c:v>15.933664160000006</c:v>
                </c:pt>
                <c:pt idx="1517">
                  <c:v>2.2096807900000215</c:v>
                </c:pt>
                <c:pt idx="1518">
                  <c:v>3.4859996400000171</c:v>
                </c:pt>
                <c:pt idx="1519">
                  <c:v>8.7626207100000499</c:v>
                </c:pt>
                <c:pt idx="1520">
                  <c:v>7.0395440000000065</c:v>
                </c:pt>
                <c:pt idx="1521">
                  <c:v>8.3167695100000003</c:v>
                </c:pt>
                <c:pt idx="1522">
                  <c:v>21.594297239999975</c:v>
                </c:pt>
                <c:pt idx="1523">
                  <c:v>13.872127189999986</c:v>
                </c:pt>
                <c:pt idx="1524">
                  <c:v>13.150259360000035</c:v>
                </c:pt>
                <c:pt idx="1525">
                  <c:v>17.428693750000008</c:v>
                </c:pt>
                <c:pt idx="1526">
                  <c:v>27.707430360000018</c:v>
                </c:pt>
                <c:pt idx="1527">
                  <c:v>47.986469190000065</c:v>
                </c:pt>
                <c:pt idx="1528">
                  <c:v>73.265810240000036</c:v>
                </c:pt>
                <c:pt idx="1529">
                  <c:v>100.54545351000004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CA-48BB-ACD5-5671251BD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0292592"/>
        <c:axId val="1326462880"/>
      </c:scatterChart>
      <c:valAx>
        <c:axId val="1380292592"/>
        <c:scaling>
          <c:orientation val="minMax"/>
          <c:max val="16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26462880"/>
        <c:crosses val="autoZero"/>
        <c:crossBetween val="midCat"/>
      </c:valAx>
      <c:valAx>
        <c:axId val="1326462880"/>
        <c:scaling>
          <c:orientation val="minMax"/>
          <c:max val="5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0292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cúbicos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'thor orden 1'!$L$10:$L$38</c:f>
              <c:numCache>
                <c:formatCode>General</c:formatCode>
                <c:ptCount val="29"/>
                <c:pt idx="0">
                  <c:v>7</c:v>
                </c:pt>
                <c:pt idx="1">
                  <c:v>33.5</c:v>
                </c:pt>
                <c:pt idx="2">
                  <c:v>42</c:v>
                </c:pt>
                <c:pt idx="3">
                  <c:v>97.5</c:v>
                </c:pt>
                <c:pt idx="4">
                  <c:v>128.5</c:v>
                </c:pt>
                <c:pt idx="5">
                  <c:v>145</c:v>
                </c:pt>
                <c:pt idx="6">
                  <c:v>182.5</c:v>
                </c:pt>
                <c:pt idx="7">
                  <c:v>196</c:v>
                </c:pt>
                <c:pt idx="8">
                  <c:v>204.5</c:v>
                </c:pt>
                <c:pt idx="9">
                  <c:v>240.5</c:v>
                </c:pt>
                <c:pt idx="10">
                  <c:v>256.5</c:v>
                </c:pt>
                <c:pt idx="11">
                  <c:v>345</c:v>
                </c:pt>
                <c:pt idx="12">
                  <c:v>445.5</c:v>
                </c:pt>
                <c:pt idx="13">
                  <c:v>518</c:v>
                </c:pt>
                <c:pt idx="14">
                  <c:v>665</c:v>
                </c:pt>
                <c:pt idx="15">
                  <c:v>692</c:v>
                </c:pt>
                <c:pt idx="16">
                  <c:v>743</c:v>
                </c:pt>
                <c:pt idx="17">
                  <c:v>859</c:v>
                </c:pt>
                <c:pt idx="18">
                  <c:v>941</c:v>
                </c:pt>
                <c:pt idx="19">
                  <c:v>1094.5</c:v>
                </c:pt>
                <c:pt idx="20">
                  <c:v>1121</c:v>
                </c:pt>
                <c:pt idx="21">
                  <c:v>1144.5</c:v>
                </c:pt>
                <c:pt idx="22">
                  <c:v>1181</c:v>
                </c:pt>
                <c:pt idx="23">
                  <c:v>1239</c:v>
                </c:pt>
                <c:pt idx="24">
                  <c:v>1331</c:v>
                </c:pt>
                <c:pt idx="25">
                  <c:v>1342</c:v>
                </c:pt>
                <c:pt idx="26">
                  <c:v>1383</c:v>
                </c:pt>
                <c:pt idx="27">
                  <c:v>1402</c:v>
                </c:pt>
                <c:pt idx="28">
                  <c:v>1413</c:v>
                </c:pt>
              </c:numCache>
            </c:numRef>
          </c:xVal>
          <c:yVal>
            <c:numRef>
              <c:f>'thor orden 1'!$M$10:$M$38</c:f>
              <c:numCache>
                <c:formatCode>General</c:formatCode>
                <c:ptCount val="29"/>
                <c:pt idx="0">
                  <c:v>-1.1900000000000001E-2</c:v>
                </c:pt>
                <c:pt idx="1">
                  <c:v>-7.4999999999999997E-3</c:v>
                </c:pt>
                <c:pt idx="2">
                  <c:v>-1.23E-2</c:v>
                </c:pt>
                <c:pt idx="3">
                  <c:v>-1E-4</c:v>
                </c:pt>
                <c:pt idx="4">
                  <c:v>-2.5999999999999999E-3</c:v>
                </c:pt>
                <c:pt idx="5">
                  <c:v>-7.1000000000000004E-3</c:v>
                </c:pt>
                <c:pt idx="6">
                  <c:v>2.9999999999999997E-4</c:v>
                </c:pt>
                <c:pt idx="7">
                  <c:v>3.5999999999999999E-3</c:v>
                </c:pt>
                <c:pt idx="8">
                  <c:v>-6.4999999999999997E-3</c:v>
                </c:pt>
                <c:pt idx="9">
                  <c:v>2.8999999999999998E-3</c:v>
                </c:pt>
                <c:pt idx="10">
                  <c:v>-1.8E-3</c:v>
                </c:pt>
                <c:pt idx="11">
                  <c:v>6.4000000000000003E-3</c:v>
                </c:pt>
                <c:pt idx="12">
                  <c:v>8.8000000000000005E-3</c:v>
                </c:pt>
                <c:pt idx="13">
                  <c:v>4.0000000000000002E-4</c:v>
                </c:pt>
                <c:pt idx="14">
                  <c:v>4.0000000000000001E-3</c:v>
                </c:pt>
                <c:pt idx="15">
                  <c:v>1.29E-2</c:v>
                </c:pt>
                <c:pt idx="16">
                  <c:v>1.83E-2</c:v>
                </c:pt>
                <c:pt idx="17">
                  <c:v>6.3E-3</c:v>
                </c:pt>
                <c:pt idx="18">
                  <c:v>1.2200000000000001E-2</c:v>
                </c:pt>
                <c:pt idx="19">
                  <c:v>-5.3E-3</c:v>
                </c:pt>
                <c:pt idx="20">
                  <c:v>-5.1999999999999998E-3</c:v>
                </c:pt>
                <c:pt idx="21">
                  <c:v>-6.4000000000000003E-3</c:v>
                </c:pt>
                <c:pt idx="22">
                  <c:v>-6.7000000000000002E-3</c:v>
                </c:pt>
                <c:pt idx="23">
                  <c:v>-1.9E-3</c:v>
                </c:pt>
                <c:pt idx="24">
                  <c:v>-6.4999999999999997E-3</c:v>
                </c:pt>
                <c:pt idx="25">
                  <c:v>-3.0999999999999999E-3</c:v>
                </c:pt>
                <c:pt idx="26">
                  <c:v>-1.21E-2</c:v>
                </c:pt>
                <c:pt idx="27">
                  <c:v>-5.5999999999999999E-3</c:v>
                </c:pt>
                <c:pt idx="28">
                  <c:v>-9.4999999999999998E-3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8F-4776-8C1D-C0AAD82CC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7635376"/>
        <c:axId val="1379026304"/>
      </c:scatterChart>
      <c:valAx>
        <c:axId val="1377635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79026304"/>
        <c:crosses val="autoZero"/>
        <c:crossBetween val="midCat"/>
      </c:valAx>
      <c:valAx>
        <c:axId val="137902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77635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1"/>
            <c:trendlineLbl>
              <c:layout>
                <c:manualLayout>
                  <c:x val="0.12599562554680666"/>
                  <c:y val="-0.36349518810148729"/>
                </c:manualLayout>
              </c:layout>
              <c:numFmt formatCode="0.0000000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'thor orden 1'!$T$10:$T$38</c:f>
              <c:numCache>
                <c:formatCode>General</c:formatCode>
                <c:ptCount val="29"/>
                <c:pt idx="0">
                  <c:v>4.3910105300110018</c:v>
                </c:pt>
                <c:pt idx="1">
                  <c:v>30.919018280686743</c:v>
                </c:pt>
                <c:pt idx="2">
                  <c:v>39.200237284927695</c:v>
                </c:pt>
                <c:pt idx="3">
                  <c:v>94.609544218679972</c:v>
                </c:pt>
                <c:pt idx="4">
                  <c:v>125.94344855303112</c:v>
                </c:pt>
                <c:pt idx="5">
                  <c:v>142.1526824170254</c:v>
                </c:pt>
                <c:pt idx="6">
                  <c:v>179.56163644233672</c:v>
                </c:pt>
                <c:pt idx="7">
                  <c:v>193.21425852069891</c:v>
                </c:pt>
                <c:pt idx="8">
                  <c:v>201.94130929504857</c:v>
                </c:pt>
                <c:pt idx="9">
                  <c:v>237.6002198475723</c:v>
                </c:pt>
                <c:pt idx="10">
                  <c:v>253.66173887785462</c:v>
                </c:pt>
                <c:pt idx="11">
                  <c:v>342.04773194305545</c:v>
                </c:pt>
                <c:pt idx="12">
                  <c:v>442.49286549622974</c:v>
                </c:pt>
                <c:pt idx="13">
                  <c:v>515.51158209981122</c:v>
                </c:pt>
                <c:pt idx="14">
                  <c:v>662.20368971975029</c:v>
                </c:pt>
                <c:pt idx="15">
                  <c:v>688.92526040428811</c:v>
                </c:pt>
                <c:pt idx="16">
                  <c:v>739.95407149792857</c:v>
                </c:pt>
                <c:pt idx="18">
                  <c:v>937.90289439280389</c:v>
                </c:pt>
                <c:pt idx="19">
                  <c:v>1091.9774089119669</c:v>
                </c:pt>
                <c:pt idx="20">
                  <c:v>1118.4678998299801</c:v>
                </c:pt>
                <c:pt idx="21">
                  <c:v>1141.9572110837692</c:v>
                </c:pt>
                <c:pt idx="22">
                  <c:v>1178.3149318963492</c:v>
                </c:pt>
                <c:pt idx="23">
                  <c:v>1236.3119378473061</c:v>
                </c:pt>
                <c:pt idx="24">
                  <c:v>1328.4309026112176</c:v>
                </c:pt>
                <c:pt idx="25">
                  <c:v>1338.8546793422497</c:v>
                </c:pt>
                <c:pt idx="27">
                  <c:v>1399.3507864403389</c:v>
                </c:pt>
                <c:pt idx="28">
                  <c:v>1410.3932115738367</c:v>
                </c:pt>
              </c:numCache>
            </c:numRef>
          </c:xVal>
          <c:yVal>
            <c:numRef>
              <c:f>'thor orden 1'!$W$10:$W$38</c:f>
              <c:numCache>
                <c:formatCode>General</c:formatCode>
                <c:ptCount val="29"/>
                <c:pt idx="0">
                  <c:v>1.3768399094260531E-3</c:v>
                </c:pt>
                <c:pt idx="1">
                  <c:v>-5.7702813774085371E-4</c:v>
                </c:pt>
                <c:pt idx="2">
                  <c:v>2.7558258434510208E-3</c:v>
                </c:pt>
                <c:pt idx="5">
                  <c:v>-4.1580562210583594E-3</c:v>
                </c:pt>
                <c:pt idx="6">
                  <c:v>3.6674341808975441E-3</c:v>
                </c:pt>
                <c:pt idx="8">
                  <c:v>-7.4566235871316167E-3</c:v>
                </c:pt>
                <c:pt idx="9">
                  <c:v>1.3942797959316522E-3</c:v>
                </c:pt>
                <c:pt idx="10">
                  <c:v>-4.5712938044744078E-3</c:v>
                </c:pt>
                <c:pt idx="11">
                  <c:v>4.7524268802590086E-3</c:v>
                </c:pt>
                <c:pt idx="12">
                  <c:v>3.9694011320534628E-4</c:v>
                </c:pt>
                <c:pt idx="13">
                  <c:v>9.2458285362226889E-3</c:v>
                </c:pt>
                <c:pt idx="15">
                  <c:v>7.1396086696040584E-4</c:v>
                </c:pt>
                <c:pt idx="16">
                  <c:v>-9.3293923837336479E-3</c:v>
                </c:pt>
                <c:pt idx="18">
                  <c:v>-6.1899890442873584E-4</c:v>
                </c:pt>
                <c:pt idx="19">
                  <c:v>-2.1330303752620239E-4</c:v>
                </c:pt>
                <c:pt idx="20">
                  <c:v>1.0629594034980983E-3</c:v>
                </c:pt>
                <c:pt idx="21">
                  <c:v>-4.3136994281667285E-4</c:v>
                </c:pt>
                <c:pt idx="22">
                  <c:v>1.7473956895628362E-3</c:v>
                </c:pt>
                <c:pt idx="23">
                  <c:v>1.1963295382884098E-3</c:v>
                </c:pt>
                <c:pt idx="24">
                  <c:v>1.0069173858937575E-3</c:v>
                </c:pt>
                <c:pt idx="27">
                  <c:v>-1.9609212640716578E-3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59-4B7C-88B3-451839CCE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396639"/>
        <c:axId val="366168367"/>
      </c:scatterChart>
      <c:valAx>
        <c:axId val="374396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66168367"/>
        <c:crosses val="autoZero"/>
        <c:crossBetween val="midCat"/>
      </c:valAx>
      <c:valAx>
        <c:axId val="36616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74396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6.6495188101487315E-2"/>
                  <c:y val="-0.197857976086322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'thor orden 1'!$E$742:$E$746</c:f>
              <c:numCache>
                <c:formatCode>General</c:formatCode>
                <c:ptCount val="5"/>
                <c:pt idx="0">
                  <c:v>-2</c:v>
                </c:pt>
                <c:pt idx="1">
                  <c:v>-1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</c:numCache>
            </c:numRef>
          </c:xVal>
          <c:yVal>
            <c:numRef>
              <c:f>'thor orden 1'!$F$742:$F$746</c:f>
              <c:numCache>
                <c:formatCode>General</c:formatCode>
                <c:ptCount val="5"/>
                <c:pt idx="0">
                  <c:v>6.835075257493723</c:v>
                </c:pt>
                <c:pt idx="1">
                  <c:v>7.1646740714661252</c:v>
                </c:pt>
                <c:pt idx="2">
                  <c:v>7.2048793038693271</c:v>
                </c:pt>
                <c:pt idx="3">
                  <c:v>7.0431814222723617</c:v>
                </c:pt>
                <c:pt idx="4">
                  <c:v>6.8113185253567599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E1-4EA0-98EE-E277831DB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7658319"/>
        <c:axId val="1600020991"/>
      </c:scatterChart>
      <c:valAx>
        <c:axId val="1577658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00020991"/>
        <c:crosses val="autoZero"/>
        <c:crossBetween val="midCat"/>
      </c:valAx>
      <c:valAx>
        <c:axId val="160002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77658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'thor parabolas'!$A$1:$A$1530</c:f>
              <c:numCache>
                <c:formatCode>General</c:formatCode>
                <c:ptCount val="15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</c:numCache>
            </c:numRef>
          </c:xVal>
          <c:yVal>
            <c:numRef>
              <c:f>'thor parabolas'!$D$1:$D$1530</c:f>
              <c:numCache>
                <c:formatCode>General</c:formatCode>
                <c:ptCount val="1530"/>
                <c:pt idx="0">
                  <c:v>57.010999999999996</c:v>
                </c:pt>
                <c:pt idx="1">
                  <c:v>96.828851110000002</c:v>
                </c:pt>
                <c:pt idx="2">
                  <c:v>249.64700443999999</c:v>
                </c:pt>
                <c:pt idx="3">
                  <c:v>477.46545999</c:v>
                </c:pt>
                <c:pt idx="4">
                  <c:v>1125.28421776</c:v>
                </c:pt>
                <c:pt idx="5">
                  <c:v>2577.10327775</c:v>
                </c:pt>
                <c:pt idx="6">
                  <c:v>4329.9226399600002</c:v>
                </c:pt>
                <c:pt idx="7">
                  <c:v>5576.7423043899998</c:v>
                </c:pt>
                <c:pt idx="8">
                  <c:v>4820.5622710400003</c:v>
                </c:pt>
                <c:pt idx="9">
                  <c:v>2768.3825399100001</c:v>
                </c:pt>
                <c:pt idx="10">
                  <c:v>1154.203111</c:v>
                </c:pt>
                <c:pt idx="11">
                  <c:v>620.02398430999995</c:v>
                </c:pt>
                <c:pt idx="12">
                  <c:v>423.84515984000001</c:v>
                </c:pt>
                <c:pt idx="13">
                  <c:v>287.66663758999999</c:v>
                </c:pt>
                <c:pt idx="14">
                  <c:v>151.48841756000002</c:v>
                </c:pt>
                <c:pt idx="15">
                  <c:v>78.310499749999991</c:v>
                </c:pt>
                <c:pt idx="16">
                  <c:v>32.132884159999989</c:v>
                </c:pt>
                <c:pt idx="17">
                  <c:v>9.9555707899999959</c:v>
                </c:pt>
                <c:pt idx="18">
                  <c:v>2.7785596399999974</c:v>
                </c:pt>
                <c:pt idx="19">
                  <c:v>2.6018507099999937</c:v>
                </c:pt>
                <c:pt idx="20">
                  <c:v>9.4254439999999988</c:v>
                </c:pt>
                <c:pt idx="21">
                  <c:v>3.2493395099999987</c:v>
                </c:pt>
                <c:pt idx="22">
                  <c:v>15.073537239999993</c:v>
                </c:pt>
                <c:pt idx="23">
                  <c:v>15.898037189999997</c:v>
                </c:pt>
                <c:pt idx="24">
                  <c:v>18.722839359999995</c:v>
                </c:pt>
                <c:pt idx="25">
                  <c:v>9.5479437500000017</c:v>
                </c:pt>
                <c:pt idx="26">
                  <c:v>3.3733503599999892</c:v>
                </c:pt>
                <c:pt idx="27">
                  <c:v>21.19905919</c:v>
                </c:pt>
                <c:pt idx="28">
                  <c:v>43.025070239999991</c:v>
                </c:pt>
                <c:pt idx="29">
                  <c:v>85.851383509999991</c:v>
                </c:pt>
                <c:pt idx="30">
                  <c:v>166.677999</c:v>
                </c:pt>
                <c:pt idx="31">
                  <c:v>449.50491670999997</c:v>
                </c:pt>
                <c:pt idx="32">
                  <c:v>922.33213664000004</c:v>
                </c:pt>
                <c:pt idx="33">
                  <c:v>1448.1596587900001</c:v>
                </c:pt>
                <c:pt idx="34">
                  <c:v>1546.98748316</c:v>
                </c:pt>
                <c:pt idx="35">
                  <c:v>1104.81560975</c:v>
                </c:pt>
                <c:pt idx="36">
                  <c:v>518.64403856000001</c:v>
                </c:pt>
                <c:pt idx="37">
                  <c:v>269.47276958999998</c:v>
                </c:pt>
                <c:pt idx="38">
                  <c:v>224.30180283999999</c:v>
                </c:pt>
                <c:pt idx="39">
                  <c:v>307.13113830999998</c:v>
                </c:pt>
                <c:pt idx="40">
                  <c:v>513.96077600000001</c:v>
                </c:pt>
                <c:pt idx="41">
                  <c:v>767.79071591000002</c:v>
                </c:pt>
                <c:pt idx="42">
                  <c:v>909.62095804</c:v>
                </c:pt>
                <c:pt idx="43">
                  <c:v>738.45150238999997</c:v>
                </c:pt>
                <c:pt idx="44">
                  <c:v>410.28234895999998</c:v>
                </c:pt>
                <c:pt idx="45">
                  <c:v>167.11349774999999</c:v>
                </c:pt>
                <c:pt idx="46">
                  <c:v>97.944948759999988</c:v>
                </c:pt>
                <c:pt idx="47">
                  <c:v>47.776701989999992</c:v>
                </c:pt>
                <c:pt idx="48">
                  <c:v>16.608757439999991</c:v>
                </c:pt>
                <c:pt idx="49">
                  <c:v>5.4411151099999984</c:v>
                </c:pt>
                <c:pt idx="50">
                  <c:v>3.2737750000000005</c:v>
                </c:pt>
                <c:pt idx="51">
                  <c:v>0.10673710999999741</c:v>
                </c:pt>
                <c:pt idx="52">
                  <c:v>0.94000144000000319</c:v>
                </c:pt>
                <c:pt idx="53">
                  <c:v>19.773567990000004</c:v>
                </c:pt>
                <c:pt idx="54">
                  <c:v>52.607436759999999</c:v>
                </c:pt>
                <c:pt idx="55">
                  <c:v>104.44160775</c:v>
                </c:pt>
                <c:pt idx="56">
                  <c:v>120.27608096</c:v>
                </c:pt>
                <c:pt idx="57">
                  <c:v>107.11085639</c:v>
                </c:pt>
                <c:pt idx="58">
                  <c:v>45.945934039999997</c:v>
                </c:pt>
                <c:pt idx="59">
                  <c:v>23.781313909999994</c:v>
                </c:pt>
                <c:pt idx="60">
                  <c:v>35.616996</c:v>
                </c:pt>
                <c:pt idx="61">
                  <c:v>58.452980310000001</c:v>
                </c:pt>
                <c:pt idx="62">
                  <c:v>104.28926684</c:v>
                </c:pt>
                <c:pt idx="63">
                  <c:v>177.12585559000001</c:v>
                </c:pt>
                <c:pt idx="64">
                  <c:v>208.96274656</c:v>
                </c:pt>
                <c:pt idx="65">
                  <c:v>168.79993974999999</c:v>
                </c:pt>
                <c:pt idx="66">
                  <c:v>105.63743516</c:v>
                </c:pt>
                <c:pt idx="67">
                  <c:v>57.475232789999993</c:v>
                </c:pt>
                <c:pt idx="68">
                  <c:v>41.313332639999999</c:v>
                </c:pt>
                <c:pt idx="69">
                  <c:v>35.151734709999999</c:v>
                </c:pt>
                <c:pt idx="70">
                  <c:v>19.990438999999995</c:v>
                </c:pt>
                <c:pt idx="71">
                  <c:v>5.8294455099999993</c:v>
                </c:pt>
                <c:pt idx="72">
                  <c:v>22.668754239999998</c:v>
                </c:pt>
                <c:pt idx="73">
                  <c:v>26.508365189999992</c:v>
                </c:pt>
                <c:pt idx="74">
                  <c:v>51.348278359999995</c:v>
                </c:pt>
                <c:pt idx="75">
                  <c:v>51.188493749999992</c:v>
                </c:pt>
                <c:pt idx="76">
                  <c:v>42.029011359999998</c:v>
                </c:pt>
                <c:pt idx="77">
                  <c:v>48.869831189999999</c:v>
                </c:pt>
                <c:pt idx="78">
                  <c:v>103.71095323999999</c:v>
                </c:pt>
                <c:pt idx="79">
                  <c:v>163.55237750999999</c:v>
                </c:pt>
                <c:pt idx="80">
                  <c:v>192.394104</c:v>
                </c:pt>
                <c:pt idx="81">
                  <c:v>159.23613270999999</c:v>
                </c:pt>
                <c:pt idx="82">
                  <c:v>83.078463639999995</c:v>
                </c:pt>
                <c:pt idx="83">
                  <c:v>37.921096789999993</c:v>
                </c:pt>
                <c:pt idx="84">
                  <c:v>31.764032159999999</c:v>
                </c:pt>
                <c:pt idx="85">
                  <c:v>22.60726975</c:v>
                </c:pt>
                <c:pt idx="86">
                  <c:v>35.450809559999996</c:v>
                </c:pt>
                <c:pt idx="87">
                  <c:v>38.294651590000001</c:v>
                </c:pt>
                <c:pt idx="88">
                  <c:v>40.13879584</c:v>
                </c:pt>
                <c:pt idx="89">
                  <c:v>45.983242309999994</c:v>
                </c:pt>
                <c:pt idx="90">
                  <c:v>50.827990999999997</c:v>
                </c:pt>
                <c:pt idx="91">
                  <c:v>62.673041909999995</c:v>
                </c:pt>
                <c:pt idx="92">
                  <c:v>88.518395040000001</c:v>
                </c:pt>
                <c:pt idx="93">
                  <c:v>121.36405039</c:v>
                </c:pt>
                <c:pt idx="94">
                  <c:v>173.21000795999998</c:v>
                </c:pt>
                <c:pt idx="95">
                  <c:v>292.05626774999996</c:v>
                </c:pt>
                <c:pt idx="96">
                  <c:v>500.90282976000003</c:v>
                </c:pt>
                <c:pt idx="97">
                  <c:v>684.74969398999997</c:v>
                </c:pt>
                <c:pt idx="98">
                  <c:v>645.59686044</c:v>
                </c:pt>
                <c:pt idx="99">
                  <c:v>451.44432911000001</c:v>
                </c:pt>
                <c:pt idx="100">
                  <c:v>240.2921</c:v>
                </c:pt>
                <c:pt idx="101">
                  <c:v>155.14017311000001</c:v>
                </c:pt>
                <c:pt idx="102">
                  <c:v>128.98854843999999</c:v>
                </c:pt>
                <c:pt idx="103">
                  <c:v>122.83722598999999</c:v>
                </c:pt>
                <c:pt idx="104">
                  <c:v>168.68620576000001</c:v>
                </c:pt>
                <c:pt idx="105">
                  <c:v>254.53548774999999</c:v>
                </c:pt>
                <c:pt idx="106">
                  <c:v>350.38507196</c:v>
                </c:pt>
                <c:pt idx="107">
                  <c:v>440.23495838999997</c:v>
                </c:pt>
                <c:pt idx="108">
                  <c:v>496.08514703999998</c:v>
                </c:pt>
                <c:pt idx="109">
                  <c:v>510.93563790999997</c:v>
                </c:pt>
                <c:pt idx="110">
                  <c:v>465.78643099999999</c:v>
                </c:pt>
                <c:pt idx="111">
                  <c:v>365.63752631</c:v>
                </c:pt>
                <c:pt idx="112">
                  <c:v>311.48892383999998</c:v>
                </c:pt>
                <c:pt idx="113">
                  <c:v>312.34062359000001</c:v>
                </c:pt>
                <c:pt idx="114">
                  <c:v>321.19262556000001</c:v>
                </c:pt>
                <c:pt idx="115">
                  <c:v>283.04492974999999</c:v>
                </c:pt>
                <c:pt idx="116">
                  <c:v>215.89753616000002</c:v>
                </c:pt>
                <c:pt idx="117">
                  <c:v>168.75044478999999</c:v>
                </c:pt>
                <c:pt idx="118">
                  <c:v>160.60365564</c:v>
                </c:pt>
                <c:pt idx="119">
                  <c:v>209.45716870999999</c:v>
                </c:pt>
                <c:pt idx="120">
                  <c:v>283.31098399999996</c:v>
                </c:pt>
                <c:pt idx="121">
                  <c:v>377.16510151</c:v>
                </c:pt>
                <c:pt idx="122">
                  <c:v>420.01952124000002</c:v>
                </c:pt>
                <c:pt idx="123">
                  <c:v>384.87424319000002</c:v>
                </c:pt>
                <c:pt idx="124">
                  <c:v>343.72926735999999</c:v>
                </c:pt>
                <c:pt idx="125">
                  <c:v>341.58459375000001</c:v>
                </c:pt>
                <c:pt idx="126">
                  <c:v>488.44022236000001</c:v>
                </c:pt>
                <c:pt idx="127">
                  <c:v>771.29615319000004</c:v>
                </c:pt>
                <c:pt idx="128">
                  <c:v>1086.1523862399999</c:v>
                </c:pt>
                <c:pt idx="129">
                  <c:v>1110.0089215099999</c:v>
                </c:pt>
                <c:pt idx="130">
                  <c:v>889.86575900000003</c:v>
                </c:pt>
                <c:pt idx="131">
                  <c:v>573.72289870999998</c:v>
                </c:pt>
                <c:pt idx="132">
                  <c:v>356.58034064000003</c:v>
                </c:pt>
                <c:pt idx="133">
                  <c:v>234.43808479</c:v>
                </c:pt>
                <c:pt idx="134">
                  <c:v>150.29613115999999</c:v>
                </c:pt>
                <c:pt idx="135">
                  <c:v>102.15447974999999</c:v>
                </c:pt>
                <c:pt idx="136">
                  <c:v>71.013130559999993</c:v>
                </c:pt>
                <c:pt idx="137">
                  <c:v>44.872083590000003</c:v>
                </c:pt>
                <c:pt idx="138">
                  <c:v>32.731338839999992</c:v>
                </c:pt>
                <c:pt idx="139">
                  <c:v>34.590896310000005</c:v>
                </c:pt>
                <c:pt idx="140">
                  <c:v>38.450755999999998</c:v>
                </c:pt>
                <c:pt idx="141">
                  <c:v>57.310917910000001</c:v>
                </c:pt>
                <c:pt idx="142">
                  <c:v>117.17138204</c:v>
                </c:pt>
                <c:pt idx="143">
                  <c:v>247.03214839</c:v>
                </c:pt>
                <c:pt idx="144">
                  <c:v>410.89321696000002</c:v>
                </c:pt>
                <c:pt idx="145">
                  <c:v>486.75458774999998</c:v>
                </c:pt>
                <c:pt idx="146">
                  <c:v>376.61626075999999</c:v>
                </c:pt>
                <c:pt idx="147">
                  <c:v>190.47823599</c:v>
                </c:pt>
                <c:pt idx="148">
                  <c:v>97.340513439999995</c:v>
                </c:pt>
                <c:pt idx="149">
                  <c:v>61.203093109999998</c:v>
                </c:pt>
                <c:pt idx="150">
                  <c:v>50.065974999999995</c:v>
                </c:pt>
                <c:pt idx="151">
                  <c:v>58.929159110000001</c:v>
                </c:pt>
                <c:pt idx="152">
                  <c:v>57.792645440000001</c:v>
                </c:pt>
                <c:pt idx="153">
                  <c:v>51.656433989999996</c:v>
                </c:pt>
                <c:pt idx="154">
                  <c:v>52.520524760000001</c:v>
                </c:pt>
                <c:pt idx="155">
                  <c:v>31.38491775</c:v>
                </c:pt>
                <c:pt idx="156">
                  <c:v>24.249612960000007</c:v>
                </c:pt>
                <c:pt idx="157">
                  <c:v>30.114610389999996</c:v>
                </c:pt>
                <c:pt idx="158">
                  <c:v>41.979910039999993</c:v>
                </c:pt>
                <c:pt idx="159">
                  <c:v>65.845511909999999</c:v>
                </c:pt>
                <c:pt idx="160">
                  <c:v>109.711416</c:v>
                </c:pt>
                <c:pt idx="161">
                  <c:v>134.57762230999998</c:v>
                </c:pt>
                <c:pt idx="162">
                  <c:v>156.44413084000001</c:v>
                </c:pt>
                <c:pt idx="163">
                  <c:v>164.31094159</c:v>
                </c:pt>
                <c:pt idx="164">
                  <c:v>168.17805455999999</c:v>
                </c:pt>
                <c:pt idx="165">
                  <c:v>212.04546975</c:v>
                </c:pt>
                <c:pt idx="166">
                  <c:v>251.91318716000001</c:v>
                </c:pt>
                <c:pt idx="167">
                  <c:v>288.78120679</c:v>
                </c:pt>
                <c:pt idx="168">
                  <c:v>294.64952863999997</c:v>
                </c:pt>
                <c:pt idx="169">
                  <c:v>272.51815270999998</c:v>
                </c:pt>
                <c:pt idx="170">
                  <c:v>271.38707899999997</c:v>
                </c:pt>
                <c:pt idx="171">
                  <c:v>281.25630751</c:v>
                </c:pt>
                <c:pt idx="172">
                  <c:v>288.12583824000001</c:v>
                </c:pt>
                <c:pt idx="173">
                  <c:v>292.99567119</c:v>
                </c:pt>
                <c:pt idx="174">
                  <c:v>289.86580635999997</c:v>
                </c:pt>
                <c:pt idx="175">
                  <c:v>256.73624374999997</c:v>
                </c:pt>
                <c:pt idx="176">
                  <c:v>230.60698335999999</c:v>
                </c:pt>
                <c:pt idx="177">
                  <c:v>239.47802518999998</c:v>
                </c:pt>
                <c:pt idx="178">
                  <c:v>249.34936923999999</c:v>
                </c:pt>
                <c:pt idx="179">
                  <c:v>314.22101551000003</c:v>
                </c:pt>
                <c:pt idx="180">
                  <c:v>570.09296399999994</c:v>
                </c:pt>
                <c:pt idx="181">
                  <c:v>974.96521471000005</c:v>
                </c:pt>
                <c:pt idx="182">
                  <c:v>1340.83776764</c:v>
                </c:pt>
                <c:pt idx="183">
                  <c:v>1232.7106227899999</c:v>
                </c:pt>
                <c:pt idx="184">
                  <c:v>825.58378016000006</c:v>
                </c:pt>
                <c:pt idx="185">
                  <c:v>425.45723974999999</c:v>
                </c:pt>
                <c:pt idx="186">
                  <c:v>280.33100156</c:v>
                </c:pt>
                <c:pt idx="187">
                  <c:v>246.20506559</c:v>
                </c:pt>
                <c:pt idx="188">
                  <c:v>220.07943183999998</c:v>
                </c:pt>
                <c:pt idx="189">
                  <c:v>196.95410031</c:v>
                </c:pt>
                <c:pt idx="190">
                  <c:v>192.829071</c:v>
                </c:pt>
                <c:pt idx="191">
                  <c:v>204.70434391000001</c:v>
                </c:pt>
                <c:pt idx="192">
                  <c:v>260.57991903999999</c:v>
                </c:pt>
                <c:pt idx="193">
                  <c:v>418.45579638999999</c:v>
                </c:pt>
                <c:pt idx="194">
                  <c:v>670.33197596000002</c:v>
                </c:pt>
                <c:pt idx="195">
                  <c:v>937.20845774999998</c:v>
                </c:pt>
                <c:pt idx="196">
                  <c:v>1038.0852417599999</c:v>
                </c:pt>
                <c:pt idx="197">
                  <c:v>927.96232798999995</c:v>
                </c:pt>
                <c:pt idx="198">
                  <c:v>685.83971643999996</c:v>
                </c:pt>
                <c:pt idx="199">
                  <c:v>465.71740711000001</c:v>
                </c:pt>
                <c:pt idx="200">
                  <c:v>332.59539999999998</c:v>
                </c:pt>
                <c:pt idx="201">
                  <c:v>355.47369510999999</c:v>
                </c:pt>
                <c:pt idx="202">
                  <c:v>581.35229244000004</c:v>
                </c:pt>
                <c:pt idx="203">
                  <c:v>1110.2311919900001</c:v>
                </c:pt>
                <c:pt idx="204">
                  <c:v>1714.1103937600001</c:v>
                </c:pt>
                <c:pt idx="205">
                  <c:v>1807.98989775</c:v>
                </c:pt>
                <c:pt idx="206">
                  <c:v>1297.8697039599999</c:v>
                </c:pt>
                <c:pt idx="207">
                  <c:v>655.74981238999999</c:v>
                </c:pt>
                <c:pt idx="208">
                  <c:v>345.63022304000003</c:v>
                </c:pt>
                <c:pt idx="209">
                  <c:v>219.51093591</c:v>
                </c:pt>
                <c:pt idx="210">
                  <c:v>158.39195100000001</c:v>
                </c:pt>
                <c:pt idx="211">
                  <c:v>119.27326830999999</c:v>
                </c:pt>
                <c:pt idx="212">
                  <c:v>93.154887840000001</c:v>
                </c:pt>
                <c:pt idx="213">
                  <c:v>77.036809590000004</c:v>
                </c:pt>
                <c:pt idx="214">
                  <c:v>77.919033560000003</c:v>
                </c:pt>
                <c:pt idx="215">
                  <c:v>67.801559749999996</c:v>
                </c:pt>
                <c:pt idx="216">
                  <c:v>69.684388159999997</c:v>
                </c:pt>
                <c:pt idx="217">
                  <c:v>70.567518789999994</c:v>
                </c:pt>
                <c:pt idx="218">
                  <c:v>87.45095164</c:v>
                </c:pt>
                <c:pt idx="219">
                  <c:v>88.33468671</c:v>
                </c:pt>
                <c:pt idx="220">
                  <c:v>93.218724000000009</c:v>
                </c:pt>
                <c:pt idx="221">
                  <c:v>118.10306351</c:v>
                </c:pt>
                <c:pt idx="222">
                  <c:v>144.98770524</c:v>
                </c:pt>
                <c:pt idx="223">
                  <c:v>199.87264919</c:v>
                </c:pt>
                <c:pt idx="224">
                  <c:v>283.75789536000002</c:v>
                </c:pt>
                <c:pt idx="225">
                  <c:v>391.64344374999996</c:v>
                </c:pt>
                <c:pt idx="226">
                  <c:v>468.52929435999999</c:v>
                </c:pt>
                <c:pt idx="227">
                  <c:v>496.41544719000001</c:v>
                </c:pt>
                <c:pt idx="228">
                  <c:v>568.30190224</c:v>
                </c:pt>
                <c:pt idx="229">
                  <c:v>620.18865950999998</c:v>
                </c:pt>
                <c:pt idx="230">
                  <c:v>572.07571899999994</c:v>
                </c:pt>
                <c:pt idx="231">
                  <c:v>465.96308070999999</c:v>
                </c:pt>
                <c:pt idx="232">
                  <c:v>366.85074464000002</c:v>
                </c:pt>
                <c:pt idx="233">
                  <c:v>337.73871079000003</c:v>
                </c:pt>
                <c:pt idx="234">
                  <c:v>369.62697916000002</c:v>
                </c:pt>
                <c:pt idx="235">
                  <c:v>470.51554974999999</c:v>
                </c:pt>
                <c:pt idx="236">
                  <c:v>635.40442256000006</c:v>
                </c:pt>
                <c:pt idx="237">
                  <c:v>1043.29359759</c:v>
                </c:pt>
                <c:pt idx="238">
                  <c:v>2349.1830748399998</c:v>
                </c:pt>
                <c:pt idx="239">
                  <c:v>4668.0728543100004</c:v>
                </c:pt>
                <c:pt idx="240">
                  <c:v>6691.9629359999999</c:v>
                </c:pt>
                <c:pt idx="241">
                  <c:v>6227.8533199100002</c:v>
                </c:pt>
                <c:pt idx="242">
                  <c:v>3994.7440060399999</c:v>
                </c:pt>
                <c:pt idx="243">
                  <c:v>1896.63499439</c:v>
                </c:pt>
                <c:pt idx="244">
                  <c:v>1024.5262849599999</c:v>
                </c:pt>
                <c:pt idx="245">
                  <c:v>658.41787775</c:v>
                </c:pt>
                <c:pt idx="246">
                  <c:v>460.30977275999999</c:v>
                </c:pt>
                <c:pt idx="247">
                  <c:v>337.20196999000001</c:v>
                </c:pt>
                <c:pt idx="248">
                  <c:v>303.09446944000001</c:v>
                </c:pt>
                <c:pt idx="249">
                  <c:v>244.98727110999999</c:v>
                </c:pt>
                <c:pt idx="250">
                  <c:v>222.88037500000002</c:v>
                </c:pt>
                <c:pt idx="251">
                  <c:v>215.77378110999999</c:v>
                </c:pt>
                <c:pt idx="252">
                  <c:v>236.66748944</c:v>
                </c:pt>
                <c:pt idx="253">
                  <c:v>278.56149999000002</c:v>
                </c:pt>
                <c:pt idx="254">
                  <c:v>371.45581276000001</c:v>
                </c:pt>
                <c:pt idx="255">
                  <c:v>561.35042774999999</c:v>
                </c:pt>
                <c:pt idx="256">
                  <c:v>716.24534496000001</c:v>
                </c:pt>
                <c:pt idx="257">
                  <c:v>688.14056439000001</c:v>
                </c:pt>
                <c:pt idx="258">
                  <c:v>518.03608603999999</c:v>
                </c:pt>
                <c:pt idx="259">
                  <c:v>308.93190991</c:v>
                </c:pt>
                <c:pt idx="260">
                  <c:v>208.828036</c:v>
                </c:pt>
                <c:pt idx="261">
                  <c:v>177.72446431</c:v>
                </c:pt>
                <c:pt idx="262">
                  <c:v>170.62119483999999</c:v>
                </c:pt>
                <c:pt idx="263">
                  <c:v>160.51822758999998</c:v>
                </c:pt>
                <c:pt idx="264">
                  <c:v>140.41556256000001</c:v>
                </c:pt>
                <c:pt idx="265">
                  <c:v>144.31319975</c:v>
                </c:pt>
                <c:pt idx="266">
                  <c:v>157.21113916000002</c:v>
                </c:pt>
                <c:pt idx="267">
                  <c:v>188.10938078999999</c:v>
                </c:pt>
                <c:pt idx="268">
                  <c:v>185.00792464</c:v>
                </c:pt>
                <c:pt idx="269">
                  <c:v>168.90677070999999</c:v>
                </c:pt>
                <c:pt idx="270">
                  <c:v>149.80591900000002</c:v>
                </c:pt>
                <c:pt idx="271">
                  <c:v>155.70536951</c:v>
                </c:pt>
                <c:pt idx="272">
                  <c:v>160.60512224000001</c:v>
                </c:pt>
                <c:pt idx="273">
                  <c:v>156.50517718999998</c:v>
                </c:pt>
                <c:pt idx="274">
                  <c:v>130.40553435999999</c:v>
                </c:pt>
                <c:pt idx="275">
                  <c:v>118.30619375000001</c:v>
                </c:pt>
                <c:pt idx="276">
                  <c:v>131.20715536</c:v>
                </c:pt>
                <c:pt idx="277">
                  <c:v>161.10841919000001</c:v>
                </c:pt>
                <c:pt idx="278">
                  <c:v>163.00998523999999</c:v>
                </c:pt>
                <c:pt idx="279">
                  <c:v>152.91185351000001</c:v>
                </c:pt>
                <c:pt idx="280">
                  <c:v>137.81402400000002</c:v>
                </c:pt>
                <c:pt idx="281">
                  <c:v>141.71649671</c:v>
                </c:pt>
                <c:pt idx="282">
                  <c:v>157.61927163999999</c:v>
                </c:pt>
                <c:pt idx="283">
                  <c:v>146.52234879</c:v>
                </c:pt>
                <c:pt idx="284">
                  <c:v>121.42572816000001</c:v>
                </c:pt>
                <c:pt idx="285">
                  <c:v>102.32940975</c:v>
                </c:pt>
                <c:pt idx="286">
                  <c:v>103.23339356</c:v>
                </c:pt>
                <c:pt idx="287">
                  <c:v>112.13767959</c:v>
                </c:pt>
                <c:pt idx="288">
                  <c:v>121.04226783999999</c:v>
                </c:pt>
                <c:pt idx="289">
                  <c:v>89.947158309999992</c:v>
                </c:pt>
                <c:pt idx="290">
                  <c:v>79.852350999999999</c:v>
                </c:pt>
                <c:pt idx="291">
                  <c:v>82.75784591</c:v>
                </c:pt>
                <c:pt idx="292">
                  <c:v>103.66364304</c:v>
                </c:pt>
                <c:pt idx="293">
                  <c:v>109.56974239</c:v>
                </c:pt>
                <c:pt idx="294">
                  <c:v>85.476143960000002</c:v>
                </c:pt>
                <c:pt idx="295">
                  <c:v>91.382847749999996</c:v>
                </c:pt>
                <c:pt idx="296">
                  <c:v>100.28985376</c:v>
                </c:pt>
                <c:pt idx="297">
                  <c:v>121.19716199</c:v>
                </c:pt>
                <c:pt idx="298">
                  <c:v>126.10477244</c:v>
                </c:pt>
                <c:pt idx="299">
                  <c:v>116.01268510999999</c:v>
                </c:pt>
                <c:pt idx="300">
                  <c:v>108.9209</c:v>
                </c:pt>
                <c:pt idx="301">
                  <c:v>120.82941711000001</c:v>
                </c:pt>
                <c:pt idx="302">
                  <c:v>120.73823644000001</c:v>
                </c:pt>
                <c:pt idx="303">
                  <c:v>152.64735798999999</c:v>
                </c:pt>
                <c:pt idx="304">
                  <c:v>159.55678176000001</c:v>
                </c:pt>
                <c:pt idx="305">
                  <c:v>147.46650775000001</c:v>
                </c:pt>
                <c:pt idx="306">
                  <c:v>155.37653596000001</c:v>
                </c:pt>
                <c:pt idx="307">
                  <c:v>152.28686639</c:v>
                </c:pt>
                <c:pt idx="308">
                  <c:v>147.19749904</c:v>
                </c:pt>
                <c:pt idx="309">
                  <c:v>118.10843391</c:v>
                </c:pt>
                <c:pt idx="310">
                  <c:v>112.01967099999999</c:v>
                </c:pt>
                <c:pt idx="311">
                  <c:v>93.931210309999997</c:v>
                </c:pt>
                <c:pt idx="312">
                  <c:v>100.84305184</c:v>
                </c:pt>
                <c:pt idx="313">
                  <c:v>112.75519559</c:v>
                </c:pt>
                <c:pt idx="314">
                  <c:v>107.66764155999999</c:v>
                </c:pt>
                <c:pt idx="315">
                  <c:v>89.580389749999995</c:v>
                </c:pt>
                <c:pt idx="316">
                  <c:v>74.493440160000006</c:v>
                </c:pt>
                <c:pt idx="317">
                  <c:v>76.406792789999997</c:v>
                </c:pt>
                <c:pt idx="318">
                  <c:v>71.320447639999998</c:v>
                </c:pt>
                <c:pt idx="319">
                  <c:v>79.234404710000007</c:v>
                </c:pt>
                <c:pt idx="320">
                  <c:v>83.148663999999997</c:v>
                </c:pt>
                <c:pt idx="321">
                  <c:v>68.063225509999995</c:v>
                </c:pt>
                <c:pt idx="322">
                  <c:v>57.978089240000003</c:v>
                </c:pt>
                <c:pt idx="323">
                  <c:v>57.893255189999991</c:v>
                </c:pt>
                <c:pt idx="324">
                  <c:v>66.808723360000002</c:v>
                </c:pt>
                <c:pt idx="325">
                  <c:v>64.724493749999993</c:v>
                </c:pt>
                <c:pt idx="326">
                  <c:v>67.640566359999994</c:v>
                </c:pt>
                <c:pt idx="327">
                  <c:v>65.556941190000003</c:v>
                </c:pt>
                <c:pt idx="328">
                  <c:v>67.473618240000008</c:v>
                </c:pt>
                <c:pt idx="329">
                  <c:v>62.390597510000006</c:v>
                </c:pt>
                <c:pt idx="330">
                  <c:v>62.307879</c:v>
                </c:pt>
                <c:pt idx="331">
                  <c:v>67.225462710000002</c:v>
                </c:pt>
                <c:pt idx="332">
                  <c:v>69.143348639999999</c:v>
                </c:pt>
                <c:pt idx="333">
                  <c:v>67.061536789999991</c:v>
                </c:pt>
                <c:pt idx="334">
                  <c:v>69.980027159999992</c:v>
                </c:pt>
                <c:pt idx="335">
                  <c:v>74.898819750000001</c:v>
                </c:pt>
                <c:pt idx="336">
                  <c:v>82.817914560000006</c:v>
                </c:pt>
                <c:pt idx="337">
                  <c:v>126.73731158999999</c:v>
                </c:pt>
                <c:pt idx="338">
                  <c:v>221.65701084</c:v>
                </c:pt>
                <c:pt idx="339">
                  <c:v>306.57701230999999</c:v>
                </c:pt>
                <c:pt idx="340">
                  <c:v>388.49731600000001</c:v>
                </c:pt>
                <c:pt idx="341">
                  <c:v>434.41792191000002</c:v>
                </c:pt>
                <c:pt idx="342">
                  <c:v>569.33883003999995</c:v>
                </c:pt>
                <c:pt idx="343">
                  <c:v>918.26004038999997</c:v>
                </c:pt>
                <c:pt idx="344">
                  <c:v>1433.1815529600001</c:v>
                </c:pt>
                <c:pt idx="345">
                  <c:v>1611.10336775</c:v>
                </c:pt>
                <c:pt idx="346">
                  <c:v>1244.0254847599999</c:v>
                </c:pt>
                <c:pt idx="347">
                  <c:v>746.94790398999999</c:v>
                </c:pt>
                <c:pt idx="348">
                  <c:v>476.87062544000003</c:v>
                </c:pt>
                <c:pt idx="349">
                  <c:v>402.79364910999999</c:v>
                </c:pt>
                <c:pt idx="350">
                  <c:v>356.71697499999999</c:v>
                </c:pt>
                <c:pt idx="351">
                  <c:v>282.64060311000003</c:v>
                </c:pt>
                <c:pt idx="352">
                  <c:v>185.56453343999999</c:v>
                </c:pt>
                <c:pt idx="353">
                  <c:v>132.48876598999999</c:v>
                </c:pt>
                <c:pt idx="354">
                  <c:v>123.41330076</c:v>
                </c:pt>
                <c:pt idx="355">
                  <c:v>115.33813775</c:v>
                </c:pt>
                <c:pt idx="356">
                  <c:v>108.26327696</c:v>
                </c:pt>
                <c:pt idx="357">
                  <c:v>92.188718390000005</c:v>
                </c:pt>
                <c:pt idx="358">
                  <c:v>74.114462040000006</c:v>
                </c:pt>
                <c:pt idx="359">
                  <c:v>91.040507910000002</c:v>
                </c:pt>
                <c:pt idx="360">
                  <c:v>87.966855999999993</c:v>
                </c:pt>
                <c:pt idx="361">
                  <c:v>97.893506309999992</c:v>
                </c:pt>
                <c:pt idx="362">
                  <c:v>97.820458840000001</c:v>
                </c:pt>
                <c:pt idx="363">
                  <c:v>92.747713590000004</c:v>
                </c:pt>
                <c:pt idx="364">
                  <c:v>90.675270560000001</c:v>
                </c:pt>
                <c:pt idx="365">
                  <c:v>71.603129750000008</c:v>
                </c:pt>
                <c:pt idx="366">
                  <c:v>72.531291159999995</c:v>
                </c:pt>
                <c:pt idx="367">
                  <c:v>54.459754790000005</c:v>
                </c:pt>
                <c:pt idx="368">
                  <c:v>58.388520639999996</c:v>
                </c:pt>
                <c:pt idx="369">
                  <c:v>77.317588709999995</c:v>
                </c:pt>
                <c:pt idx="370">
                  <c:v>79.246959000000004</c:v>
                </c:pt>
                <c:pt idx="371">
                  <c:v>81.176631510000007</c:v>
                </c:pt>
                <c:pt idx="372">
                  <c:v>67.106606240000005</c:v>
                </c:pt>
                <c:pt idx="373">
                  <c:v>61.036883189999998</c:v>
                </c:pt>
                <c:pt idx="374">
                  <c:v>46.967462359999999</c:v>
                </c:pt>
                <c:pt idx="375">
                  <c:v>44.898343749999995</c:v>
                </c:pt>
                <c:pt idx="376">
                  <c:v>26.82952736</c:v>
                </c:pt>
                <c:pt idx="377">
                  <c:v>23.76101319</c:v>
                </c:pt>
                <c:pt idx="378">
                  <c:v>22.692801240000009</c:v>
                </c:pt>
                <c:pt idx="379">
                  <c:v>17.624891509999998</c:v>
                </c:pt>
                <c:pt idx="380">
                  <c:v>27.557283999999996</c:v>
                </c:pt>
                <c:pt idx="381">
                  <c:v>46.489978710000003</c:v>
                </c:pt>
                <c:pt idx="382">
                  <c:v>81.422975640000004</c:v>
                </c:pt>
                <c:pt idx="383">
                  <c:v>110.35627479</c:v>
                </c:pt>
                <c:pt idx="384">
                  <c:v>114.28987616000001</c:v>
                </c:pt>
                <c:pt idx="385">
                  <c:v>143.22377975000001</c:v>
                </c:pt>
                <c:pt idx="386">
                  <c:v>225.15798555999999</c:v>
                </c:pt>
                <c:pt idx="387">
                  <c:v>342.09249359</c:v>
                </c:pt>
                <c:pt idx="388">
                  <c:v>430.02730384</c:v>
                </c:pt>
                <c:pt idx="389">
                  <c:v>425.96241630999998</c:v>
                </c:pt>
                <c:pt idx="390">
                  <c:v>366.897831</c:v>
                </c:pt>
                <c:pt idx="391">
                  <c:v>329.83354790999999</c:v>
                </c:pt>
                <c:pt idx="392">
                  <c:v>325.76956703999997</c:v>
                </c:pt>
                <c:pt idx="393">
                  <c:v>303.70588838999998</c:v>
                </c:pt>
                <c:pt idx="394">
                  <c:v>289.64251195999998</c:v>
                </c:pt>
                <c:pt idx="395">
                  <c:v>265.57943775000001</c:v>
                </c:pt>
                <c:pt idx="396">
                  <c:v>265.51666576000002</c:v>
                </c:pt>
                <c:pt idx="397">
                  <c:v>259.45419599000002</c:v>
                </c:pt>
                <c:pt idx="398">
                  <c:v>252.39202843999999</c:v>
                </c:pt>
                <c:pt idx="399">
                  <c:v>211.33016311</c:v>
                </c:pt>
                <c:pt idx="400">
                  <c:v>202.26859999999999</c:v>
                </c:pt>
                <c:pt idx="401">
                  <c:v>174.20733910999999</c:v>
                </c:pt>
                <c:pt idx="402">
                  <c:v>184.14638044</c:v>
                </c:pt>
                <c:pt idx="403">
                  <c:v>172.08572399000002</c:v>
                </c:pt>
                <c:pt idx="404">
                  <c:v>164.02536975999999</c:v>
                </c:pt>
                <c:pt idx="405">
                  <c:v>148.96531775</c:v>
                </c:pt>
                <c:pt idx="406">
                  <c:v>138.90556796000001</c:v>
                </c:pt>
                <c:pt idx="407">
                  <c:v>149.84612039000001</c:v>
                </c:pt>
                <c:pt idx="408">
                  <c:v>148.78697504000002</c:v>
                </c:pt>
                <c:pt idx="409">
                  <c:v>143.72813191</c:v>
                </c:pt>
                <c:pt idx="410">
                  <c:v>132.669591</c:v>
                </c:pt>
                <c:pt idx="411">
                  <c:v>109.61135231</c:v>
                </c:pt>
                <c:pt idx="412">
                  <c:v>114.55341584000001</c:v>
                </c:pt>
                <c:pt idx="413">
                  <c:v>123.49578159000001</c:v>
                </c:pt>
                <c:pt idx="414">
                  <c:v>129.43844955999998</c:v>
                </c:pt>
                <c:pt idx="415">
                  <c:v>125.38141974999999</c:v>
                </c:pt>
                <c:pt idx="416">
                  <c:v>108.32469216</c:v>
                </c:pt>
                <c:pt idx="417">
                  <c:v>101.26826679</c:v>
                </c:pt>
                <c:pt idx="418">
                  <c:v>110.21214364000001</c:v>
                </c:pt>
                <c:pt idx="419">
                  <c:v>101.15632271000001</c:v>
                </c:pt>
                <c:pt idx="420">
                  <c:v>108.100804</c:v>
                </c:pt>
                <c:pt idx="421">
                  <c:v>109.04558751</c:v>
                </c:pt>
                <c:pt idx="422">
                  <c:v>86.990673240000007</c:v>
                </c:pt>
                <c:pt idx="423">
                  <c:v>76.936061190000004</c:v>
                </c:pt>
                <c:pt idx="424">
                  <c:v>87.881751359999996</c:v>
                </c:pt>
                <c:pt idx="425">
                  <c:v>97.82774375000001</c:v>
                </c:pt>
                <c:pt idx="426">
                  <c:v>102.77403836000001</c:v>
                </c:pt>
                <c:pt idx="427">
                  <c:v>108.72063519</c:v>
                </c:pt>
                <c:pt idx="428">
                  <c:v>112.66753423999999</c:v>
                </c:pt>
                <c:pt idx="429">
                  <c:v>135.61473551</c:v>
                </c:pt>
                <c:pt idx="430">
                  <c:v>175.56223900000001</c:v>
                </c:pt>
                <c:pt idx="431">
                  <c:v>211.51004470999999</c:v>
                </c:pt>
                <c:pt idx="432">
                  <c:v>230.45815264000001</c:v>
                </c:pt>
                <c:pt idx="433">
                  <c:v>198.40656279000001</c:v>
                </c:pt>
                <c:pt idx="434">
                  <c:v>184.35527515999999</c:v>
                </c:pt>
                <c:pt idx="435">
                  <c:v>216.30428975000001</c:v>
                </c:pt>
                <c:pt idx="436">
                  <c:v>316.25360655999998</c:v>
                </c:pt>
                <c:pt idx="437">
                  <c:v>422.20322558999999</c:v>
                </c:pt>
                <c:pt idx="438">
                  <c:v>506.15314683999998</c:v>
                </c:pt>
                <c:pt idx="439">
                  <c:v>695.10337030999995</c:v>
                </c:pt>
                <c:pt idx="440">
                  <c:v>1160.0538959999999</c:v>
                </c:pt>
                <c:pt idx="441">
                  <c:v>2091.0047239099999</c:v>
                </c:pt>
                <c:pt idx="442">
                  <c:v>4632.9558540400003</c:v>
                </c:pt>
                <c:pt idx="443">
                  <c:v>10576.90728639</c:v>
                </c:pt>
                <c:pt idx="444">
                  <c:v>21079.859020960001</c:v>
                </c:pt>
                <c:pt idx="445">
                  <c:v>27547.811057750001</c:v>
                </c:pt>
                <c:pt idx="446">
                  <c:v>25190.763396760001</c:v>
                </c:pt>
                <c:pt idx="447">
                  <c:v>16049.71603799</c:v>
                </c:pt>
                <c:pt idx="448">
                  <c:v>8125.6689814399997</c:v>
                </c:pt>
                <c:pt idx="449">
                  <c:v>3848.62222711</c:v>
                </c:pt>
                <c:pt idx="450">
                  <c:v>1661.575775</c:v>
                </c:pt>
                <c:pt idx="451">
                  <c:v>732.52962510999998</c:v>
                </c:pt>
                <c:pt idx="452">
                  <c:v>376.48377744000004</c:v>
                </c:pt>
                <c:pt idx="453">
                  <c:v>242.43823199000002</c:v>
                </c:pt>
                <c:pt idx="454">
                  <c:v>206.39298875999998</c:v>
                </c:pt>
                <c:pt idx="455">
                  <c:v>163.34804774999998</c:v>
                </c:pt>
                <c:pt idx="456">
                  <c:v>127.30340896</c:v>
                </c:pt>
                <c:pt idx="457">
                  <c:v>101.25907239</c:v>
                </c:pt>
                <c:pt idx="458">
                  <c:v>87.215038039999996</c:v>
                </c:pt>
                <c:pt idx="459">
                  <c:v>54.171305910000001</c:v>
                </c:pt>
                <c:pt idx="460">
                  <c:v>58.127876000000015</c:v>
                </c:pt>
                <c:pt idx="461">
                  <c:v>88.084748309999995</c:v>
                </c:pt>
                <c:pt idx="462">
                  <c:v>120.04192284</c:v>
                </c:pt>
                <c:pt idx="463">
                  <c:v>122.99939959</c:v>
                </c:pt>
                <c:pt idx="464">
                  <c:v>98.957178560000003</c:v>
                </c:pt>
                <c:pt idx="465">
                  <c:v>75.915259750000004</c:v>
                </c:pt>
                <c:pt idx="466">
                  <c:v>79.87364316</c:v>
                </c:pt>
                <c:pt idx="467">
                  <c:v>82.832328790000005</c:v>
                </c:pt>
                <c:pt idx="468">
                  <c:v>109.79131663999999</c:v>
                </c:pt>
                <c:pt idx="469">
                  <c:v>130.75060671</c:v>
                </c:pt>
                <c:pt idx="470">
                  <c:v>125.710199</c:v>
                </c:pt>
                <c:pt idx="471">
                  <c:v>111.67009351</c:v>
                </c:pt>
                <c:pt idx="472">
                  <c:v>96.630290239999994</c:v>
                </c:pt>
                <c:pt idx="473">
                  <c:v>87.59078919000001</c:v>
                </c:pt>
                <c:pt idx="474">
                  <c:v>83.551590360000006</c:v>
                </c:pt>
                <c:pt idx="475">
                  <c:v>74.512693749999997</c:v>
                </c:pt>
                <c:pt idx="476">
                  <c:v>60.474099359999997</c:v>
                </c:pt>
                <c:pt idx="477">
                  <c:v>51.435807189999991</c:v>
                </c:pt>
                <c:pt idx="478">
                  <c:v>68.397817239999995</c:v>
                </c:pt>
                <c:pt idx="479">
                  <c:v>106.36012951000001</c:v>
                </c:pt>
                <c:pt idx="480">
                  <c:v>141.322744</c:v>
                </c:pt>
                <c:pt idx="481">
                  <c:v>111.28566071</c:v>
                </c:pt>
                <c:pt idx="482">
                  <c:v>73.248879639999998</c:v>
                </c:pt>
                <c:pt idx="483">
                  <c:v>44.212400790000004</c:v>
                </c:pt>
                <c:pt idx="484">
                  <c:v>35.176224160000004</c:v>
                </c:pt>
                <c:pt idx="485">
                  <c:v>30.140349750000013</c:v>
                </c:pt>
                <c:pt idx="486">
                  <c:v>14.104777560000002</c:v>
                </c:pt>
                <c:pt idx="487">
                  <c:v>30.069507590000001</c:v>
                </c:pt>
                <c:pt idx="488">
                  <c:v>32.034539840000008</c:v>
                </c:pt>
                <c:pt idx="489">
                  <c:v>36.999874309999996</c:v>
                </c:pt>
                <c:pt idx="490">
                  <c:v>43.965510999999992</c:v>
                </c:pt>
                <c:pt idx="491">
                  <c:v>38.931449909999998</c:v>
                </c:pt>
                <c:pt idx="492">
                  <c:v>32.897691040000012</c:v>
                </c:pt>
                <c:pt idx="493">
                  <c:v>30.864234390000007</c:v>
                </c:pt>
                <c:pt idx="494">
                  <c:v>54.831079960000011</c:v>
                </c:pt>
                <c:pt idx="495">
                  <c:v>91.798227749999995</c:v>
                </c:pt>
                <c:pt idx="496">
                  <c:v>129.76567775999999</c:v>
                </c:pt>
                <c:pt idx="497">
                  <c:v>154.73342998999999</c:v>
                </c:pt>
                <c:pt idx="498">
                  <c:v>128.70148444</c:v>
                </c:pt>
                <c:pt idx="499">
                  <c:v>78.669841109999993</c:v>
                </c:pt>
                <c:pt idx="500">
                  <c:v>55.638500000000008</c:v>
                </c:pt>
                <c:pt idx="501">
                  <c:v>41.607461110000003</c:v>
                </c:pt>
                <c:pt idx="502">
                  <c:v>16.576724439999992</c:v>
                </c:pt>
                <c:pt idx="503">
                  <c:v>19.546289989999991</c:v>
                </c:pt>
                <c:pt idx="504">
                  <c:v>24.516157759999999</c:v>
                </c:pt>
                <c:pt idx="505">
                  <c:v>33.486327750000001</c:v>
                </c:pt>
                <c:pt idx="506">
                  <c:v>64.456799960000012</c:v>
                </c:pt>
                <c:pt idx="507">
                  <c:v>127.42757439000002</c:v>
                </c:pt>
                <c:pt idx="508">
                  <c:v>186.39865104</c:v>
                </c:pt>
                <c:pt idx="509">
                  <c:v>216.37002991</c:v>
                </c:pt>
                <c:pt idx="510">
                  <c:v>261.34171100000003</c:v>
                </c:pt>
                <c:pt idx="511">
                  <c:v>350.31369431000002</c:v>
                </c:pt>
                <c:pt idx="512">
                  <c:v>521.28597983999998</c:v>
                </c:pt>
                <c:pt idx="513">
                  <c:v>727.25856758999998</c:v>
                </c:pt>
                <c:pt idx="514">
                  <c:v>945.23145755999997</c:v>
                </c:pt>
                <c:pt idx="515">
                  <c:v>1631.20464975</c:v>
                </c:pt>
                <c:pt idx="516">
                  <c:v>3186.1781441600001</c:v>
                </c:pt>
                <c:pt idx="517">
                  <c:v>5579.1519407899996</c:v>
                </c:pt>
                <c:pt idx="518">
                  <c:v>7144.1260396400003</c:v>
                </c:pt>
                <c:pt idx="519">
                  <c:v>6395.1004407099999</c:v>
                </c:pt>
                <c:pt idx="520">
                  <c:v>4207.0751440000004</c:v>
                </c:pt>
                <c:pt idx="521">
                  <c:v>2350.0501495100002</c:v>
                </c:pt>
                <c:pt idx="522">
                  <c:v>1155.0254572399999</c:v>
                </c:pt>
                <c:pt idx="523">
                  <c:v>472.00106718999996</c:v>
                </c:pt>
                <c:pt idx="524">
                  <c:v>207.97697936</c:v>
                </c:pt>
                <c:pt idx="525">
                  <c:v>116.95319375</c:v>
                </c:pt>
                <c:pt idx="526">
                  <c:v>84.929710360000001</c:v>
                </c:pt>
                <c:pt idx="527">
                  <c:v>52.906529190000001</c:v>
                </c:pt>
                <c:pt idx="528">
                  <c:v>35.883650240000009</c:v>
                </c:pt>
                <c:pt idx="529">
                  <c:v>31.861073510000011</c:v>
                </c:pt>
                <c:pt idx="530">
                  <c:v>29.838798999999995</c:v>
                </c:pt>
                <c:pt idx="531">
                  <c:v>25.816826710000001</c:v>
                </c:pt>
                <c:pt idx="532">
                  <c:v>23.795156640000002</c:v>
                </c:pt>
                <c:pt idx="533">
                  <c:v>33.773788789999998</c:v>
                </c:pt>
                <c:pt idx="534">
                  <c:v>29.752723160000002</c:v>
                </c:pt>
                <c:pt idx="535">
                  <c:v>20.731959750000016</c:v>
                </c:pt>
                <c:pt idx="536">
                  <c:v>7.7114985599999955</c:v>
                </c:pt>
                <c:pt idx="537">
                  <c:v>7.6913395899999983</c:v>
                </c:pt>
                <c:pt idx="538">
                  <c:v>19.67148284000001</c:v>
                </c:pt>
                <c:pt idx="539">
                  <c:v>44.651928310000002</c:v>
                </c:pt>
                <c:pt idx="540">
                  <c:v>48.632676000000004</c:v>
                </c:pt>
                <c:pt idx="541">
                  <c:v>38.613725909999999</c:v>
                </c:pt>
                <c:pt idx="542">
                  <c:v>60.595078040000004</c:v>
                </c:pt>
                <c:pt idx="543">
                  <c:v>100.57673238999999</c:v>
                </c:pt>
                <c:pt idx="544">
                  <c:v>108.55868896</c:v>
                </c:pt>
                <c:pt idx="545">
                  <c:v>92.540947750000001</c:v>
                </c:pt>
                <c:pt idx="546">
                  <c:v>40.523508759999999</c:v>
                </c:pt>
                <c:pt idx="547">
                  <c:v>20.506371990000005</c:v>
                </c:pt>
                <c:pt idx="548">
                  <c:v>3.4895374400000065</c:v>
                </c:pt>
                <c:pt idx="549">
                  <c:v>15.473005110000003</c:v>
                </c:pt>
                <c:pt idx="550">
                  <c:v>8.4567749999999933</c:v>
                </c:pt>
                <c:pt idx="551">
                  <c:v>11.440847109999993</c:v>
                </c:pt>
                <c:pt idx="552">
                  <c:v>-0.57477855999999861</c:v>
                </c:pt>
                <c:pt idx="553">
                  <c:v>-7.5901020099999954</c:v>
                </c:pt>
                <c:pt idx="554">
                  <c:v>-7.6051232399999975</c:v>
                </c:pt>
                <c:pt idx="555">
                  <c:v>-13.619842249999991</c:v>
                </c:pt>
                <c:pt idx="556">
                  <c:v>-8.6342590399999892</c:v>
                </c:pt>
                <c:pt idx="557">
                  <c:v>9.3516263900000069</c:v>
                </c:pt>
                <c:pt idx="558">
                  <c:v>46.337814039999998</c:v>
                </c:pt>
                <c:pt idx="559">
                  <c:v>89.324303909999998</c:v>
                </c:pt>
                <c:pt idx="560">
                  <c:v>147.31109600000002</c:v>
                </c:pt>
                <c:pt idx="561">
                  <c:v>160.29819031</c:v>
                </c:pt>
                <c:pt idx="562">
                  <c:v>124.28558684000001</c:v>
                </c:pt>
                <c:pt idx="563">
                  <c:v>84.273285590000015</c:v>
                </c:pt>
                <c:pt idx="564">
                  <c:v>83.261286560000002</c:v>
                </c:pt>
                <c:pt idx="565">
                  <c:v>80.249589749999998</c:v>
                </c:pt>
                <c:pt idx="566">
                  <c:v>66.238195160000004</c:v>
                </c:pt>
                <c:pt idx="567">
                  <c:v>27.227102790000004</c:v>
                </c:pt>
                <c:pt idx="568">
                  <c:v>5.2163126400000124</c:v>
                </c:pt>
                <c:pt idx="569">
                  <c:v>-2.7941752899999841</c:v>
                </c:pt>
                <c:pt idx="570">
                  <c:v>-13.804360999999986</c:v>
                </c:pt>
                <c:pt idx="571">
                  <c:v>-22.814244489999993</c:v>
                </c:pt>
                <c:pt idx="572">
                  <c:v>-22.823825760000005</c:v>
                </c:pt>
                <c:pt idx="573">
                  <c:v>-27.833104809999995</c:v>
                </c:pt>
                <c:pt idx="574">
                  <c:v>-28.842081640000004</c:v>
                </c:pt>
                <c:pt idx="575">
                  <c:v>-22.850756249999989</c:v>
                </c:pt>
                <c:pt idx="576">
                  <c:v>-22.859128639999994</c:v>
                </c:pt>
                <c:pt idx="577">
                  <c:v>-33.867198810000005</c:v>
                </c:pt>
                <c:pt idx="578">
                  <c:v>-31.874966760000007</c:v>
                </c:pt>
                <c:pt idx="579">
                  <c:v>-21.882432489999999</c:v>
                </c:pt>
                <c:pt idx="580">
                  <c:v>-24.889595999999997</c:v>
                </c:pt>
                <c:pt idx="581">
                  <c:v>-24.896457290000001</c:v>
                </c:pt>
                <c:pt idx="582">
                  <c:v>-33.903016359999995</c:v>
                </c:pt>
                <c:pt idx="583">
                  <c:v>-29.909273209999981</c:v>
                </c:pt>
                <c:pt idx="584">
                  <c:v>-33.91522784</c:v>
                </c:pt>
                <c:pt idx="585">
                  <c:v>-20.92088025000001</c:v>
                </c:pt>
                <c:pt idx="586">
                  <c:v>-9.9262304399999834</c:v>
                </c:pt>
                <c:pt idx="587">
                  <c:v>-8.9312784100000044</c:v>
                </c:pt>
                <c:pt idx="588">
                  <c:v>-3.9360241599999881</c:v>
                </c:pt>
                <c:pt idx="589">
                  <c:v>6.0595323100000087</c:v>
                </c:pt>
                <c:pt idx="590">
                  <c:v>42.055391000000014</c:v>
                </c:pt>
                <c:pt idx="591">
                  <c:v>106.05155191</c:v>
                </c:pt>
                <c:pt idx="592">
                  <c:v>230.04801504</c:v>
                </c:pt>
                <c:pt idx="593">
                  <c:v>430.04478039000003</c:v>
                </c:pt>
                <c:pt idx="594">
                  <c:v>584.04184796000004</c:v>
                </c:pt>
                <c:pt idx="595">
                  <c:v>593.03921775000003</c:v>
                </c:pt>
                <c:pt idx="596">
                  <c:v>493.03688976000001</c:v>
                </c:pt>
                <c:pt idx="597">
                  <c:v>385.03486399000002</c:v>
                </c:pt>
                <c:pt idx="598">
                  <c:v>312.03314044000001</c:v>
                </c:pt>
                <c:pt idx="599">
                  <c:v>307.03171910999998</c:v>
                </c:pt>
                <c:pt idx="600">
                  <c:v>358.03059999999999</c:v>
                </c:pt>
                <c:pt idx="601">
                  <c:v>343.02978311000004</c:v>
                </c:pt>
                <c:pt idx="602">
                  <c:v>262.02926844000001</c:v>
                </c:pt>
                <c:pt idx="603">
                  <c:v>181.02905599000002</c:v>
                </c:pt>
                <c:pt idx="604">
                  <c:v>144.02914576000001</c:v>
                </c:pt>
                <c:pt idx="605">
                  <c:v>105.02953775</c:v>
                </c:pt>
                <c:pt idx="606">
                  <c:v>80.030231960000009</c:v>
                </c:pt>
                <c:pt idx="607">
                  <c:v>68.03122839000001</c:v>
                </c:pt>
                <c:pt idx="608">
                  <c:v>77.032527040000005</c:v>
                </c:pt>
                <c:pt idx="609">
                  <c:v>69.034127910000009</c:v>
                </c:pt>
                <c:pt idx="610">
                  <c:v>56.036031000000008</c:v>
                </c:pt>
                <c:pt idx="611">
                  <c:v>44.038236310000002</c:v>
                </c:pt>
                <c:pt idx="612">
                  <c:v>33.040743840000005</c:v>
                </c:pt>
                <c:pt idx="613">
                  <c:v>34.043553590000002</c:v>
                </c:pt>
                <c:pt idx="614">
                  <c:v>32.046665560000008</c:v>
                </c:pt>
                <c:pt idx="615">
                  <c:v>34.050079750000009</c:v>
                </c:pt>
                <c:pt idx="616">
                  <c:v>54.053796160000005</c:v>
                </c:pt>
                <c:pt idx="617">
                  <c:v>70.057814790000009</c:v>
                </c:pt>
                <c:pt idx="618">
                  <c:v>82.062135640000008</c:v>
                </c:pt>
                <c:pt idx="619">
                  <c:v>98.066758710000002</c:v>
                </c:pt>
                <c:pt idx="620">
                  <c:v>92.071684000000005</c:v>
                </c:pt>
                <c:pt idx="621">
                  <c:v>114.07691151</c:v>
                </c:pt>
                <c:pt idx="622">
                  <c:v>177.08244124000001</c:v>
                </c:pt>
                <c:pt idx="623">
                  <c:v>267.08827319</c:v>
                </c:pt>
                <c:pt idx="624">
                  <c:v>357.09440735999999</c:v>
                </c:pt>
                <c:pt idx="625">
                  <c:v>379.10084374999997</c:v>
                </c:pt>
                <c:pt idx="626">
                  <c:v>336.10758236000004</c:v>
                </c:pt>
                <c:pt idx="627">
                  <c:v>294.11462318999997</c:v>
                </c:pt>
                <c:pt idx="628">
                  <c:v>235.12196624000001</c:v>
                </c:pt>
                <c:pt idx="629">
                  <c:v>195.12961151000002</c:v>
                </c:pt>
                <c:pt idx="630">
                  <c:v>168.13755900000001</c:v>
                </c:pt>
                <c:pt idx="631">
                  <c:v>156.14580871000001</c:v>
                </c:pt>
                <c:pt idx="632">
                  <c:v>151.15436063999999</c:v>
                </c:pt>
                <c:pt idx="633">
                  <c:v>125.16321479</c:v>
                </c:pt>
                <c:pt idx="634">
                  <c:v>113.17237116000001</c:v>
                </c:pt>
                <c:pt idx="635">
                  <c:v>103.18182975000001</c:v>
                </c:pt>
                <c:pt idx="636">
                  <c:v>105.19159056000001</c:v>
                </c:pt>
                <c:pt idx="637">
                  <c:v>137.20165359000001</c:v>
                </c:pt>
                <c:pt idx="638">
                  <c:v>219.21201884000001</c:v>
                </c:pt>
                <c:pt idx="639">
                  <c:v>311.22268630999997</c:v>
                </c:pt>
                <c:pt idx="640">
                  <c:v>375.233656</c:v>
                </c:pt>
                <c:pt idx="641">
                  <c:v>367.24492791</c:v>
                </c:pt>
                <c:pt idx="642">
                  <c:v>336.25650203999999</c:v>
                </c:pt>
                <c:pt idx="643">
                  <c:v>304.26837839000001</c:v>
                </c:pt>
                <c:pt idx="644">
                  <c:v>259.28055696000001</c:v>
                </c:pt>
                <c:pt idx="645">
                  <c:v>235.29303775000002</c:v>
                </c:pt>
                <c:pt idx="646">
                  <c:v>241.30582076000002</c:v>
                </c:pt>
                <c:pt idx="647">
                  <c:v>253.31890598999999</c:v>
                </c:pt>
                <c:pt idx="648">
                  <c:v>301.33229344</c:v>
                </c:pt>
                <c:pt idx="649">
                  <c:v>309.34598311000002</c:v>
                </c:pt>
                <c:pt idx="650">
                  <c:v>286.35997500000002</c:v>
                </c:pt>
                <c:pt idx="651">
                  <c:v>262.37426911</c:v>
                </c:pt>
                <c:pt idx="652">
                  <c:v>262.38886544000002</c:v>
                </c:pt>
                <c:pt idx="653">
                  <c:v>234.40376399000002</c:v>
                </c:pt>
                <c:pt idx="654">
                  <c:v>205.41896475999999</c:v>
                </c:pt>
                <c:pt idx="655">
                  <c:v>162.43446775000001</c:v>
                </c:pt>
                <c:pt idx="656">
                  <c:v>141.45027296000001</c:v>
                </c:pt>
                <c:pt idx="657">
                  <c:v>140.46638039000001</c:v>
                </c:pt>
                <c:pt idx="658">
                  <c:v>135.48279004</c:v>
                </c:pt>
                <c:pt idx="659">
                  <c:v>137.49950190999999</c:v>
                </c:pt>
                <c:pt idx="660">
                  <c:v>169.516516</c:v>
                </c:pt>
                <c:pt idx="661">
                  <c:v>244.53383230999998</c:v>
                </c:pt>
                <c:pt idx="662">
                  <c:v>390.55145084000003</c:v>
                </c:pt>
                <c:pt idx="663">
                  <c:v>577.56937158999995</c:v>
                </c:pt>
                <c:pt idx="664">
                  <c:v>802.58759456000007</c:v>
                </c:pt>
                <c:pt idx="665">
                  <c:v>889.60611975000006</c:v>
                </c:pt>
                <c:pt idx="666">
                  <c:v>766.62494716000003</c:v>
                </c:pt>
                <c:pt idx="667">
                  <c:v>552.64407678999999</c:v>
                </c:pt>
                <c:pt idx="668">
                  <c:v>393.66350864000003</c:v>
                </c:pt>
                <c:pt idx="669">
                  <c:v>312.68324271</c:v>
                </c:pt>
                <c:pt idx="670">
                  <c:v>334.70327900000001</c:v>
                </c:pt>
                <c:pt idx="671">
                  <c:v>362.72361751</c:v>
                </c:pt>
                <c:pt idx="672">
                  <c:v>395.74425824000002</c:v>
                </c:pt>
                <c:pt idx="673">
                  <c:v>385.76520118999997</c:v>
                </c:pt>
                <c:pt idx="674">
                  <c:v>353.78644636000001</c:v>
                </c:pt>
                <c:pt idx="675">
                  <c:v>346.80799374999998</c:v>
                </c:pt>
                <c:pt idx="676">
                  <c:v>331.82984336000004</c:v>
                </c:pt>
                <c:pt idx="677">
                  <c:v>298.85199519000003</c:v>
                </c:pt>
                <c:pt idx="678">
                  <c:v>270.87444923999999</c:v>
                </c:pt>
                <c:pt idx="679">
                  <c:v>254.89720551000002</c:v>
                </c:pt>
                <c:pt idx="680">
                  <c:v>254.920264</c:v>
                </c:pt>
                <c:pt idx="681">
                  <c:v>244.94362470999999</c:v>
                </c:pt>
                <c:pt idx="682">
                  <c:v>298.96728764</c:v>
                </c:pt>
                <c:pt idx="683">
                  <c:v>378.99125278999998</c:v>
                </c:pt>
                <c:pt idx="684">
                  <c:v>429.01552015999999</c:v>
                </c:pt>
                <c:pt idx="685">
                  <c:v>475.04008974999999</c:v>
                </c:pt>
                <c:pt idx="686">
                  <c:v>583.06496156000003</c:v>
                </c:pt>
                <c:pt idx="687">
                  <c:v>801.09013559000005</c:v>
                </c:pt>
                <c:pt idx="688">
                  <c:v>1364.1156118399999</c:v>
                </c:pt>
                <c:pt idx="689">
                  <c:v>2763.1413903100001</c:v>
                </c:pt>
                <c:pt idx="690">
                  <c:v>5006.1674709999998</c:v>
                </c:pt>
                <c:pt idx="691">
                  <c:v>7150.1938539100001</c:v>
                </c:pt>
                <c:pt idx="692">
                  <c:v>7376.2205390400004</c:v>
                </c:pt>
                <c:pt idx="693">
                  <c:v>5941.2475263899996</c:v>
                </c:pt>
                <c:pt idx="694">
                  <c:v>4034.2748159600001</c:v>
                </c:pt>
                <c:pt idx="695">
                  <c:v>2456.3024077499999</c:v>
                </c:pt>
                <c:pt idx="696">
                  <c:v>1250.3303017600001</c:v>
                </c:pt>
                <c:pt idx="697">
                  <c:v>612.35849799000005</c:v>
                </c:pt>
                <c:pt idx="698">
                  <c:v>355.38699644000002</c:v>
                </c:pt>
                <c:pt idx="699">
                  <c:v>277.41579711000003</c:v>
                </c:pt>
                <c:pt idx="700">
                  <c:v>252.44490000000002</c:v>
                </c:pt>
                <c:pt idx="701">
                  <c:v>229.47430510999999</c:v>
                </c:pt>
                <c:pt idx="702">
                  <c:v>221.50401244</c:v>
                </c:pt>
                <c:pt idx="703">
                  <c:v>221.53402199000004</c:v>
                </c:pt>
                <c:pt idx="704">
                  <c:v>210.56433376000001</c:v>
                </c:pt>
                <c:pt idx="705">
                  <c:v>200.59494774999999</c:v>
                </c:pt>
                <c:pt idx="706">
                  <c:v>194.62586396</c:v>
                </c:pt>
                <c:pt idx="707">
                  <c:v>178.65708239</c:v>
                </c:pt>
                <c:pt idx="708">
                  <c:v>163.68860304</c:v>
                </c:pt>
                <c:pt idx="709">
                  <c:v>177.72042591000002</c:v>
                </c:pt>
                <c:pt idx="710">
                  <c:v>179.75255100000001</c:v>
                </c:pt>
                <c:pt idx="711">
                  <c:v>192.78497831000001</c:v>
                </c:pt>
                <c:pt idx="712">
                  <c:v>196.81770784000003</c:v>
                </c:pt>
                <c:pt idx="713">
                  <c:v>217.85073958999999</c:v>
                </c:pt>
                <c:pt idx="714">
                  <c:v>216.88407356000002</c:v>
                </c:pt>
                <c:pt idx="715">
                  <c:v>206.91770975000003</c:v>
                </c:pt>
                <c:pt idx="716">
                  <c:v>206.95164816000002</c:v>
                </c:pt>
                <c:pt idx="717">
                  <c:v>186.98588878999999</c:v>
                </c:pt>
                <c:pt idx="718">
                  <c:v>175.02043164</c:v>
                </c:pt>
                <c:pt idx="719">
                  <c:v>155.05527670999999</c:v>
                </c:pt>
                <c:pt idx="720">
                  <c:v>166.09042399999998</c:v>
                </c:pt>
                <c:pt idx="721">
                  <c:v>145.12587351000002</c:v>
                </c:pt>
                <c:pt idx="722">
                  <c:v>145.16162524000001</c:v>
                </c:pt>
                <c:pt idx="723">
                  <c:v>135.19767919</c:v>
                </c:pt>
                <c:pt idx="724">
                  <c:v>136.23403536000001</c:v>
                </c:pt>
                <c:pt idx="725">
                  <c:v>137.27069375000002</c:v>
                </c:pt>
                <c:pt idx="726">
                  <c:v>134.30765436000002</c:v>
                </c:pt>
                <c:pt idx="727">
                  <c:v>129.34491719000002</c:v>
                </c:pt>
                <c:pt idx="728">
                  <c:v>140.38248224</c:v>
                </c:pt>
                <c:pt idx="729">
                  <c:v>155.42034951000002</c:v>
                </c:pt>
                <c:pt idx="730">
                  <c:v>155.45851900000002</c:v>
                </c:pt>
                <c:pt idx="731">
                  <c:v>150.49699070999998</c:v>
                </c:pt>
                <c:pt idx="732">
                  <c:v>153.53576464</c:v>
                </c:pt>
                <c:pt idx="733">
                  <c:v>139.57484079</c:v>
                </c:pt>
                <c:pt idx="734">
                  <c:v>134.61421916</c:v>
                </c:pt>
                <c:pt idx="735">
                  <c:v>140.65389974999999</c:v>
                </c:pt>
                <c:pt idx="736">
                  <c:v>130.69388256000002</c:v>
                </c:pt>
                <c:pt idx="737">
                  <c:v>146.73416759</c:v>
                </c:pt>
                <c:pt idx="738">
                  <c:v>189.77475484000001</c:v>
                </c:pt>
                <c:pt idx="739">
                  <c:v>309.81564431000004</c:v>
                </c:pt>
                <c:pt idx="740">
                  <c:v>555.85683600000004</c:v>
                </c:pt>
                <c:pt idx="741">
                  <c:v>929.89832991000003</c:v>
                </c:pt>
                <c:pt idx="742">
                  <c:v>1292.94012604</c:v>
                </c:pt>
                <c:pt idx="743">
                  <c:v>1345.9822243900001</c:v>
                </c:pt>
                <c:pt idx="744">
                  <c:v>1145.02462496</c:v>
                </c:pt>
                <c:pt idx="745">
                  <c:v>908.06732775</c:v>
                </c:pt>
                <c:pt idx="746">
                  <c:v>670.11033276000001</c:v>
                </c:pt>
                <c:pt idx="747">
                  <c:v>429.15363998999999</c:v>
                </c:pt>
                <c:pt idx="748">
                  <c:v>289.19724944000001</c:v>
                </c:pt>
                <c:pt idx="749">
                  <c:v>194.24116111000001</c:v>
                </c:pt>
                <c:pt idx="750">
                  <c:v>160.28537499999999</c:v>
                </c:pt>
                <c:pt idx="751">
                  <c:v>145.32989111000001</c:v>
                </c:pt>
                <c:pt idx="752">
                  <c:v>176.37470944</c:v>
                </c:pt>
                <c:pt idx="753">
                  <c:v>251.41982999000001</c:v>
                </c:pt>
                <c:pt idx="754">
                  <c:v>354.46525276</c:v>
                </c:pt>
                <c:pt idx="755">
                  <c:v>392.51097775000005</c:v>
                </c:pt>
                <c:pt idx="756">
                  <c:v>383.55700496000003</c:v>
                </c:pt>
                <c:pt idx="757">
                  <c:v>309.60333438999999</c:v>
                </c:pt>
                <c:pt idx="758">
                  <c:v>248.64996603999998</c:v>
                </c:pt>
                <c:pt idx="759">
                  <c:v>167.69689991000001</c:v>
                </c:pt>
                <c:pt idx="760">
                  <c:v>141.744136</c:v>
                </c:pt>
                <c:pt idx="761">
                  <c:v>129.79167430999999</c:v>
                </c:pt>
                <c:pt idx="762">
                  <c:v>151.83951483999999</c:v>
                </c:pt>
                <c:pt idx="763">
                  <c:v>159.88765759</c:v>
                </c:pt>
                <c:pt idx="764">
                  <c:v>159.93610255999999</c:v>
                </c:pt>
                <c:pt idx="765">
                  <c:v>143.98484975000002</c:v>
                </c:pt>
                <c:pt idx="766">
                  <c:v>133.03389916000003</c:v>
                </c:pt>
                <c:pt idx="767">
                  <c:v>115.08325079000001</c:v>
                </c:pt>
                <c:pt idx="768">
                  <c:v>96.132904640000021</c:v>
                </c:pt>
                <c:pt idx="769">
                  <c:v>108.18286071000001</c:v>
                </c:pt>
                <c:pt idx="770">
                  <c:v>105.23311900000002</c:v>
                </c:pt>
                <c:pt idx="771">
                  <c:v>99.283679510000013</c:v>
                </c:pt>
                <c:pt idx="772">
                  <c:v>97.334542240000005</c:v>
                </c:pt>
                <c:pt idx="773">
                  <c:v>98.385707190000005</c:v>
                </c:pt>
                <c:pt idx="774">
                  <c:v>102.43717436</c:v>
                </c:pt>
                <c:pt idx="775">
                  <c:v>123.48894375</c:v>
                </c:pt>
                <c:pt idx="776">
                  <c:v>141.54101536000002</c:v>
                </c:pt>
                <c:pt idx="777">
                  <c:v>159.59338919000001</c:v>
                </c:pt>
                <c:pt idx="778">
                  <c:v>169.64606523999998</c:v>
                </c:pt>
                <c:pt idx="779">
                  <c:v>147.69904351000002</c:v>
                </c:pt>
                <c:pt idx="780">
                  <c:v>125.75232400000002</c:v>
                </c:pt>
                <c:pt idx="781">
                  <c:v>98.805906710000016</c:v>
                </c:pt>
                <c:pt idx="782">
                  <c:v>89.859791640000026</c:v>
                </c:pt>
                <c:pt idx="783">
                  <c:v>74.913978790000016</c:v>
                </c:pt>
                <c:pt idx="784">
                  <c:v>83.968468160000015</c:v>
                </c:pt>
                <c:pt idx="785">
                  <c:v>81.023259750000022</c:v>
                </c:pt>
                <c:pt idx="786">
                  <c:v>85.078353559999996</c:v>
                </c:pt>
                <c:pt idx="787">
                  <c:v>72.133749589999994</c:v>
                </c:pt>
                <c:pt idx="788">
                  <c:v>70.18944784</c:v>
                </c:pt>
                <c:pt idx="789">
                  <c:v>66.24544831</c:v>
                </c:pt>
                <c:pt idx="790">
                  <c:v>81.30175100000001</c:v>
                </c:pt>
                <c:pt idx="791">
                  <c:v>71.35835591</c:v>
                </c:pt>
                <c:pt idx="792">
                  <c:v>66.415263039999999</c:v>
                </c:pt>
                <c:pt idx="793">
                  <c:v>61.472472390000007</c:v>
                </c:pt>
                <c:pt idx="794">
                  <c:v>69.52998396000001</c:v>
                </c:pt>
                <c:pt idx="795">
                  <c:v>82.587797750000007</c:v>
                </c:pt>
                <c:pt idx="796">
                  <c:v>106.64591376000003</c:v>
                </c:pt>
                <c:pt idx="797">
                  <c:v>110.70433199000001</c:v>
                </c:pt>
                <c:pt idx="798">
                  <c:v>146.76305244000002</c:v>
                </c:pt>
                <c:pt idx="799">
                  <c:v>199.82207511000001</c:v>
                </c:pt>
                <c:pt idx="800">
                  <c:v>328.88139999999999</c:v>
                </c:pt>
                <c:pt idx="801">
                  <c:v>492.94102710999999</c:v>
                </c:pt>
                <c:pt idx="802">
                  <c:v>644.00095643999998</c:v>
                </c:pt>
                <c:pt idx="803">
                  <c:v>652.06118799000001</c:v>
                </c:pt>
                <c:pt idx="804">
                  <c:v>535.12172176000001</c:v>
                </c:pt>
                <c:pt idx="805">
                  <c:v>400.18255775</c:v>
                </c:pt>
                <c:pt idx="806">
                  <c:v>313.24369596000003</c:v>
                </c:pt>
                <c:pt idx="807">
                  <c:v>282.30513639000003</c:v>
                </c:pt>
                <c:pt idx="808">
                  <c:v>333.36687904000001</c:v>
                </c:pt>
                <c:pt idx="809">
                  <c:v>399.42892390999998</c:v>
                </c:pt>
                <c:pt idx="810">
                  <c:v>421.49127100000004</c:v>
                </c:pt>
                <c:pt idx="811">
                  <c:v>388.55392031000002</c:v>
                </c:pt>
                <c:pt idx="812">
                  <c:v>349.61687184000004</c:v>
                </c:pt>
                <c:pt idx="813">
                  <c:v>298.68012558999999</c:v>
                </c:pt>
                <c:pt idx="814">
                  <c:v>242.74368156</c:v>
                </c:pt>
                <c:pt idx="815">
                  <c:v>193.80753974999999</c:v>
                </c:pt>
                <c:pt idx="816">
                  <c:v>162.87170015999999</c:v>
                </c:pt>
                <c:pt idx="817">
                  <c:v>156.93616279000003</c:v>
                </c:pt>
                <c:pt idx="818">
                  <c:v>160.00092763999999</c:v>
                </c:pt>
                <c:pt idx="819">
                  <c:v>155.06599471000001</c:v>
                </c:pt>
                <c:pt idx="820">
                  <c:v>140.13136400000002</c:v>
                </c:pt>
                <c:pt idx="821">
                  <c:v>144.19703551000003</c:v>
                </c:pt>
                <c:pt idx="822">
                  <c:v>128.26300924000003</c:v>
                </c:pt>
                <c:pt idx="823">
                  <c:v>134.32928519000001</c:v>
                </c:pt>
                <c:pt idx="824">
                  <c:v>142.39586336000002</c:v>
                </c:pt>
                <c:pt idx="825">
                  <c:v>155.46274375000002</c:v>
                </c:pt>
                <c:pt idx="826">
                  <c:v>149.52992636000002</c:v>
                </c:pt>
                <c:pt idx="827">
                  <c:v>135.59741119</c:v>
                </c:pt>
                <c:pt idx="828">
                  <c:v>119.66519824</c:v>
                </c:pt>
                <c:pt idx="829">
                  <c:v>86.733287509999997</c:v>
                </c:pt>
                <c:pt idx="830">
                  <c:v>76.801679000000007</c:v>
                </c:pt>
                <c:pt idx="831">
                  <c:v>68.870372709999998</c:v>
                </c:pt>
                <c:pt idx="832">
                  <c:v>64.939368640000012</c:v>
                </c:pt>
                <c:pt idx="833">
                  <c:v>80.008666790000021</c:v>
                </c:pt>
                <c:pt idx="834">
                  <c:v>69.07826716000001</c:v>
                </c:pt>
                <c:pt idx="835">
                  <c:v>54.148169750000008</c:v>
                </c:pt>
                <c:pt idx="836">
                  <c:v>53.218374560000029</c:v>
                </c:pt>
                <c:pt idx="837">
                  <c:v>52.288881590000017</c:v>
                </c:pt>
                <c:pt idx="838">
                  <c:v>45.359690840000027</c:v>
                </c:pt>
                <c:pt idx="839">
                  <c:v>50.430802310000033</c:v>
                </c:pt>
                <c:pt idx="840">
                  <c:v>45.50221599999999</c:v>
                </c:pt>
                <c:pt idx="841">
                  <c:v>40.573931909999999</c:v>
                </c:pt>
                <c:pt idx="842">
                  <c:v>29.645950040000017</c:v>
                </c:pt>
                <c:pt idx="843">
                  <c:v>31.718270390000001</c:v>
                </c:pt>
                <c:pt idx="844">
                  <c:v>23.790892960000008</c:v>
                </c:pt>
                <c:pt idx="845">
                  <c:v>38.863817749999995</c:v>
                </c:pt>
                <c:pt idx="846">
                  <c:v>42.937044760000006</c:v>
                </c:pt>
                <c:pt idx="847">
                  <c:v>48.010573990000012</c:v>
                </c:pt>
                <c:pt idx="848">
                  <c:v>30.084405439999998</c:v>
                </c:pt>
                <c:pt idx="849">
                  <c:v>18.158539110000021</c:v>
                </c:pt>
                <c:pt idx="850">
                  <c:v>15.232975000000025</c:v>
                </c:pt>
                <c:pt idx="851">
                  <c:v>28.307713110000009</c:v>
                </c:pt>
                <c:pt idx="852">
                  <c:v>49.382753440000016</c:v>
                </c:pt>
                <c:pt idx="853">
                  <c:v>64.458095990000032</c:v>
                </c:pt>
                <c:pt idx="854">
                  <c:v>63.533740759999986</c:v>
                </c:pt>
                <c:pt idx="855">
                  <c:v>97.609687750000006</c:v>
                </c:pt>
                <c:pt idx="856">
                  <c:v>168.68593695999999</c:v>
                </c:pt>
                <c:pt idx="857">
                  <c:v>290.76248838999999</c:v>
                </c:pt>
                <c:pt idx="858">
                  <c:v>403.83934204000002</c:v>
                </c:pt>
                <c:pt idx="859">
                  <c:v>457.91649790999998</c:v>
                </c:pt>
                <c:pt idx="860">
                  <c:v>378.99395600000003</c:v>
                </c:pt>
                <c:pt idx="861">
                  <c:v>276.07171631</c:v>
                </c:pt>
                <c:pt idx="862">
                  <c:v>195.14977884000001</c:v>
                </c:pt>
                <c:pt idx="863">
                  <c:v>132.22814359</c:v>
                </c:pt>
                <c:pt idx="864">
                  <c:v>109.30681056000003</c:v>
                </c:pt>
                <c:pt idx="865">
                  <c:v>102.38577975000001</c:v>
                </c:pt>
                <c:pt idx="866">
                  <c:v>95.465051160000016</c:v>
                </c:pt>
                <c:pt idx="867">
                  <c:v>72.54462479</c:v>
                </c:pt>
                <c:pt idx="868">
                  <c:v>66.624500639999994</c:v>
                </c:pt>
                <c:pt idx="869">
                  <c:v>54.704678709999996</c:v>
                </c:pt>
                <c:pt idx="870">
                  <c:v>64.785159000000007</c:v>
                </c:pt>
                <c:pt idx="871">
                  <c:v>55.865941509999999</c:v>
                </c:pt>
                <c:pt idx="872">
                  <c:v>65.947026240000014</c:v>
                </c:pt>
                <c:pt idx="873">
                  <c:v>81.028413190000023</c:v>
                </c:pt>
                <c:pt idx="874">
                  <c:v>96.110102360000013</c:v>
                </c:pt>
                <c:pt idx="875">
                  <c:v>129.19209375000003</c:v>
                </c:pt>
                <c:pt idx="876">
                  <c:v>183.27438735999999</c:v>
                </c:pt>
                <c:pt idx="877">
                  <c:v>248.35698318999999</c:v>
                </c:pt>
                <c:pt idx="878">
                  <c:v>273.43988124000003</c:v>
                </c:pt>
                <c:pt idx="879">
                  <c:v>248.52308151</c:v>
                </c:pt>
                <c:pt idx="880">
                  <c:v>207.60658400000003</c:v>
                </c:pt>
                <c:pt idx="881">
                  <c:v>169.69038871000001</c:v>
                </c:pt>
                <c:pt idx="882">
                  <c:v>122.77449564</c:v>
                </c:pt>
                <c:pt idx="883">
                  <c:v>101.85890479</c:v>
                </c:pt>
                <c:pt idx="884">
                  <c:v>104.94361616000002</c:v>
                </c:pt>
                <c:pt idx="885">
                  <c:v>94.028629749999993</c:v>
                </c:pt>
                <c:pt idx="886">
                  <c:v>100.11394556</c:v>
                </c:pt>
                <c:pt idx="887">
                  <c:v>81.199563590000025</c:v>
                </c:pt>
                <c:pt idx="888">
                  <c:v>64.285483840000012</c:v>
                </c:pt>
                <c:pt idx="889">
                  <c:v>53.371706310000022</c:v>
                </c:pt>
                <c:pt idx="890">
                  <c:v>47.458231000000026</c:v>
                </c:pt>
                <c:pt idx="891">
                  <c:v>55.545057910000011</c:v>
                </c:pt>
                <c:pt idx="892">
                  <c:v>99.632187040000019</c:v>
                </c:pt>
                <c:pt idx="893">
                  <c:v>122.71961839000001</c:v>
                </c:pt>
                <c:pt idx="894">
                  <c:v>132.80735196000001</c:v>
                </c:pt>
                <c:pt idx="895">
                  <c:v>105.89538775000001</c:v>
                </c:pt>
                <c:pt idx="896">
                  <c:v>83.983725759999999</c:v>
                </c:pt>
                <c:pt idx="897">
                  <c:v>56.072365990000009</c:v>
                </c:pt>
                <c:pt idx="898">
                  <c:v>51.161308440000013</c:v>
                </c:pt>
                <c:pt idx="899">
                  <c:v>49.250553109999998</c:v>
                </c:pt>
                <c:pt idx="900">
                  <c:v>52.340100000000007</c:v>
                </c:pt>
                <c:pt idx="901">
                  <c:v>49.429949110000024</c:v>
                </c:pt>
                <c:pt idx="902">
                  <c:v>40.520100440000007</c:v>
                </c:pt>
                <c:pt idx="903">
                  <c:v>36.610553990000014</c:v>
                </c:pt>
                <c:pt idx="904">
                  <c:v>40.701309760000029</c:v>
                </c:pt>
                <c:pt idx="905">
                  <c:v>41.792367750000011</c:v>
                </c:pt>
                <c:pt idx="906">
                  <c:v>38.88372796000003</c:v>
                </c:pt>
                <c:pt idx="907">
                  <c:v>27.975390390000015</c:v>
                </c:pt>
                <c:pt idx="908">
                  <c:v>32.067355039999995</c:v>
                </c:pt>
                <c:pt idx="909">
                  <c:v>33.159621910000013</c:v>
                </c:pt>
                <c:pt idx="910">
                  <c:v>28.252190999999996</c:v>
                </c:pt>
                <c:pt idx="911">
                  <c:v>25.345062310000003</c:v>
                </c:pt>
                <c:pt idx="912">
                  <c:v>20.438235840000019</c:v>
                </c:pt>
                <c:pt idx="913">
                  <c:v>14.53171159</c:v>
                </c:pt>
                <c:pt idx="914">
                  <c:v>12.625489560000005</c:v>
                </c:pt>
                <c:pt idx="915">
                  <c:v>9.7195697500000193</c:v>
                </c:pt>
                <c:pt idx="916">
                  <c:v>16.813952160000014</c:v>
                </c:pt>
                <c:pt idx="917">
                  <c:v>21.908636790000017</c:v>
                </c:pt>
                <c:pt idx="918">
                  <c:v>13.003623640000029</c:v>
                </c:pt>
                <c:pt idx="919">
                  <c:v>10.098912710000022</c:v>
                </c:pt>
                <c:pt idx="920">
                  <c:v>7.1945040000000233</c:v>
                </c:pt>
                <c:pt idx="921">
                  <c:v>16.290397510000048</c:v>
                </c:pt>
                <c:pt idx="922">
                  <c:v>14.386593239999996</c:v>
                </c:pt>
                <c:pt idx="923">
                  <c:v>32.48309119000001</c:v>
                </c:pt>
                <c:pt idx="924">
                  <c:v>44.579891360000005</c:v>
                </c:pt>
                <c:pt idx="925">
                  <c:v>81.676993750000008</c:v>
                </c:pt>
                <c:pt idx="926">
                  <c:v>140.77439836000002</c:v>
                </c:pt>
                <c:pt idx="927">
                  <c:v>255.87210519000001</c:v>
                </c:pt>
                <c:pt idx="928">
                  <c:v>369.97011424000004</c:v>
                </c:pt>
                <c:pt idx="929">
                  <c:v>385.06842551</c:v>
                </c:pt>
                <c:pt idx="930">
                  <c:v>327.16703900000005</c:v>
                </c:pt>
                <c:pt idx="931">
                  <c:v>242.26595471000002</c:v>
                </c:pt>
                <c:pt idx="932">
                  <c:v>194.36517264000003</c:v>
                </c:pt>
                <c:pt idx="933">
                  <c:v>187.46469279000002</c:v>
                </c:pt>
                <c:pt idx="934">
                  <c:v>241.56451516000001</c:v>
                </c:pt>
                <c:pt idx="935">
                  <c:v>371.66463975000005</c:v>
                </c:pt>
                <c:pt idx="936">
                  <c:v>622.76506656000004</c:v>
                </c:pt>
                <c:pt idx="937">
                  <c:v>1294.8657955900001</c:v>
                </c:pt>
                <c:pt idx="938">
                  <c:v>2869.9668268400001</c:v>
                </c:pt>
                <c:pt idx="939">
                  <c:v>5181.0681603100002</c:v>
                </c:pt>
                <c:pt idx="940">
                  <c:v>7110.1697960000001</c:v>
                </c:pt>
                <c:pt idx="941">
                  <c:v>7264.27173391</c:v>
                </c:pt>
                <c:pt idx="942">
                  <c:v>5885.3739740399997</c:v>
                </c:pt>
                <c:pt idx="943">
                  <c:v>4110.4765163900001</c:v>
                </c:pt>
                <c:pt idx="944">
                  <c:v>2633.57936096</c:v>
                </c:pt>
                <c:pt idx="945">
                  <c:v>1724.68250775</c:v>
                </c:pt>
                <c:pt idx="946">
                  <c:v>1210.7859567600001</c:v>
                </c:pt>
                <c:pt idx="947">
                  <c:v>814.88970799000003</c:v>
                </c:pt>
                <c:pt idx="948">
                  <c:v>535.99376144000007</c:v>
                </c:pt>
                <c:pt idx="949">
                  <c:v>346.09811710999998</c:v>
                </c:pt>
                <c:pt idx="950">
                  <c:v>215.202775</c:v>
                </c:pt>
                <c:pt idx="951">
                  <c:v>166.30773511000001</c:v>
                </c:pt>
                <c:pt idx="952">
                  <c:v>154.41299744000003</c:v>
                </c:pt>
                <c:pt idx="953">
                  <c:v>150.51856198999999</c:v>
                </c:pt>
                <c:pt idx="954">
                  <c:v>206.62442876</c:v>
                </c:pt>
                <c:pt idx="955">
                  <c:v>241.73059774999999</c:v>
                </c:pt>
                <c:pt idx="956">
                  <c:v>265.83706896000001</c:v>
                </c:pt>
                <c:pt idx="957">
                  <c:v>285.94384238999999</c:v>
                </c:pt>
                <c:pt idx="958">
                  <c:v>270.05091804</c:v>
                </c:pt>
                <c:pt idx="959">
                  <c:v>241.15829591000002</c:v>
                </c:pt>
                <c:pt idx="960">
                  <c:v>213.26597600000002</c:v>
                </c:pt>
                <c:pt idx="961">
                  <c:v>201.37395831000001</c:v>
                </c:pt>
                <c:pt idx="962">
                  <c:v>190.48224284000003</c:v>
                </c:pt>
                <c:pt idx="963">
                  <c:v>187.59082959</c:v>
                </c:pt>
                <c:pt idx="964">
                  <c:v>184.69971856000001</c:v>
                </c:pt>
                <c:pt idx="965">
                  <c:v>181.80890975</c:v>
                </c:pt>
                <c:pt idx="966">
                  <c:v>168.91840316000003</c:v>
                </c:pt>
                <c:pt idx="967">
                  <c:v>155.02819879</c:v>
                </c:pt>
                <c:pt idx="968">
                  <c:v>150.13829664000002</c:v>
                </c:pt>
                <c:pt idx="969">
                  <c:v>131.24869670999999</c:v>
                </c:pt>
                <c:pt idx="970">
                  <c:v>152.35939900000002</c:v>
                </c:pt>
                <c:pt idx="971">
                  <c:v>215.47040351000001</c:v>
                </c:pt>
                <c:pt idx="972">
                  <c:v>293.58171024000001</c:v>
                </c:pt>
                <c:pt idx="973">
                  <c:v>308.69331919000001</c:v>
                </c:pt>
                <c:pt idx="974">
                  <c:v>293.80523036</c:v>
                </c:pt>
                <c:pt idx="975">
                  <c:v>222.91744375000002</c:v>
                </c:pt>
                <c:pt idx="976">
                  <c:v>150.02995936000002</c:v>
                </c:pt>
                <c:pt idx="977">
                  <c:v>95.142777190000004</c:v>
                </c:pt>
                <c:pt idx="978">
                  <c:v>69.255897239999996</c:v>
                </c:pt>
                <c:pt idx="979">
                  <c:v>60.369319509999997</c:v>
                </c:pt>
                <c:pt idx="980">
                  <c:v>50.483044000000007</c:v>
                </c:pt>
                <c:pt idx="981">
                  <c:v>71.597070709999997</c:v>
                </c:pt>
                <c:pt idx="982">
                  <c:v>75.711399640000025</c:v>
                </c:pt>
                <c:pt idx="983">
                  <c:v>95.826030790000033</c:v>
                </c:pt>
                <c:pt idx="984">
                  <c:v>124.94096416000002</c:v>
                </c:pt>
                <c:pt idx="985">
                  <c:v>125.05619975000002</c:v>
                </c:pt>
                <c:pt idx="986">
                  <c:v>128.17173756</c:v>
                </c:pt>
                <c:pt idx="987">
                  <c:v>148.28757759000001</c:v>
                </c:pt>
                <c:pt idx="988">
                  <c:v>145.40371984000004</c:v>
                </c:pt>
                <c:pt idx="989">
                  <c:v>133.52016431000001</c:v>
                </c:pt>
                <c:pt idx="990">
                  <c:v>124.636911</c:v>
                </c:pt>
                <c:pt idx="991">
                  <c:v>102.75395991000002</c:v>
                </c:pt>
                <c:pt idx="992">
                  <c:v>105.87131103999999</c:v>
                </c:pt>
                <c:pt idx="993">
                  <c:v>111.98896439000001</c:v>
                </c:pt>
                <c:pt idx="994">
                  <c:v>106.10691996000003</c:v>
                </c:pt>
                <c:pt idx="995">
                  <c:v>108.22517775</c:v>
                </c:pt>
                <c:pt idx="996">
                  <c:v>127.34373776000001</c:v>
                </c:pt>
                <c:pt idx="997">
                  <c:v>137.46259999000003</c:v>
                </c:pt>
                <c:pt idx="998">
                  <c:v>137.58176444</c:v>
                </c:pt>
                <c:pt idx="999">
                  <c:v>137.70123111000001</c:v>
                </c:pt>
                <c:pt idx="1000">
                  <c:v>148.82100000000003</c:v>
                </c:pt>
                <c:pt idx="1001">
                  <c:v>156.94107111000002</c:v>
                </c:pt>
                <c:pt idx="1002">
                  <c:v>188.06144444000003</c:v>
                </c:pt>
                <c:pt idx="1003">
                  <c:v>234.18211999000002</c:v>
                </c:pt>
                <c:pt idx="1004">
                  <c:v>360.30309776000001</c:v>
                </c:pt>
                <c:pt idx="1005">
                  <c:v>620.42437775000008</c:v>
                </c:pt>
                <c:pt idx="1006">
                  <c:v>1061.5459599599999</c:v>
                </c:pt>
                <c:pt idx="1007">
                  <c:v>1687.66784439</c:v>
                </c:pt>
                <c:pt idx="1008">
                  <c:v>2813.79003104</c:v>
                </c:pt>
                <c:pt idx="1009">
                  <c:v>5479.9125199099999</c:v>
                </c:pt>
                <c:pt idx="1010">
                  <c:v>12483.035311</c:v>
                </c:pt>
                <c:pt idx="1011">
                  <c:v>22917.158404310001</c:v>
                </c:pt>
                <c:pt idx="1012">
                  <c:v>31473.281799839999</c:v>
                </c:pt>
                <c:pt idx="1013">
                  <c:v>32668.40549759</c:v>
                </c:pt>
                <c:pt idx="1014">
                  <c:v>29793.529497560001</c:v>
                </c:pt>
                <c:pt idx="1015">
                  <c:v>19700.653799750002</c:v>
                </c:pt>
                <c:pt idx="1016">
                  <c:v>10382.778404160001</c:v>
                </c:pt>
                <c:pt idx="1017">
                  <c:v>4947.9033107900004</c:v>
                </c:pt>
                <c:pt idx="1018">
                  <c:v>2673.02851964</c:v>
                </c:pt>
                <c:pt idx="1019">
                  <c:v>1813.1540307099999</c:v>
                </c:pt>
                <c:pt idx="1020">
                  <c:v>1392.2798439999999</c:v>
                </c:pt>
                <c:pt idx="1021">
                  <c:v>1069.40595951</c:v>
                </c:pt>
                <c:pt idx="1022">
                  <c:v>772.53237723999996</c:v>
                </c:pt>
                <c:pt idx="1023">
                  <c:v>511.65909719000001</c:v>
                </c:pt>
                <c:pt idx="1024">
                  <c:v>337.78611936000004</c:v>
                </c:pt>
                <c:pt idx="1025">
                  <c:v>273.91344375000006</c:v>
                </c:pt>
                <c:pt idx="1026">
                  <c:v>226.04107036000002</c:v>
                </c:pt>
                <c:pt idx="1027">
                  <c:v>216.16899919000002</c:v>
                </c:pt>
                <c:pt idx="1028">
                  <c:v>213.29723024000003</c:v>
                </c:pt>
                <c:pt idx="1029">
                  <c:v>206.42576351000002</c:v>
                </c:pt>
                <c:pt idx="1030">
                  <c:v>241.55459900000002</c:v>
                </c:pt>
                <c:pt idx="1031">
                  <c:v>267.68373671000001</c:v>
                </c:pt>
                <c:pt idx="1032">
                  <c:v>289.81317663999999</c:v>
                </c:pt>
                <c:pt idx="1033">
                  <c:v>288.94291879000002</c:v>
                </c:pt>
                <c:pt idx="1034">
                  <c:v>274.07296315999997</c:v>
                </c:pt>
                <c:pt idx="1035">
                  <c:v>228.20330975000002</c:v>
                </c:pt>
                <c:pt idx="1036">
                  <c:v>200.33395856000001</c:v>
                </c:pt>
                <c:pt idx="1037">
                  <c:v>165.46490958999999</c:v>
                </c:pt>
                <c:pt idx="1038">
                  <c:v>133.59616284000001</c:v>
                </c:pt>
                <c:pt idx="1039">
                  <c:v>108.72771831000003</c:v>
                </c:pt>
                <c:pt idx="1040">
                  <c:v>107.859576</c:v>
                </c:pt>
                <c:pt idx="1041">
                  <c:v>106.99173591000002</c:v>
                </c:pt>
                <c:pt idx="1042">
                  <c:v>95.124198040000039</c:v>
                </c:pt>
                <c:pt idx="1043">
                  <c:v>95.256962390000012</c:v>
                </c:pt>
                <c:pt idx="1044">
                  <c:v>83.390028960000024</c:v>
                </c:pt>
                <c:pt idx="1045">
                  <c:v>88.523397750000015</c:v>
                </c:pt>
                <c:pt idx="1046">
                  <c:v>100.65706875999999</c:v>
                </c:pt>
                <c:pt idx="1047">
                  <c:v>105.79104199000002</c:v>
                </c:pt>
                <c:pt idx="1048">
                  <c:v>112.92531743999999</c:v>
                </c:pt>
                <c:pt idx="1049">
                  <c:v>108.05989511000001</c:v>
                </c:pt>
                <c:pt idx="1050">
                  <c:v>103.19477500000002</c:v>
                </c:pt>
                <c:pt idx="1051">
                  <c:v>114.32995711000001</c:v>
                </c:pt>
                <c:pt idx="1052">
                  <c:v>128.46544144000001</c:v>
                </c:pt>
                <c:pt idx="1053">
                  <c:v>149.60122799000004</c:v>
                </c:pt>
                <c:pt idx="1054">
                  <c:v>236.73731676</c:v>
                </c:pt>
                <c:pt idx="1055">
                  <c:v>437.87370774999999</c:v>
                </c:pt>
                <c:pt idx="1056">
                  <c:v>789.01040095999997</c:v>
                </c:pt>
                <c:pt idx="1057">
                  <c:v>1353.14739639</c:v>
                </c:pt>
                <c:pt idx="1058">
                  <c:v>2379.28469404</c:v>
                </c:pt>
                <c:pt idx="1059">
                  <c:v>4739.42229391</c:v>
                </c:pt>
                <c:pt idx="1060">
                  <c:v>10561.560196</c:v>
                </c:pt>
                <c:pt idx="1061">
                  <c:v>19618.698400310001</c:v>
                </c:pt>
                <c:pt idx="1062">
                  <c:v>28620.836906839999</c:v>
                </c:pt>
                <c:pt idx="1063">
                  <c:v>30683.975715590001</c:v>
                </c:pt>
                <c:pt idx="1064">
                  <c:v>26267.114826559999</c:v>
                </c:pt>
                <c:pt idx="1065">
                  <c:v>15973.25423975</c:v>
                </c:pt>
                <c:pt idx="1066">
                  <c:v>7806.3939551599997</c:v>
                </c:pt>
                <c:pt idx="1067">
                  <c:v>3352.53397279</c:v>
                </c:pt>
                <c:pt idx="1068">
                  <c:v>1524.67429264</c:v>
                </c:pt>
                <c:pt idx="1069">
                  <c:v>790.81491471000004</c:v>
                </c:pt>
                <c:pt idx="1070">
                  <c:v>497.95583900000003</c:v>
                </c:pt>
                <c:pt idx="1071">
                  <c:v>380.09706550999999</c:v>
                </c:pt>
                <c:pt idx="1072">
                  <c:v>266.23859424</c:v>
                </c:pt>
                <c:pt idx="1073">
                  <c:v>204.38042519000001</c:v>
                </c:pt>
                <c:pt idx="1074">
                  <c:v>188.52255836</c:v>
                </c:pt>
                <c:pt idx="1075">
                  <c:v>184.66499375000001</c:v>
                </c:pt>
                <c:pt idx="1076">
                  <c:v>159.80773136000002</c:v>
                </c:pt>
                <c:pt idx="1077">
                  <c:v>140.95077119000001</c:v>
                </c:pt>
                <c:pt idx="1078">
                  <c:v>139.09411324000001</c:v>
                </c:pt>
                <c:pt idx="1079">
                  <c:v>132.23775751000002</c:v>
                </c:pt>
                <c:pt idx="1080">
                  <c:v>133.38170400000001</c:v>
                </c:pt>
                <c:pt idx="1081">
                  <c:v>125.52595271000004</c:v>
                </c:pt>
                <c:pt idx="1082">
                  <c:v>126.67050364000002</c:v>
                </c:pt>
                <c:pt idx="1083">
                  <c:v>137.81535679000001</c:v>
                </c:pt>
                <c:pt idx="1084">
                  <c:v>158.96051216000004</c:v>
                </c:pt>
                <c:pt idx="1085">
                  <c:v>217.10596975000001</c:v>
                </c:pt>
                <c:pt idx="1086">
                  <c:v>308.25172956</c:v>
                </c:pt>
                <c:pt idx="1087">
                  <c:v>509.39779159</c:v>
                </c:pt>
                <c:pt idx="1088">
                  <c:v>942.54415584000003</c:v>
                </c:pt>
                <c:pt idx="1089">
                  <c:v>1691.6908223099999</c:v>
                </c:pt>
                <c:pt idx="1090">
                  <c:v>2980.8377909999999</c:v>
                </c:pt>
                <c:pt idx="1091">
                  <c:v>5540.9850619099998</c:v>
                </c:pt>
                <c:pt idx="1092">
                  <c:v>11050.13263504</c:v>
                </c:pt>
                <c:pt idx="1093">
                  <c:v>18924.280510389999</c:v>
                </c:pt>
                <c:pt idx="1094">
                  <c:v>25968.42868796</c:v>
                </c:pt>
                <c:pt idx="1095">
                  <c:v>26388.577167750002</c:v>
                </c:pt>
                <c:pt idx="1096">
                  <c:v>20621.725949759999</c:v>
                </c:pt>
                <c:pt idx="1097">
                  <c:v>11259.87503399</c:v>
                </c:pt>
                <c:pt idx="1098">
                  <c:v>5107.0244204399996</c:v>
                </c:pt>
                <c:pt idx="1099">
                  <c:v>2184.1741091100002</c:v>
                </c:pt>
                <c:pt idx="1100">
                  <c:v>1077.3241</c:v>
                </c:pt>
                <c:pt idx="1101">
                  <c:v>573.47439311000005</c:v>
                </c:pt>
                <c:pt idx="1102">
                  <c:v>368.62498844000004</c:v>
                </c:pt>
                <c:pt idx="1103">
                  <c:v>304.77588599000001</c:v>
                </c:pt>
                <c:pt idx="1104">
                  <c:v>249.92708576000001</c:v>
                </c:pt>
                <c:pt idx="1105">
                  <c:v>187.07858775</c:v>
                </c:pt>
                <c:pt idx="1106">
                  <c:v>160.23039196000002</c:v>
                </c:pt>
                <c:pt idx="1107">
                  <c:v>162.38249839000002</c:v>
                </c:pt>
                <c:pt idx="1108">
                  <c:v>152.53490704000001</c:v>
                </c:pt>
                <c:pt idx="1109">
                  <c:v>150.68761791000003</c:v>
                </c:pt>
                <c:pt idx="1110">
                  <c:v>158.84063100000003</c:v>
                </c:pt>
                <c:pt idx="1111">
                  <c:v>165.99394631000001</c:v>
                </c:pt>
                <c:pt idx="1112">
                  <c:v>203.14756384000003</c:v>
                </c:pt>
                <c:pt idx="1113">
                  <c:v>324.30148358999998</c:v>
                </c:pt>
                <c:pt idx="1114">
                  <c:v>580.45570556000007</c:v>
                </c:pt>
                <c:pt idx="1115">
                  <c:v>946.61022975000003</c:v>
                </c:pt>
                <c:pt idx="1116">
                  <c:v>1306.7650561600001</c:v>
                </c:pt>
                <c:pt idx="1117">
                  <c:v>1844.9201847899999</c:v>
                </c:pt>
                <c:pt idx="1118">
                  <c:v>3260.0756156400003</c:v>
                </c:pt>
                <c:pt idx="1119">
                  <c:v>6372.23134871</c:v>
                </c:pt>
                <c:pt idx="1120">
                  <c:v>10401.387384</c:v>
                </c:pt>
                <c:pt idx="1121">
                  <c:v>12619.543721509999</c:v>
                </c:pt>
                <c:pt idx="1122">
                  <c:v>11131.70036124</c:v>
                </c:pt>
                <c:pt idx="1123">
                  <c:v>6857.8573031899996</c:v>
                </c:pt>
                <c:pt idx="1124">
                  <c:v>3270.0145473600001</c:v>
                </c:pt>
                <c:pt idx="1125">
                  <c:v>1399.1720937499999</c:v>
                </c:pt>
                <c:pt idx="1126">
                  <c:v>699.32994236000002</c:v>
                </c:pt>
                <c:pt idx="1127">
                  <c:v>464.48809318999997</c:v>
                </c:pt>
                <c:pt idx="1128">
                  <c:v>367.64654624000002</c:v>
                </c:pt>
                <c:pt idx="1129">
                  <c:v>341.80530151000005</c:v>
                </c:pt>
                <c:pt idx="1130">
                  <c:v>289.964359</c:v>
                </c:pt>
                <c:pt idx="1131">
                  <c:v>199.12371871000002</c:v>
                </c:pt>
                <c:pt idx="1132">
                  <c:v>133.28338064000002</c:v>
                </c:pt>
                <c:pt idx="1133">
                  <c:v>88.443344789999998</c:v>
                </c:pt>
                <c:pt idx="1134">
                  <c:v>70.603611160000014</c:v>
                </c:pt>
                <c:pt idx="1135">
                  <c:v>63.764179750000039</c:v>
                </c:pt>
                <c:pt idx="1136">
                  <c:v>72.925050560000017</c:v>
                </c:pt>
                <c:pt idx="1137">
                  <c:v>72.086223590000031</c:v>
                </c:pt>
                <c:pt idx="1138">
                  <c:v>77.247698840000055</c:v>
                </c:pt>
                <c:pt idx="1139">
                  <c:v>68.409476310000031</c:v>
                </c:pt>
                <c:pt idx="1140">
                  <c:v>65.571556000000044</c:v>
                </c:pt>
                <c:pt idx="1141">
                  <c:v>90.733937910000009</c:v>
                </c:pt>
                <c:pt idx="1142">
                  <c:v>184.89662204000001</c:v>
                </c:pt>
                <c:pt idx="1143">
                  <c:v>337.05960838999999</c:v>
                </c:pt>
                <c:pt idx="1144">
                  <c:v>460.22289695999996</c:v>
                </c:pt>
                <c:pt idx="1145">
                  <c:v>466.38648775000001</c:v>
                </c:pt>
                <c:pt idx="1146">
                  <c:v>361.55038076000005</c:v>
                </c:pt>
                <c:pt idx="1147">
                  <c:v>179.71457599000001</c:v>
                </c:pt>
                <c:pt idx="1148">
                  <c:v>86.879073440000013</c:v>
                </c:pt>
                <c:pt idx="1149">
                  <c:v>40.043873110000021</c:v>
                </c:pt>
                <c:pt idx="1150">
                  <c:v>28.208975000000009</c:v>
                </c:pt>
                <c:pt idx="1151">
                  <c:v>18.374379110000035</c:v>
                </c:pt>
                <c:pt idx="1152">
                  <c:v>27.540085440000041</c:v>
                </c:pt>
                <c:pt idx="1153">
                  <c:v>43.706093990000028</c:v>
                </c:pt>
                <c:pt idx="1154">
                  <c:v>45.872404759999995</c:v>
                </c:pt>
                <c:pt idx="1155">
                  <c:v>46.039017750000028</c:v>
                </c:pt>
                <c:pt idx="1156">
                  <c:v>33.205932960000013</c:v>
                </c:pt>
                <c:pt idx="1157">
                  <c:v>21.373150390000006</c:v>
                </c:pt>
                <c:pt idx="1158">
                  <c:v>26.540670040000009</c:v>
                </c:pt>
                <c:pt idx="1159">
                  <c:v>-6.2915080899999793</c:v>
                </c:pt>
                <c:pt idx="1160">
                  <c:v>15.876616000000013</c:v>
                </c:pt>
                <c:pt idx="1161">
                  <c:v>21.045042310000014</c:v>
                </c:pt>
                <c:pt idx="1162">
                  <c:v>7.2137708400000236</c:v>
                </c:pt>
                <c:pt idx="1163">
                  <c:v>8.3828015900000423</c:v>
                </c:pt>
                <c:pt idx="1164">
                  <c:v>2.5521345600000132</c:v>
                </c:pt>
                <c:pt idx="1165">
                  <c:v>-7.2782302499999787</c:v>
                </c:pt>
                <c:pt idx="1166">
                  <c:v>11.891707160000038</c:v>
                </c:pt>
                <c:pt idx="1167">
                  <c:v>26.061946790000036</c:v>
                </c:pt>
                <c:pt idx="1168">
                  <c:v>46.232488640000014</c:v>
                </c:pt>
                <c:pt idx="1169">
                  <c:v>87.403332710000029</c:v>
                </c:pt>
                <c:pt idx="1170">
                  <c:v>174.574479</c:v>
                </c:pt>
                <c:pt idx="1171">
                  <c:v>273.74592751</c:v>
                </c:pt>
                <c:pt idx="1172">
                  <c:v>371.91767824000004</c:v>
                </c:pt>
                <c:pt idx="1173">
                  <c:v>342.08973119000001</c:v>
                </c:pt>
                <c:pt idx="1174">
                  <c:v>235.26208636000001</c:v>
                </c:pt>
                <c:pt idx="1175">
                  <c:v>136.43474375</c:v>
                </c:pt>
                <c:pt idx="1176">
                  <c:v>98.607703360000016</c:v>
                </c:pt>
                <c:pt idx="1177">
                  <c:v>100.78096519000005</c:v>
                </c:pt>
                <c:pt idx="1178">
                  <c:v>208.95452924000003</c:v>
                </c:pt>
                <c:pt idx="1179">
                  <c:v>400.12839551000002</c:v>
                </c:pt>
                <c:pt idx="1180">
                  <c:v>650.30256400000007</c:v>
                </c:pt>
                <c:pt idx="1181">
                  <c:v>750.47703471</c:v>
                </c:pt>
                <c:pt idx="1182">
                  <c:v>626.65180764000002</c:v>
                </c:pt>
                <c:pt idx="1183">
                  <c:v>342.82688279000001</c:v>
                </c:pt>
                <c:pt idx="1184">
                  <c:v>155.00226015999999</c:v>
                </c:pt>
                <c:pt idx="1185">
                  <c:v>52.177939750000007</c:v>
                </c:pt>
                <c:pt idx="1186">
                  <c:v>33.353921560000032</c:v>
                </c:pt>
                <c:pt idx="1187">
                  <c:v>38.530205590000008</c:v>
                </c:pt>
                <c:pt idx="1188">
                  <c:v>49.706791840000022</c:v>
                </c:pt>
                <c:pt idx="1189">
                  <c:v>54.883680310000045</c:v>
                </c:pt>
                <c:pt idx="1190">
                  <c:v>64.06087100000002</c:v>
                </c:pt>
                <c:pt idx="1191">
                  <c:v>50.238363910000032</c:v>
                </c:pt>
                <c:pt idx="1192">
                  <c:v>54.416159040000025</c:v>
                </c:pt>
                <c:pt idx="1193">
                  <c:v>68.594256390000027</c:v>
                </c:pt>
                <c:pt idx="1194">
                  <c:v>93.772655960000037</c:v>
                </c:pt>
                <c:pt idx="1195">
                  <c:v>107.95135775</c:v>
                </c:pt>
                <c:pt idx="1196">
                  <c:v>102.13036176</c:v>
                </c:pt>
                <c:pt idx="1197">
                  <c:v>106.30966799000001</c:v>
                </c:pt>
                <c:pt idx="1198">
                  <c:v>113.48927644</c:v>
                </c:pt>
                <c:pt idx="1199">
                  <c:v>107.66918711000002</c:v>
                </c:pt>
                <c:pt idx="1200">
                  <c:v>90.849400000000031</c:v>
                </c:pt>
                <c:pt idx="1201">
                  <c:v>66.029915110000019</c:v>
                </c:pt>
                <c:pt idx="1202">
                  <c:v>56.210732440000015</c:v>
                </c:pt>
                <c:pt idx="1203">
                  <c:v>54.391851990000049</c:v>
                </c:pt>
                <c:pt idx="1204">
                  <c:v>54.573273760000006</c:v>
                </c:pt>
                <c:pt idx="1205">
                  <c:v>33.75499775000003</c:v>
                </c:pt>
                <c:pt idx="1206">
                  <c:v>28.937023960000005</c:v>
                </c:pt>
                <c:pt idx="1207">
                  <c:v>33.119352390000017</c:v>
                </c:pt>
                <c:pt idx="1208">
                  <c:v>29.301983040000039</c:v>
                </c:pt>
                <c:pt idx="1209">
                  <c:v>29.484915909999984</c:v>
                </c:pt>
                <c:pt idx="1210">
                  <c:v>31.668150999999995</c:v>
                </c:pt>
                <c:pt idx="1211">
                  <c:v>26.851688310000014</c:v>
                </c:pt>
                <c:pt idx="1212">
                  <c:v>42.035527840000015</c:v>
                </c:pt>
                <c:pt idx="1213">
                  <c:v>39.219669590000024</c:v>
                </c:pt>
                <c:pt idx="1214">
                  <c:v>64.404113560000042</c:v>
                </c:pt>
                <c:pt idx="1215">
                  <c:v>94.588859750000012</c:v>
                </c:pt>
                <c:pt idx="1216">
                  <c:v>120.77390816000002</c:v>
                </c:pt>
                <c:pt idx="1217">
                  <c:v>122.95925879000004</c:v>
                </c:pt>
                <c:pt idx="1218">
                  <c:v>93.144911640000032</c:v>
                </c:pt>
                <c:pt idx="1219">
                  <c:v>72.330866710000038</c:v>
                </c:pt>
                <c:pt idx="1220">
                  <c:v>57.517124000000052</c:v>
                </c:pt>
                <c:pt idx="1221">
                  <c:v>44.703683510000019</c:v>
                </c:pt>
                <c:pt idx="1222">
                  <c:v>37.890545240000023</c:v>
                </c:pt>
                <c:pt idx="1223">
                  <c:v>57.077709190000007</c:v>
                </c:pt>
                <c:pt idx="1224">
                  <c:v>99.265175360000001</c:v>
                </c:pt>
                <c:pt idx="1225">
                  <c:v>149.45294375000003</c:v>
                </c:pt>
                <c:pt idx="1226">
                  <c:v>173.64101436000001</c:v>
                </c:pt>
                <c:pt idx="1227">
                  <c:v>165.82938719000001</c:v>
                </c:pt>
                <c:pt idx="1228">
                  <c:v>144.01806224000003</c:v>
                </c:pt>
                <c:pt idx="1229">
                  <c:v>137.20703951000002</c:v>
                </c:pt>
                <c:pt idx="1230">
                  <c:v>129.39631900000003</c:v>
                </c:pt>
                <c:pt idx="1231">
                  <c:v>134.58590071000003</c:v>
                </c:pt>
                <c:pt idx="1232">
                  <c:v>140.77578464000001</c:v>
                </c:pt>
                <c:pt idx="1233">
                  <c:v>204.96597079000003</c:v>
                </c:pt>
                <c:pt idx="1234">
                  <c:v>348.15645916000005</c:v>
                </c:pt>
                <c:pt idx="1235">
                  <c:v>678.34724975000006</c:v>
                </c:pt>
                <c:pt idx="1236">
                  <c:v>1657.53834256</c:v>
                </c:pt>
                <c:pt idx="1237">
                  <c:v>3467.7297375899998</c:v>
                </c:pt>
                <c:pt idx="1238">
                  <c:v>5491.9214348400001</c:v>
                </c:pt>
                <c:pt idx="1239">
                  <c:v>6396.1134343100002</c:v>
                </c:pt>
                <c:pt idx="1240">
                  <c:v>5346.3057360000003</c:v>
                </c:pt>
                <c:pt idx="1241">
                  <c:v>3210.4983399100001</c:v>
                </c:pt>
                <c:pt idx="1242">
                  <c:v>1772.6912460400001</c:v>
                </c:pt>
                <c:pt idx="1243">
                  <c:v>1470.88445439</c:v>
                </c:pt>
                <c:pt idx="1244">
                  <c:v>1664.0779649599999</c:v>
                </c:pt>
                <c:pt idx="1245">
                  <c:v>1749.27177775</c:v>
                </c:pt>
                <c:pt idx="1246">
                  <c:v>1465.4658927600001</c:v>
                </c:pt>
                <c:pt idx="1247">
                  <c:v>893.66030999000009</c:v>
                </c:pt>
                <c:pt idx="1248">
                  <c:v>486.85502944000007</c:v>
                </c:pt>
                <c:pt idx="1249">
                  <c:v>283.05005111000003</c:v>
                </c:pt>
                <c:pt idx="1250">
                  <c:v>214.24537500000002</c:v>
                </c:pt>
                <c:pt idx="1251">
                  <c:v>167.44100111000003</c:v>
                </c:pt>
                <c:pt idx="1252">
                  <c:v>136.63692944000002</c:v>
                </c:pt>
                <c:pt idx="1253">
                  <c:v>120.83315999000001</c:v>
                </c:pt>
                <c:pt idx="1254">
                  <c:v>108.02969275999999</c:v>
                </c:pt>
                <c:pt idx="1255">
                  <c:v>101.22652775</c:v>
                </c:pt>
                <c:pt idx="1256">
                  <c:v>99.423664960000025</c:v>
                </c:pt>
                <c:pt idx="1257">
                  <c:v>95.621104389999999</c:v>
                </c:pt>
                <c:pt idx="1258">
                  <c:v>107.81884604000001</c:v>
                </c:pt>
                <c:pt idx="1259">
                  <c:v>101.01688991000003</c:v>
                </c:pt>
                <c:pt idx="1260">
                  <c:v>86.215236000000004</c:v>
                </c:pt>
                <c:pt idx="1261">
                  <c:v>74.413884310000043</c:v>
                </c:pt>
                <c:pt idx="1262">
                  <c:v>61.612834840000033</c:v>
                </c:pt>
                <c:pt idx="1263">
                  <c:v>51.812087590000004</c:v>
                </c:pt>
                <c:pt idx="1264">
                  <c:v>48.011642560000013</c:v>
                </c:pt>
                <c:pt idx="1265">
                  <c:v>39.21149975000003</c:v>
                </c:pt>
                <c:pt idx="1266">
                  <c:v>35.411659159999999</c:v>
                </c:pt>
                <c:pt idx="1267">
                  <c:v>35.612120790000034</c:v>
                </c:pt>
                <c:pt idx="1268">
                  <c:v>31.81288464000005</c:v>
                </c:pt>
                <c:pt idx="1269">
                  <c:v>32.013950710000017</c:v>
                </c:pt>
                <c:pt idx="1270">
                  <c:v>24.215319000000022</c:v>
                </c:pt>
                <c:pt idx="1271">
                  <c:v>28.416989510000008</c:v>
                </c:pt>
                <c:pt idx="1272">
                  <c:v>34.61896224000003</c:v>
                </c:pt>
                <c:pt idx="1273">
                  <c:v>30.821237190000033</c:v>
                </c:pt>
                <c:pt idx="1274">
                  <c:v>39.023814360000017</c:v>
                </c:pt>
                <c:pt idx="1275">
                  <c:v>45.226693750000038</c:v>
                </c:pt>
                <c:pt idx="1276">
                  <c:v>63.42987536000004</c:v>
                </c:pt>
                <c:pt idx="1277">
                  <c:v>70.633359189999993</c:v>
                </c:pt>
                <c:pt idx="1278">
                  <c:v>67.837145240000012</c:v>
                </c:pt>
                <c:pt idx="1279">
                  <c:v>58.04123351000004</c:v>
                </c:pt>
                <c:pt idx="1280">
                  <c:v>39.245623999999992</c:v>
                </c:pt>
                <c:pt idx="1281">
                  <c:v>32.45031671000001</c:v>
                </c:pt>
                <c:pt idx="1282">
                  <c:v>29.655311640000036</c:v>
                </c:pt>
                <c:pt idx="1283">
                  <c:v>32.860608790000015</c:v>
                </c:pt>
                <c:pt idx="1284">
                  <c:v>44.066208160000031</c:v>
                </c:pt>
                <c:pt idx="1285">
                  <c:v>55.272109749999998</c:v>
                </c:pt>
                <c:pt idx="1286">
                  <c:v>65.478313560000032</c:v>
                </c:pt>
                <c:pt idx="1287">
                  <c:v>70.684819590000046</c:v>
                </c:pt>
                <c:pt idx="1288">
                  <c:v>67.891627840000012</c:v>
                </c:pt>
                <c:pt idx="1289">
                  <c:v>72.098738310000044</c:v>
                </c:pt>
                <c:pt idx="1290">
                  <c:v>69.306151000000057</c:v>
                </c:pt>
                <c:pt idx="1291">
                  <c:v>69.513865909999993</c:v>
                </c:pt>
                <c:pt idx="1292">
                  <c:v>65.721883040000023</c:v>
                </c:pt>
                <c:pt idx="1293">
                  <c:v>63.930202390000034</c:v>
                </c:pt>
                <c:pt idx="1294">
                  <c:v>56.138823959999996</c:v>
                </c:pt>
                <c:pt idx="1295">
                  <c:v>66.347747750000025</c:v>
                </c:pt>
                <c:pt idx="1296">
                  <c:v>69.556973760000034</c:v>
                </c:pt>
                <c:pt idx="1297">
                  <c:v>66.766501990000023</c:v>
                </c:pt>
                <c:pt idx="1298">
                  <c:v>72.976332440000022</c:v>
                </c:pt>
                <c:pt idx="1299">
                  <c:v>66.186465110000057</c:v>
                </c:pt>
                <c:pt idx="1300">
                  <c:v>72.396900000000016</c:v>
                </c:pt>
                <c:pt idx="1301">
                  <c:v>72.607637110000042</c:v>
                </c:pt>
                <c:pt idx="1302">
                  <c:v>84.81867643999999</c:v>
                </c:pt>
                <c:pt idx="1303">
                  <c:v>90.030017990000033</c:v>
                </c:pt>
                <c:pt idx="1304">
                  <c:v>90.241661760000028</c:v>
                </c:pt>
                <c:pt idx="1305">
                  <c:v>113.45360774999997</c:v>
                </c:pt>
                <c:pt idx="1306">
                  <c:v>123.66585596000002</c:v>
                </c:pt>
                <c:pt idx="1307">
                  <c:v>130.87840639000004</c:v>
                </c:pt>
                <c:pt idx="1308">
                  <c:v>129.09125903999998</c:v>
                </c:pt>
                <c:pt idx="1309">
                  <c:v>108.30441391000002</c:v>
                </c:pt>
                <c:pt idx="1310">
                  <c:v>78.517871000000042</c:v>
                </c:pt>
                <c:pt idx="1311">
                  <c:v>75.731630310000043</c:v>
                </c:pt>
                <c:pt idx="1312">
                  <c:v>61.945691840000023</c:v>
                </c:pt>
                <c:pt idx="1313">
                  <c:v>65.160055590000042</c:v>
                </c:pt>
                <c:pt idx="1314">
                  <c:v>60.37472156000004</c:v>
                </c:pt>
                <c:pt idx="1315">
                  <c:v>56.589689750000019</c:v>
                </c:pt>
                <c:pt idx="1316">
                  <c:v>56.804960160000036</c:v>
                </c:pt>
                <c:pt idx="1317">
                  <c:v>59.020532790000033</c:v>
                </c:pt>
                <c:pt idx="1318">
                  <c:v>48.236407640000039</c:v>
                </c:pt>
                <c:pt idx="1319">
                  <c:v>52.452584709999996</c:v>
                </c:pt>
                <c:pt idx="1320">
                  <c:v>55.669063999999992</c:v>
                </c:pt>
                <c:pt idx="1321">
                  <c:v>53.885845510000024</c:v>
                </c:pt>
                <c:pt idx="1322">
                  <c:v>52.10292923999998</c:v>
                </c:pt>
                <c:pt idx="1323">
                  <c:v>52.320315190000031</c:v>
                </c:pt>
                <c:pt idx="1324">
                  <c:v>64.538003360000062</c:v>
                </c:pt>
                <c:pt idx="1325">
                  <c:v>73.755993750000016</c:v>
                </c:pt>
                <c:pt idx="1326">
                  <c:v>84.974286360000008</c:v>
                </c:pt>
                <c:pt idx="1327">
                  <c:v>124.19288119000004</c:v>
                </c:pt>
                <c:pt idx="1328">
                  <c:v>255.41177824000005</c:v>
                </c:pt>
                <c:pt idx="1329">
                  <c:v>500.63097751000004</c:v>
                </c:pt>
                <c:pt idx="1330">
                  <c:v>819.85047900000006</c:v>
                </c:pt>
                <c:pt idx="1331">
                  <c:v>998.07028271000001</c:v>
                </c:pt>
                <c:pt idx="1332">
                  <c:v>858.29038864000006</c:v>
                </c:pt>
                <c:pt idx="1333">
                  <c:v>507.51079678999997</c:v>
                </c:pt>
                <c:pt idx="1334">
                  <c:v>221.73150716000001</c:v>
                </c:pt>
                <c:pt idx="1335">
                  <c:v>112.95251975000005</c:v>
                </c:pt>
                <c:pt idx="1336">
                  <c:v>80.173834560000017</c:v>
                </c:pt>
                <c:pt idx="1337">
                  <c:v>81.395451590000022</c:v>
                </c:pt>
                <c:pt idx="1338">
                  <c:v>124.61737084000006</c:v>
                </c:pt>
                <c:pt idx="1339">
                  <c:v>235.83959231000003</c:v>
                </c:pt>
                <c:pt idx="1340">
                  <c:v>368.06211600000006</c:v>
                </c:pt>
                <c:pt idx="1341">
                  <c:v>513.28494191000004</c:v>
                </c:pt>
                <c:pt idx="1342">
                  <c:v>512.50807004000001</c:v>
                </c:pt>
                <c:pt idx="1343">
                  <c:v>364.73150039000006</c:v>
                </c:pt>
                <c:pt idx="1344">
                  <c:v>178.95523296000007</c:v>
                </c:pt>
                <c:pt idx="1345">
                  <c:v>88.179267750000008</c:v>
                </c:pt>
                <c:pt idx="1346">
                  <c:v>65.403604760000007</c:v>
                </c:pt>
                <c:pt idx="1347">
                  <c:v>60.628243989999987</c:v>
                </c:pt>
                <c:pt idx="1348">
                  <c:v>65.853185440000004</c:v>
                </c:pt>
                <c:pt idx="1349">
                  <c:v>76.078429110000002</c:v>
                </c:pt>
                <c:pt idx="1350">
                  <c:v>84.30397499999998</c:v>
                </c:pt>
                <c:pt idx="1351">
                  <c:v>83.529823109999995</c:v>
                </c:pt>
                <c:pt idx="1352">
                  <c:v>84.755973440000048</c:v>
                </c:pt>
                <c:pt idx="1353">
                  <c:v>71.982425990000024</c:v>
                </c:pt>
                <c:pt idx="1354">
                  <c:v>63.209180760000038</c:v>
                </c:pt>
                <c:pt idx="1355">
                  <c:v>55.436237750000032</c:v>
                </c:pt>
                <c:pt idx="1356">
                  <c:v>52.663596960000007</c:v>
                </c:pt>
                <c:pt idx="1357">
                  <c:v>55.891258390000019</c:v>
                </c:pt>
                <c:pt idx="1358">
                  <c:v>59.119222040000068</c:v>
                </c:pt>
                <c:pt idx="1359">
                  <c:v>49.347487910000012</c:v>
                </c:pt>
                <c:pt idx="1360">
                  <c:v>50.576056000000023</c:v>
                </c:pt>
                <c:pt idx="1361">
                  <c:v>52.804926310000013</c:v>
                </c:pt>
                <c:pt idx="1362">
                  <c:v>62.034098839999984</c:v>
                </c:pt>
                <c:pt idx="1363">
                  <c:v>54.26357359000005</c:v>
                </c:pt>
                <c:pt idx="1364">
                  <c:v>48.493350559999982</c:v>
                </c:pt>
                <c:pt idx="1365">
                  <c:v>49.723429750000008</c:v>
                </c:pt>
                <c:pt idx="1366">
                  <c:v>69.953811160000015</c:v>
                </c:pt>
                <c:pt idx="1367">
                  <c:v>91.184494790000002</c:v>
                </c:pt>
                <c:pt idx="1368">
                  <c:v>130.41548064000003</c:v>
                </c:pt>
                <c:pt idx="1369">
                  <c:v>208.64676871000003</c:v>
                </c:pt>
                <c:pt idx="1370">
                  <c:v>307.87835900000005</c:v>
                </c:pt>
                <c:pt idx="1371">
                  <c:v>349.11025151000001</c:v>
                </c:pt>
                <c:pt idx="1372">
                  <c:v>292.34244624000007</c:v>
                </c:pt>
                <c:pt idx="1373">
                  <c:v>211.57494319</c:v>
                </c:pt>
                <c:pt idx="1374">
                  <c:v>201.80774236000002</c:v>
                </c:pt>
                <c:pt idx="1375">
                  <c:v>255.04084375000002</c:v>
                </c:pt>
                <c:pt idx="1376">
                  <c:v>283.27424736</c:v>
                </c:pt>
                <c:pt idx="1377">
                  <c:v>229.50795319000002</c:v>
                </c:pt>
                <c:pt idx="1378">
                  <c:v>142.74196124000002</c:v>
                </c:pt>
                <c:pt idx="1379">
                  <c:v>101.97627151</c:v>
                </c:pt>
                <c:pt idx="1380">
                  <c:v>178.21088400000002</c:v>
                </c:pt>
                <c:pt idx="1381">
                  <c:v>328.44579871000002</c:v>
                </c:pt>
                <c:pt idx="1382">
                  <c:v>507.68101564000006</c:v>
                </c:pt>
                <c:pt idx="1383">
                  <c:v>567.91653479000001</c:v>
                </c:pt>
                <c:pt idx="1384">
                  <c:v>442.15235616000001</c:v>
                </c:pt>
                <c:pt idx="1385">
                  <c:v>215.38847975000004</c:v>
                </c:pt>
                <c:pt idx="1386">
                  <c:v>81.62490556000003</c:v>
                </c:pt>
                <c:pt idx="1387">
                  <c:v>28.861633590000025</c:v>
                </c:pt>
                <c:pt idx="1388">
                  <c:v>17.09866384</c:v>
                </c:pt>
                <c:pt idx="1389">
                  <c:v>23.335996310000013</c:v>
                </c:pt>
                <c:pt idx="1390">
                  <c:v>12.573631000000006</c:v>
                </c:pt>
                <c:pt idx="1391">
                  <c:v>12.811567910000036</c:v>
                </c:pt>
                <c:pt idx="1392">
                  <c:v>4.9807040000047209E-2</c:v>
                </c:pt>
                <c:pt idx="1393">
                  <c:v>3.2883483900000385</c:v>
                </c:pt>
                <c:pt idx="1394">
                  <c:v>19.52719196000001</c:v>
                </c:pt>
                <c:pt idx="1395">
                  <c:v>24.766337750000019</c:v>
                </c:pt>
                <c:pt idx="1396">
                  <c:v>41.005785760000009</c:v>
                </c:pt>
                <c:pt idx="1397">
                  <c:v>67.245535990000036</c:v>
                </c:pt>
                <c:pt idx="1398">
                  <c:v>148.48558844000004</c:v>
                </c:pt>
                <c:pt idx="1399">
                  <c:v>366.72594311</c:v>
                </c:pt>
                <c:pt idx="1400">
                  <c:v>822.96659999999997</c:v>
                </c:pt>
                <c:pt idx="1401">
                  <c:v>1386.2075591099999</c:v>
                </c:pt>
                <c:pt idx="1402">
                  <c:v>1705.44882044</c:v>
                </c:pt>
                <c:pt idx="1403">
                  <c:v>1379.6903839900001</c:v>
                </c:pt>
                <c:pt idx="1404">
                  <c:v>761.93224975999999</c:v>
                </c:pt>
                <c:pt idx="1405">
                  <c:v>297.17441775000009</c:v>
                </c:pt>
                <c:pt idx="1406">
                  <c:v>145.41688796000008</c:v>
                </c:pt>
                <c:pt idx="1407">
                  <c:v>102.65966038999997</c:v>
                </c:pt>
                <c:pt idx="1408">
                  <c:v>81.90273504000001</c:v>
                </c:pt>
                <c:pt idx="1409">
                  <c:v>82.14611191000003</c:v>
                </c:pt>
                <c:pt idx="1410">
                  <c:v>125.38979099999997</c:v>
                </c:pt>
                <c:pt idx="1411">
                  <c:v>253.63377231000001</c:v>
                </c:pt>
                <c:pt idx="1412">
                  <c:v>412.87805584</c:v>
                </c:pt>
                <c:pt idx="1413">
                  <c:v>497.12264159000006</c:v>
                </c:pt>
                <c:pt idx="1414">
                  <c:v>420.36752955999998</c:v>
                </c:pt>
                <c:pt idx="1415">
                  <c:v>234.61271975000002</c:v>
                </c:pt>
                <c:pt idx="1416">
                  <c:v>91.858212160000022</c:v>
                </c:pt>
                <c:pt idx="1417">
                  <c:v>41.104006790000057</c:v>
                </c:pt>
                <c:pt idx="1418">
                  <c:v>16.350103640000015</c:v>
                </c:pt>
                <c:pt idx="1419">
                  <c:v>7.59650271000001</c:v>
                </c:pt>
                <c:pt idx="1420">
                  <c:v>-1.1567959999999573</c:v>
                </c:pt>
                <c:pt idx="1421">
                  <c:v>-3.909792490000001</c:v>
                </c:pt>
                <c:pt idx="1422">
                  <c:v>-6.6624867599999504</c:v>
                </c:pt>
                <c:pt idx="1423">
                  <c:v>3.5851211900000237</c:v>
                </c:pt>
                <c:pt idx="1424">
                  <c:v>4.8330313600000352</c:v>
                </c:pt>
                <c:pt idx="1425">
                  <c:v>11.081243750000027</c:v>
                </c:pt>
                <c:pt idx="1426">
                  <c:v>10.32975836</c:v>
                </c:pt>
                <c:pt idx="1427">
                  <c:v>20.578575190000009</c:v>
                </c:pt>
                <c:pt idx="1428">
                  <c:v>14.827694240000056</c:v>
                </c:pt>
                <c:pt idx="1429">
                  <c:v>12.077115510000027</c:v>
                </c:pt>
                <c:pt idx="1430">
                  <c:v>0.32683900000003518</c:v>
                </c:pt>
                <c:pt idx="1431">
                  <c:v>-2.4231352899999195</c:v>
                </c:pt>
                <c:pt idx="1432">
                  <c:v>-5.1728073599999504</c:v>
                </c:pt>
                <c:pt idx="1433">
                  <c:v>-6.9221772099999441</c:v>
                </c:pt>
                <c:pt idx="1434">
                  <c:v>-6.6712448400000142</c:v>
                </c:pt>
                <c:pt idx="1435">
                  <c:v>-0.42001024999999004</c:v>
                </c:pt>
                <c:pt idx="1436">
                  <c:v>-0.16847343999998543</c:v>
                </c:pt>
                <c:pt idx="1437">
                  <c:v>-5.9166344100000003</c:v>
                </c:pt>
                <c:pt idx="1438">
                  <c:v>-1.6644931599999779</c:v>
                </c:pt>
                <c:pt idx="1439">
                  <c:v>3.587950310000025</c:v>
                </c:pt>
                <c:pt idx="1440">
                  <c:v>2.8406960000000083</c:v>
                </c:pt>
                <c:pt idx="1441">
                  <c:v>8.093743910000029</c:v>
                </c:pt>
                <c:pt idx="1442">
                  <c:v>21.34709404000003</c:v>
                </c:pt>
                <c:pt idx="1443">
                  <c:v>34.600746390000012</c:v>
                </c:pt>
                <c:pt idx="1444">
                  <c:v>29.854700960000031</c:v>
                </c:pt>
                <c:pt idx="1445">
                  <c:v>24.10895775000003</c:v>
                </c:pt>
                <c:pt idx="1446">
                  <c:v>4.3635167600000102</c:v>
                </c:pt>
                <c:pt idx="1447">
                  <c:v>-4.3816220099999725</c:v>
                </c:pt>
                <c:pt idx="1448">
                  <c:v>4.8735414400000252</c:v>
                </c:pt>
                <c:pt idx="1449">
                  <c:v>-3.8709928899999966</c:v>
                </c:pt>
                <c:pt idx="1450">
                  <c:v>2.384775000000019</c:v>
                </c:pt>
                <c:pt idx="1451">
                  <c:v>10.640845110000072</c:v>
                </c:pt>
                <c:pt idx="1452">
                  <c:v>3.8972174400000483</c:v>
                </c:pt>
                <c:pt idx="1453">
                  <c:v>5.1538919900000622</c:v>
                </c:pt>
                <c:pt idx="1454">
                  <c:v>2.4108687600000565</c:v>
                </c:pt>
                <c:pt idx="1455">
                  <c:v>-7.3318522499999688</c:v>
                </c:pt>
                <c:pt idx="1456">
                  <c:v>1.9257289600000433</c:v>
                </c:pt>
                <c:pt idx="1457">
                  <c:v>-5.8163876099999072</c:v>
                </c:pt>
                <c:pt idx="1458">
                  <c:v>12.441798040000066</c:v>
                </c:pt>
                <c:pt idx="1459">
                  <c:v>24.700285910000076</c:v>
                </c:pt>
                <c:pt idx="1460">
                  <c:v>19.95907600000001</c:v>
                </c:pt>
                <c:pt idx="1461">
                  <c:v>5.2181683099999816</c:v>
                </c:pt>
                <c:pt idx="1462">
                  <c:v>3.4775628399999903</c:v>
                </c:pt>
                <c:pt idx="1463">
                  <c:v>6.7372595899999794</c:v>
                </c:pt>
                <c:pt idx="1464">
                  <c:v>7.9972585600000059</c:v>
                </c:pt>
                <c:pt idx="1465">
                  <c:v>9.2575597500000129</c:v>
                </c:pt>
                <c:pt idx="1466">
                  <c:v>6.5181631600000003</c:v>
                </c:pt>
                <c:pt idx="1467">
                  <c:v>2.779068790000025</c:v>
                </c:pt>
                <c:pt idx="1468">
                  <c:v>-0.95972335999996972</c:v>
                </c:pt>
                <c:pt idx="1469">
                  <c:v>1.301786710000016</c:v>
                </c:pt>
                <c:pt idx="1470">
                  <c:v>11.563599000000039</c:v>
                </c:pt>
                <c:pt idx="1471">
                  <c:v>20.825713510000043</c:v>
                </c:pt>
                <c:pt idx="1472">
                  <c:v>12.088130240000027</c:v>
                </c:pt>
                <c:pt idx="1473">
                  <c:v>1.3508491900000479</c:v>
                </c:pt>
                <c:pt idx="1474">
                  <c:v>-5.3861296400000072</c:v>
                </c:pt>
                <c:pt idx="1475">
                  <c:v>-8.122806249999968</c:v>
                </c:pt>
                <c:pt idx="1476">
                  <c:v>-3.8591806399999484</c:v>
                </c:pt>
                <c:pt idx="1477">
                  <c:v>-0.59525281000000518</c:v>
                </c:pt>
                <c:pt idx="1478">
                  <c:v>2.6689772400000322</c:v>
                </c:pt>
                <c:pt idx="1479">
                  <c:v>1.9335095100000501</c:v>
                </c:pt>
                <c:pt idx="1480">
                  <c:v>-3.8016559999999515</c:v>
                </c:pt>
                <c:pt idx="1481">
                  <c:v>-7.5365192899999727</c:v>
                </c:pt>
                <c:pt idx="1482">
                  <c:v>-6.2710803599999565</c:v>
                </c:pt>
                <c:pt idx="1483">
                  <c:v>-9.0053392099999598</c:v>
                </c:pt>
                <c:pt idx="1484">
                  <c:v>4.2607041600000741</c:v>
                </c:pt>
                <c:pt idx="1485">
                  <c:v>0.52704975000008858</c:v>
                </c:pt>
                <c:pt idx="1486">
                  <c:v>-3.2063024399999733</c:v>
                </c:pt>
                <c:pt idx="1487">
                  <c:v>-2.9393524099999411</c:v>
                </c:pt>
                <c:pt idx="1488">
                  <c:v>-4.6721001599999283</c:v>
                </c:pt>
                <c:pt idx="1489">
                  <c:v>0.59545431000000804</c:v>
                </c:pt>
                <c:pt idx="1490">
                  <c:v>2.8633110000000386</c:v>
                </c:pt>
                <c:pt idx="1491">
                  <c:v>17.131469909999993</c:v>
                </c:pt>
                <c:pt idx="1492">
                  <c:v>12.399931039999984</c:v>
                </c:pt>
                <c:pt idx="1493">
                  <c:v>7.6686943900000131</c:v>
                </c:pt>
                <c:pt idx="1494">
                  <c:v>8.9377599600000224</c:v>
                </c:pt>
                <c:pt idx="1495">
                  <c:v>3.2071277500000122</c:v>
                </c:pt>
                <c:pt idx="1496">
                  <c:v>-4.5232022399999607</c:v>
                </c:pt>
                <c:pt idx="1497">
                  <c:v>-0.25323001000001</c:v>
                </c:pt>
                <c:pt idx="1498">
                  <c:v>-9.9829555599999651</c:v>
                </c:pt>
                <c:pt idx="1499">
                  <c:v>-2.7123788899999397</c:v>
                </c:pt>
                <c:pt idx="1500">
                  <c:v>5.5585000000000093</c:v>
                </c:pt>
                <c:pt idx="1501">
                  <c:v>6.8296811100000525</c:v>
                </c:pt>
                <c:pt idx="1502">
                  <c:v>3.1011644400000762</c:v>
                </c:pt>
                <c:pt idx="1503">
                  <c:v>7.3729499900000235</c:v>
                </c:pt>
                <c:pt idx="1504">
                  <c:v>0.64503776000006496</c:v>
                </c:pt>
                <c:pt idx="1505">
                  <c:v>4.9174277500000301</c:v>
                </c:pt>
                <c:pt idx="1506">
                  <c:v>0.19011996000003251</c:v>
                </c:pt>
                <c:pt idx="1507">
                  <c:v>10.463114390000072</c:v>
                </c:pt>
                <c:pt idx="1508">
                  <c:v>8.7364110400000357</c:v>
                </c:pt>
                <c:pt idx="1509">
                  <c:v>7.0100099100000364</c:v>
                </c:pt>
                <c:pt idx="1510">
                  <c:v>2.2839110000000744</c:v>
                </c:pt>
                <c:pt idx="1511">
                  <c:v>1.5581143100000361</c:v>
                </c:pt>
                <c:pt idx="1512">
                  <c:v>-3.1673801599999649</c:v>
                </c:pt>
                <c:pt idx="1513">
                  <c:v>-0.8925724099999286</c:v>
                </c:pt>
                <c:pt idx="1514">
                  <c:v>3.3825375600000314</c:v>
                </c:pt>
                <c:pt idx="1515">
                  <c:v>12.657949750000085</c:v>
                </c:pt>
                <c:pt idx="1516">
                  <c:v>15.933664160000006</c:v>
                </c:pt>
                <c:pt idx="1517">
                  <c:v>2.2096807900000215</c:v>
                </c:pt>
                <c:pt idx="1518">
                  <c:v>3.4859996400000171</c:v>
                </c:pt>
                <c:pt idx="1519">
                  <c:v>8.7626207100000499</c:v>
                </c:pt>
                <c:pt idx="1520">
                  <c:v>7.0395440000000065</c:v>
                </c:pt>
                <c:pt idx="1521">
                  <c:v>8.3167695100000003</c:v>
                </c:pt>
                <c:pt idx="1522">
                  <c:v>21.594297239999975</c:v>
                </c:pt>
                <c:pt idx="1523">
                  <c:v>13.872127189999986</c:v>
                </c:pt>
                <c:pt idx="1524">
                  <c:v>13.150259360000035</c:v>
                </c:pt>
                <c:pt idx="1525">
                  <c:v>17.428693750000008</c:v>
                </c:pt>
                <c:pt idx="1526">
                  <c:v>27.707430360000018</c:v>
                </c:pt>
                <c:pt idx="1527">
                  <c:v>47.986469190000065</c:v>
                </c:pt>
                <c:pt idx="1528">
                  <c:v>73.265810240000036</c:v>
                </c:pt>
                <c:pt idx="1529">
                  <c:v>100.54545351000004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F1-4347-B847-C07C3E522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0292592"/>
        <c:axId val="1326462880"/>
      </c:scatterChart>
      <c:valAx>
        <c:axId val="1380292592"/>
        <c:scaling>
          <c:orientation val="minMax"/>
          <c:max val="16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26462880"/>
        <c:crosses val="autoZero"/>
        <c:crossBetween val="midCat"/>
      </c:valAx>
      <c:valAx>
        <c:axId val="13264628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0292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1"/>
            <c:trendlineLbl>
              <c:layout>
                <c:manualLayout>
                  <c:x val="0.14625153105861768"/>
                  <c:y val="-0.45061716243802857"/>
                </c:manualLayout>
              </c:layout>
              <c:numFmt formatCode="0.0000000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'thor parabolas'!$T$10:$T$38</c:f>
              <c:numCache>
                <c:formatCode>General</c:formatCode>
                <c:ptCount val="29"/>
                <c:pt idx="0">
                  <c:v>4.2471132659550204</c:v>
                </c:pt>
                <c:pt idx="1">
                  <c:v>30.799838515095594</c:v>
                </c:pt>
                <c:pt idx="3">
                  <c:v>94.607590516275025</c:v>
                </c:pt>
                <c:pt idx="4">
                  <c:v>125.88986472535093</c:v>
                </c:pt>
                <c:pt idx="5">
                  <c:v>142.04700587024848</c:v>
                </c:pt>
                <c:pt idx="6">
                  <c:v>179.56689797944486</c:v>
                </c:pt>
                <c:pt idx="7">
                  <c:v>193.32162382647556</c:v>
                </c:pt>
                <c:pt idx="8">
                  <c:v>201.84835865971723</c:v>
                </c:pt>
                <c:pt idx="9">
                  <c:v>237.63846404124331</c:v>
                </c:pt>
                <c:pt idx="10">
                  <c:v>253.62303331767143</c:v>
                </c:pt>
                <c:pt idx="11">
                  <c:v>342.02711629642329</c:v>
                </c:pt>
                <c:pt idx="12">
                  <c:v>442.58652825512439</c:v>
                </c:pt>
                <c:pt idx="13">
                  <c:v>515.53223528203807</c:v>
                </c:pt>
                <c:pt idx="14">
                  <c:v>662.26335650977035</c:v>
                </c:pt>
                <c:pt idx="15">
                  <c:v>689.09676811121813</c:v>
                </c:pt>
                <c:pt idx="16">
                  <c:v>740.26858171310244</c:v>
                </c:pt>
                <c:pt idx="17">
                  <c:v>856.26343643715359</c:v>
                </c:pt>
                <c:pt idx="18">
                  <c:v>938.19193735364024</c:v>
                </c:pt>
                <c:pt idx="19">
                  <c:v>1091.8386088024224</c:v>
                </c:pt>
                <c:pt idx="20">
                  <c:v>1118.3746512400339</c:v>
                </c:pt>
                <c:pt idx="21">
                  <c:v>1141.8553859949695</c:v>
                </c:pt>
                <c:pt idx="22">
                  <c:v>1178.2511996459643</c:v>
                </c:pt>
                <c:pt idx="23">
                  <c:v>1236.279937589577</c:v>
                </c:pt>
                <c:pt idx="24">
                  <c:v>1328.3664791117262</c:v>
                </c:pt>
                <c:pt idx="25">
                  <c:v>1338.8302654676095</c:v>
                </c:pt>
                <c:pt idx="26">
                  <c:v>1380.0856471534291</c:v>
                </c:pt>
                <c:pt idx="27">
                  <c:v>1399.3018735514906</c:v>
                </c:pt>
                <c:pt idx="28">
                  <c:v>1410.3028014145209</c:v>
                </c:pt>
              </c:numCache>
            </c:numRef>
          </c:xVal>
          <c:yVal>
            <c:numRef>
              <c:f>'thor parabolas'!$X$10:$X$38</c:f>
              <c:numCache>
                <c:formatCode>General</c:formatCode>
                <c:ptCount val="29"/>
                <c:pt idx="0">
                  <c:v>6.7334401137486566E-3</c:v>
                </c:pt>
                <c:pt idx="1">
                  <c:v>9.4894238827691879E-4</c:v>
                </c:pt>
                <c:pt idx="5">
                  <c:v>-4.1858381282509072E-3</c:v>
                </c:pt>
                <c:pt idx="6">
                  <c:v>-5.0769910121744033E-3</c:v>
                </c:pt>
                <c:pt idx="8">
                  <c:v>-5.8894719932141015E-3</c:v>
                </c:pt>
                <c:pt idx="9">
                  <c:v>-6.9181702983769355E-3</c:v>
                </c:pt>
                <c:pt idx="10">
                  <c:v>-4.6291311919048894E-3</c:v>
                </c:pt>
                <c:pt idx="11">
                  <c:v>9.8884702056238893E-3</c:v>
                </c:pt>
                <c:pt idx="12">
                  <c:v>2.7246539630141342E-3</c:v>
                </c:pt>
                <c:pt idx="13">
                  <c:v>2.2992629443251644E-2</c:v>
                </c:pt>
                <c:pt idx="15">
                  <c:v>5.5453357517762925E-3</c:v>
                </c:pt>
                <c:pt idx="16">
                  <c:v>-1.8166090625527431E-2</c:v>
                </c:pt>
                <c:pt idx="17">
                  <c:v>-6.2715327730984427E-3</c:v>
                </c:pt>
                <c:pt idx="18">
                  <c:v>-1.6259013306807901E-2</c:v>
                </c:pt>
                <c:pt idx="19">
                  <c:v>1.2205977433040971E-2</c:v>
                </c:pt>
                <c:pt idx="20">
                  <c:v>7.3731083884922555E-3</c:v>
                </c:pt>
                <c:pt idx="21">
                  <c:v>5.1162179852326517E-3</c:v>
                </c:pt>
                <c:pt idx="22">
                  <c:v>1.6502175021742005E-3</c:v>
                </c:pt>
                <c:pt idx="23">
                  <c:v>-4.1671813287393888E-3</c:v>
                </c:pt>
                <c:pt idx="24">
                  <c:v>-1.0691630550354603E-3</c:v>
                </c:pt>
                <c:pt idx="26">
                  <c:v>-2.1059234641143121E-3</c:v>
                </c:pt>
                <c:pt idx="27">
                  <c:v>-4.4054253066860838E-4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14-40A8-B1C0-E6538A9AF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190624"/>
        <c:axId val="1289452640"/>
      </c:scatterChart>
      <c:valAx>
        <c:axId val="112419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89452640"/>
        <c:crosses val="autoZero"/>
        <c:crossBetween val="midCat"/>
      </c:valAx>
      <c:valAx>
        <c:axId val="128945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24190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'ster orden 1'!$A$1:$A$1530</c:f>
              <c:numCache>
                <c:formatCode>General</c:formatCode>
                <c:ptCount val="15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</c:numCache>
            </c:numRef>
          </c:xVal>
          <c:yVal>
            <c:numRef>
              <c:f>'ster orden 1'!$D$1:$D$1530</c:f>
              <c:numCache>
                <c:formatCode>General</c:formatCode>
                <c:ptCount val="1530"/>
                <c:pt idx="0">
                  <c:v>0.99172753678043291</c:v>
                </c:pt>
                <c:pt idx="1">
                  <c:v>0.9917919976743097</c:v>
                </c:pt>
                <c:pt idx="2">
                  <c:v>0.96253369813034695</c:v>
                </c:pt>
                <c:pt idx="3">
                  <c:v>0.89262861671117966</c:v>
                </c:pt>
                <c:pt idx="4">
                  <c:v>0.81773753305607222</c:v>
                </c:pt>
                <c:pt idx="5">
                  <c:v>0.76945199202503034</c:v>
                </c:pt>
                <c:pt idx="6">
                  <c:v>0.77256345178659935</c:v>
                </c:pt>
                <c:pt idx="7">
                  <c:v>0.8110042700837452</c:v>
                </c:pt>
                <c:pt idx="8">
                  <c:v>0.8648706182970598</c:v>
                </c:pt>
                <c:pt idx="9">
                  <c:v>0.90157460835057179</c:v>
                </c:pt>
                <c:pt idx="10">
                  <c:v>0.93941184011389178</c:v>
                </c:pt>
                <c:pt idx="11">
                  <c:v>0.96298129614805272</c:v>
                </c:pt>
                <c:pt idx="12">
                  <c:v>0.98283933500680376</c:v>
                </c:pt>
                <c:pt idx="13">
                  <c:v>1.0060981591704432</c:v>
                </c:pt>
                <c:pt idx="14">
                  <c:v>1.0246096844771317</c:v>
                </c:pt>
                <c:pt idx="15">
                  <c:v>1.0449178360546501</c:v>
                </c:pt>
                <c:pt idx="16">
                  <c:v>1.0400629997466009</c:v>
                </c:pt>
                <c:pt idx="17">
                  <c:v>1.0241819663216554</c:v>
                </c:pt>
                <c:pt idx="18">
                  <c:v>0.9708810909939356</c:v>
                </c:pt>
                <c:pt idx="19">
                  <c:v>0.91586062617657815</c:v>
                </c:pt>
                <c:pt idx="20">
                  <c:v>0.87544602584358144</c:v>
                </c:pt>
                <c:pt idx="21">
                  <c:v>0.86247624829420522</c:v>
                </c:pt>
                <c:pt idx="22">
                  <c:v>0.88536338433939898</c:v>
                </c:pt>
                <c:pt idx="23">
                  <c:v>0.91111270077475082</c:v>
                </c:pt>
                <c:pt idx="24">
                  <c:v>0.94497655278413806</c:v>
                </c:pt>
                <c:pt idx="25">
                  <c:v>0.95761269368433788</c:v>
                </c:pt>
                <c:pt idx="26">
                  <c:v>0.94160790663989546</c:v>
                </c:pt>
                <c:pt idx="27">
                  <c:v>0.92135838276199744</c:v>
                </c:pt>
                <c:pt idx="28">
                  <c:v>0.89691409464597882</c:v>
                </c:pt>
                <c:pt idx="29">
                  <c:v>0.90055678606536316</c:v>
                </c:pt>
                <c:pt idx="30">
                  <c:v>0.92734450818788838</c:v>
                </c:pt>
                <c:pt idx="31">
                  <c:v>0.94761839811343485</c:v>
                </c:pt>
                <c:pt idx="32">
                  <c:v>0.96404907516727978</c:v>
                </c:pt>
                <c:pt idx="33">
                  <c:v>0.99486765805088939</c:v>
                </c:pt>
                <c:pt idx="34">
                  <c:v>1.0126636147670049</c:v>
                </c:pt>
                <c:pt idx="35">
                  <c:v>1.0130034771220067</c:v>
                </c:pt>
                <c:pt idx="36">
                  <c:v>1.0058055647156801</c:v>
                </c:pt>
                <c:pt idx="37">
                  <c:v>0.98907148867825034</c:v>
                </c:pt>
                <c:pt idx="38">
                  <c:v>0.96850485541496445</c:v>
                </c:pt>
                <c:pt idx="39">
                  <c:v>0.94535170866050888</c:v>
                </c:pt>
                <c:pt idx="40">
                  <c:v>0.90176162214117994</c:v>
                </c:pt>
                <c:pt idx="41">
                  <c:v>0.8361472349351764</c:v>
                </c:pt>
                <c:pt idx="42">
                  <c:v>0.75336778642921365</c:v>
                </c:pt>
                <c:pt idx="43">
                  <c:v>0.68168246664534338</c:v>
                </c:pt>
                <c:pt idx="44">
                  <c:v>0.649072901553992</c:v>
                </c:pt>
                <c:pt idx="45">
                  <c:v>0.66092423372604359</c:v>
                </c:pt>
                <c:pt idx="46">
                  <c:v>0.70153695827315565</c:v>
                </c:pt>
                <c:pt idx="47">
                  <c:v>0.74478136764515135</c:v>
                </c:pt>
                <c:pt idx="48">
                  <c:v>0.77428253568124805</c:v>
                </c:pt>
                <c:pt idx="49">
                  <c:v>0.80434246914752072</c:v>
                </c:pt>
                <c:pt idx="50">
                  <c:v>0.80510358823157235</c:v>
                </c:pt>
                <c:pt idx="51">
                  <c:v>0.78544585851089455</c:v>
                </c:pt>
                <c:pt idx="52">
                  <c:v>0.75745266151500179</c:v>
                </c:pt>
                <c:pt idx="53">
                  <c:v>0.69688898272930555</c:v>
                </c:pt>
                <c:pt idx="54">
                  <c:v>0.63347185830094888</c:v>
                </c:pt>
                <c:pt idx="55">
                  <c:v>0.56475081311319741</c:v>
                </c:pt>
                <c:pt idx="56">
                  <c:v>0.51138764831947936</c:v>
                </c:pt>
                <c:pt idx="57">
                  <c:v>0.48151801471294725</c:v>
                </c:pt>
                <c:pt idx="58">
                  <c:v>0.4710421677972908</c:v>
                </c:pt>
                <c:pt idx="59">
                  <c:v>0.48904981118181956</c:v>
                </c:pt>
                <c:pt idx="60">
                  <c:v>0.53730476640325009</c:v>
                </c:pt>
                <c:pt idx="61">
                  <c:v>0.60811517200691934</c:v>
                </c:pt>
                <c:pt idx="62">
                  <c:v>0.6742422196631298</c:v>
                </c:pt>
                <c:pt idx="63">
                  <c:v>0.72161899993535894</c:v>
                </c:pt>
                <c:pt idx="64">
                  <c:v>0.75065851456073895</c:v>
                </c:pt>
                <c:pt idx="65">
                  <c:v>0.78727906743154918</c:v>
                </c:pt>
                <c:pt idx="66">
                  <c:v>0.83769188805829287</c:v>
                </c:pt>
                <c:pt idx="67">
                  <c:v>0.87370617543858442</c:v>
                </c:pt>
                <c:pt idx="68">
                  <c:v>0.89711280510435698</c:v>
                </c:pt>
                <c:pt idx="69">
                  <c:v>0.89219046719774797</c:v>
                </c:pt>
                <c:pt idx="70">
                  <c:v>0.86444654569608093</c:v>
                </c:pt>
                <c:pt idx="71">
                  <c:v>0.80205662711567649</c:v>
                </c:pt>
                <c:pt idx="72">
                  <c:v>0.73651606796287739</c:v>
                </c:pt>
                <c:pt idx="73">
                  <c:v>0.6721030086265215</c:v>
                </c:pt>
                <c:pt idx="74">
                  <c:v>0.59002304713349274</c:v>
                </c:pt>
                <c:pt idx="75">
                  <c:v>0.51088937822558234</c:v>
                </c:pt>
                <c:pt idx="76">
                  <c:v>0.44355889253158542</c:v>
                </c:pt>
                <c:pt idx="77">
                  <c:v>0.40760231653329076</c:v>
                </c:pt>
                <c:pt idx="78">
                  <c:v>0.40350313372316904</c:v>
                </c:pt>
                <c:pt idx="79">
                  <c:v>0.43896121497238738</c:v>
                </c:pt>
                <c:pt idx="80">
                  <c:v>0.49797323831544027</c:v>
                </c:pt>
                <c:pt idx="81">
                  <c:v>0.56874320870299311</c:v>
                </c:pt>
                <c:pt idx="82">
                  <c:v>0.62826155107167891</c:v>
                </c:pt>
                <c:pt idx="83">
                  <c:v>0.66418960076309363</c:v>
                </c:pt>
                <c:pt idx="84">
                  <c:v>0.67187292167235979</c:v>
                </c:pt>
                <c:pt idx="85">
                  <c:v>0.67069238021599231</c:v>
                </c:pt>
                <c:pt idx="86">
                  <c:v>0.68890929691816416</c:v>
                </c:pt>
                <c:pt idx="87">
                  <c:v>0.74815364468232126</c:v>
                </c:pt>
                <c:pt idx="88">
                  <c:v>0.8164460764066459</c:v>
                </c:pt>
                <c:pt idx="89">
                  <c:v>0.87482377185429494</c:v>
                </c:pt>
                <c:pt idx="90">
                  <c:v>0.91394300515424309</c:v>
                </c:pt>
                <c:pt idx="91">
                  <c:v>0.92117242134790445</c:v>
                </c:pt>
                <c:pt idx="92">
                  <c:v>0.90712464497292022</c:v>
                </c:pt>
                <c:pt idx="93">
                  <c:v>0.88300506470070239</c:v>
                </c:pt>
                <c:pt idx="94">
                  <c:v>0.85077559020217985</c:v>
                </c:pt>
                <c:pt idx="95">
                  <c:v>0.81606813051963667</c:v>
                </c:pt>
                <c:pt idx="96">
                  <c:v>0.74467857930207904</c:v>
                </c:pt>
                <c:pt idx="97">
                  <c:v>0.65375229274709779</c:v>
                </c:pt>
                <c:pt idx="98">
                  <c:v>0.57279429005717275</c:v>
                </c:pt>
                <c:pt idx="99">
                  <c:v>0.51858829487372193</c:v>
                </c:pt>
                <c:pt idx="100">
                  <c:v>0.51322385653949176</c:v>
                </c:pt>
                <c:pt idx="101">
                  <c:v>0.55528792732536703</c:v>
                </c:pt>
                <c:pt idx="102">
                  <c:v>0.61846290893600875</c:v>
                </c:pt>
                <c:pt idx="103">
                  <c:v>0.67543286490504384</c:v>
                </c:pt>
                <c:pt idx="104">
                  <c:v>0.70014484971282998</c:v>
                </c:pt>
                <c:pt idx="105">
                  <c:v>0.69643703840826587</c:v>
                </c:pt>
                <c:pt idx="106">
                  <c:v>0.67469643897225917</c:v>
                </c:pt>
                <c:pt idx="107">
                  <c:v>0.68178241456236843</c:v>
                </c:pt>
                <c:pt idx="108">
                  <c:v>0.71092332290192528</c:v>
                </c:pt>
                <c:pt idx="109">
                  <c:v>0.7737341272248317</c:v>
                </c:pt>
                <c:pt idx="110">
                  <c:v>0.84704810195958713</c:v>
                </c:pt>
                <c:pt idx="111">
                  <c:v>0.90289886086452453</c:v>
                </c:pt>
                <c:pt idx="112">
                  <c:v>0.94299536051543942</c:v>
                </c:pt>
                <c:pt idx="113">
                  <c:v>0.95109006547924124</c:v>
                </c:pt>
                <c:pt idx="114">
                  <c:v>0.94922407993714242</c:v>
                </c:pt>
                <c:pt idx="115">
                  <c:v>0.95501939785957013</c:v>
                </c:pt>
                <c:pt idx="116">
                  <c:v>0.96679105747636596</c:v>
                </c:pt>
                <c:pt idx="117">
                  <c:v>0.97105860990570159</c:v>
                </c:pt>
                <c:pt idx="118">
                  <c:v>0.9530770022728392</c:v>
                </c:pt>
                <c:pt idx="119">
                  <c:v>0.93430593309074672</c:v>
                </c:pt>
                <c:pt idx="120">
                  <c:v>0.89769228222418873</c:v>
                </c:pt>
                <c:pt idx="121">
                  <c:v>0.84753341489154876</c:v>
                </c:pt>
                <c:pt idx="122">
                  <c:v>0.79472496347819488</c:v>
                </c:pt>
                <c:pt idx="123">
                  <c:v>0.75467153093513406</c:v>
                </c:pt>
                <c:pt idx="124">
                  <c:v>0.73690418670878655</c:v>
                </c:pt>
                <c:pt idx="125">
                  <c:v>0.75675522825145014</c:v>
                </c:pt>
                <c:pt idx="126">
                  <c:v>0.78769932956387367</c:v>
                </c:pt>
                <c:pt idx="127">
                  <c:v>0.80639546298316234</c:v>
                </c:pt>
                <c:pt idx="128">
                  <c:v>0.82033998197431335</c:v>
                </c:pt>
                <c:pt idx="129">
                  <c:v>0.83378013869980439</c:v>
                </c:pt>
                <c:pt idx="130">
                  <c:v>0.85700094950211836</c:v>
                </c:pt>
                <c:pt idx="131">
                  <c:v>0.89248088245717061</c:v>
                </c:pt>
                <c:pt idx="132">
                  <c:v>0.90648526164919441</c:v>
                </c:pt>
                <c:pt idx="133">
                  <c:v>0.9030830357390589</c:v>
                </c:pt>
                <c:pt idx="134">
                  <c:v>0.89984542233051856</c:v>
                </c:pt>
                <c:pt idx="135">
                  <c:v>0.89186885359610357</c:v>
                </c:pt>
                <c:pt idx="136">
                  <c:v>0.89739708200810853</c:v>
                </c:pt>
                <c:pt idx="137">
                  <c:v>0.9047629627542918</c:v>
                </c:pt>
                <c:pt idx="138">
                  <c:v>0.92519268651132658</c:v>
                </c:pt>
                <c:pt idx="139">
                  <c:v>0.92799834450633034</c:v>
                </c:pt>
                <c:pt idx="140">
                  <c:v>0.92695425499539352</c:v>
                </c:pt>
                <c:pt idx="141">
                  <c:v>0.92611084114623721</c:v>
                </c:pt>
                <c:pt idx="142">
                  <c:v>0.92606763987265517</c:v>
                </c:pt>
                <c:pt idx="143">
                  <c:v>0.92326582577351524</c:v>
                </c:pt>
                <c:pt idx="144">
                  <c:v>0.91950848446917388</c:v>
                </c:pt>
                <c:pt idx="145">
                  <c:v>0.90952916179383725</c:v>
                </c:pt>
                <c:pt idx="146">
                  <c:v>0.91308387521055878</c:v>
                </c:pt>
                <c:pt idx="147">
                  <c:v>0.91328484076278005</c:v>
                </c:pt>
                <c:pt idx="148">
                  <c:v>0.91225002521358145</c:v>
                </c:pt>
                <c:pt idx="149">
                  <c:v>0.91742490795326437</c:v>
                </c:pt>
                <c:pt idx="150">
                  <c:v>0.93277388035716824</c:v>
                </c:pt>
                <c:pt idx="151">
                  <c:v>0.94702752257208844</c:v>
                </c:pt>
                <c:pt idx="152">
                  <c:v>0.93373576501224687</c:v>
                </c:pt>
                <c:pt idx="153">
                  <c:v>0.90041812983505476</c:v>
                </c:pt>
                <c:pt idx="154">
                  <c:v>0.84211914853327818</c:v>
                </c:pt>
                <c:pt idx="155">
                  <c:v>0.79694091430863845</c:v>
                </c:pt>
                <c:pt idx="156">
                  <c:v>0.78572906918210594</c:v>
                </c:pt>
                <c:pt idx="157">
                  <c:v>0.8062355410032136</c:v>
                </c:pt>
                <c:pt idx="158">
                  <c:v>0.85032517455280732</c:v>
                </c:pt>
                <c:pt idx="159">
                  <c:v>0.88933290537776011</c:v>
                </c:pt>
                <c:pt idx="160">
                  <c:v>0.93144509661780539</c:v>
                </c:pt>
                <c:pt idx="161">
                  <c:v>0.95889419619170568</c:v>
                </c:pt>
                <c:pt idx="162">
                  <c:v>0.97817930485299942</c:v>
                </c:pt>
                <c:pt idx="163">
                  <c:v>0.98636153912933811</c:v>
                </c:pt>
                <c:pt idx="164">
                  <c:v>1.0012666266538159</c:v>
                </c:pt>
                <c:pt idx="165">
                  <c:v>1.011387820385115</c:v>
                </c:pt>
                <c:pt idx="166">
                  <c:v>1.0111108975193186</c:v>
                </c:pt>
                <c:pt idx="167">
                  <c:v>0.98379327033561337</c:v>
                </c:pt>
                <c:pt idx="168">
                  <c:v>0.95325350870050285</c:v>
                </c:pt>
                <c:pt idx="169">
                  <c:v>0.93166529028362355</c:v>
                </c:pt>
                <c:pt idx="170">
                  <c:v>0.93807088881411294</c:v>
                </c:pt>
                <c:pt idx="171">
                  <c:v>0.96461203095268</c:v>
                </c:pt>
                <c:pt idx="172">
                  <c:v>0.99401359833644976</c:v>
                </c:pt>
                <c:pt idx="173">
                  <c:v>1.0173461298246353</c:v>
                </c:pt>
                <c:pt idx="174">
                  <c:v>1.028677618815425</c:v>
                </c:pt>
                <c:pt idx="175">
                  <c:v>1.0334658315345833</c:v>
                </c:pt>
                <c:pt idx="176">
                  <c:v>1.0208281132353167</c:v>
                </c:pt>
                <c:pt idx="177">
                  <c:v>0.99325994340940882</c:v>
                </c:pt>
                <c:pt idx="178">
                  <c:v>0.95847590722692488</c:v>
                </c:pt>
                <c:pt idx="179">
                  <c:v>0.9309113044646955</c:v>
                </c:pt>
                <c:pt idx="180">
                  <c:v>0.9252724676099946</c:v>
                </c:pt>
                <c:pt idx="181">
                  <c:v>0.94120190514549429</c:v>
                </c:pt>
                <c:pt idx="182">
                  <c:v>0.9718871570225931</c:v>
                </c:pt>
                <c:pt idx="183">
                  <c:v>0.99355138848173341</c:v>
                </c:pt>
                <c:pt idx="184">
                  <c:v>0.98660116517583074</c:v>
                </c:pt>
                <c:pt idx="185">
                  <c:v>0.9724029769356517</c:v>
                </c:pt>
                <c:pt idx="186">
                  <c:v>0.9580304196541316</c:v>
                </c:pt>
                <c:pt idx="187">
                  <c:v>0.94224373671941963</c:v>
                </c:pt>
                <c:pt idx="188">
                  <c:v>0.9400334885648397</c:v>
                </c:pt>
                <c:pt idx="189">
                  <c:v>0.94483076777846398</c:v>
                </c:pt>
                <c:pt idx="190">
                  <c:v>0.95267617337586596</c:v>
                </c:pt>
                <c:pt idx="191">
                  <c:v>0.94891642541382204</c:v>
                </c:pt>
                <c:pt idx="192">
                  <c:v>0.95377367722597395</c:v>
                </c:pt>
                <c:pt idx="193">
                  <c:v>0.95819930973085865</c:v>
                </c:pt>
                <c:pt idx="194">
                  <c:v>0.95124180506069222</c:v>
                </c:pt>
                <c:pt idx="195">
                  <c:v>0.90806815717221068</c:v>
                </c:pt>
                <c:pt idx="196">
                  <c:v>0.83379939730883901</c:v>
                </c:pt>
                <c:pt idx="197">
                  <c:v>0.7597113497195046</c:v>
                </c:pt>
                <c:pt idx="198">
                  <c:v>0.71649238958965011</c:v>
                </c:pt>
                <c:pt idx="199">
                  <c:v>0.72148662530610874</c:v>
                </c:pt>
                <c:pt idx="200">
                  <c:v>0.75807955614794986</c:v>
                </c:pt>
                <c:pt idx="201">
                  <c:v>0.79734588317292665</c:v>
                </c:pt>
                <c:pt idx="202">
                  <c:v>0.83045958874746661</c:v>
                </c:pt>
                <c:pt idx="203">
                  <c:v>0.84214276741239913</c:v>
                </c:pt>
                <c:pt idx="204">
                  <c:v>0.83607842043367897</c:v>
                </c:pt>
                <c:pt idx="205">
                  <c:v>0.81708737012911559</c:v>
                </c:pt>
                <c:pt idx="206">
                  <c:v>0.80290299756613692</c:v>
                </c:pt>
                <c:pt idx="207">
                  <c:v>0.81101815512090492</c:v>
                </c:pt>
                <c:pt idx="208">
                  <c:v>0.83332829464547009</c:v>
                </c:pt>
                <c:pt idx="209">
                  <c:v>0.85457684815300128</c:v>
                </c:pt>
                <c:pt idx="210">
                  <c:v>0.86885493659984114</c:v>
                </c:pt>
                <c:pt idx="211">
                  <c:v>0.88738132668506353</c:v>
                </c:pt>
                <c:pt idx="212">
                  <c:v>0.90409195176075974</c:v>
                </c:pt>
                <c:pt idx="213">
                  <c:v>0.90589913437487635</c:v>
                </c:pt>
                <c:pt idx="214">
                  <c:v>0.90523177070311067</c:v>
                </c:pt>
                <c:pt idx="215">
                  <c:v>0.89757257781705058</c:v>
                </c:pt>
                <c:pt idx="216">
                  <c:v>0.8982410041477884</c:v>
                </c:pt>
                <c:pt idx="217">
                  <c:v>0.90608120475861398</c:v>
                </c:pt>
                <c:pt idx="218">
                  <c:v>0.91322785651826932</c:v>
                </c:pt>
                <c:pt idx="219">
                  <c:v>0.93438701923422396</c:v>
                </c:pt>
                <c:pt idx="220">
                  <c:v>0.94722285238280457</c:v>
                </c:pt>
                <c:pt idx="221">
                  <c:v>0.95852707899409706</c:v>
                </c:pt>
                <c:pt idx="222">
                  <c:v>0.94825833782109314</c:v>
                </c:pt>
                <c:pt idx="223">
                  <c:v>0.94178316963001363</c:v>
                </c:pt>
                <c:pt idx="224">
                  <c:v>0.94067997226577449</c:v>
                </c:pt>
                <c:pt idx="225">
                  <c:v>0.95686400118834558</c:v>
                </c:pt>
                <c:pt idx="226">
                  <c:v>0.97430809518370243</c:v>
                </c:pt>
                <c:pt idx="227">
                  <c:v>0.98720545456321496</c:v>
                </c:pt>
                <c:pt idx="228">
                  <c:v>0.98776908494291338</c:v>
                </c:pt>
                <c:pt idx="229">
                  <c:v>0.98054097917231375</c:v>
                </c:pt>
                <c:pt idx="230">
                  <c:v>0.96057242391499342</c:v>
                </c:pt>
                <c:pt idx="231">
                  <c:v>0.94623171141464835</c:v>
                </c:pt>
                <c:pt idx="232">
                  <c:v>0.94257791832623972</c:v>
                </c:pt>
                <c:pt idx="233">
                  <c:v>0.94328325865405538</c:v>
                </c:pt>
                <c:pt idx="234">
                  <c:v>0.94361265920566884</c:v>
                </c:pt>
                <c:pt idx="235">
                  <c:v>0.94690291415460504</c:v>
                </c:pt>
                <c:pt idx="236">
                  <c:v>0.95187440133845935</c:v>
                </c:pt>
                <c:pt idx="237">
                  <c:v>0.93408052881890413</c:v>
                </c:pt>
                <c:pt idx="238">
                  <c:v>0.9285056272799862</c:v>
                </c:pt>
                <c:pt idx="239">
                  <c:v>0.9267887353229769</c:v>
                </c:pt>
                <c:pt idx="240">
                  <c:v>0.91849976263690281</c:v>
                </c:pt>
                <c:pt idx="241">
                  <c:v>0.91548580284233538</c:v>
                </c:pt>
                <c:pt idx="242">
                  <c:v>0.91374448851461987</c:v>
                </c:pt>
                <c:pt idx="243">
                  <c:v>0.9233014205913046</c:v>
                </c:pt>
                <c:pt idx="244">
                  <c:v>0.91276556706320611</c:v>
                </c:pt>
                <c:pt idx="245">
                  <c:v>0.90607878761721516</c:v>
                </c:pt>
                <c:pt idx="246">
                  <c:v>0.89017474244096972</c:v>
                </c:pt>
                <c:pt idx="247">
                  <c:v>0.88823441269616388</c:v>
                </c:pt>
                <c:pt idx="248">
                  <c:v>0.90554245133817424</c:v>
                </c:pt>
                <c:pt idx="249">
                  <c:v>0.92033976630218972</c:v>
                </c:pt>
                <c:pt idx="250">
                  <c:v>0.92843877112669759</c:v>
                </c:pt>
                <c:pt idx="251">
                  <c:v>0.93433950680883338</c:v>
                </c:pt>
                <c:pt idx="252">
                  <c:v>0.93912097584118548</c:v>
                </c:pt>
                <c:pt idx="253">
                  <c:v>0.94578476547260215</c:v>
                </c:pt>
                <c:pt idx="254">
                  <c:v>0.9580644803693229</c:v>
                </c:pt>
                <c:pt idx="255">
                  <c:v>0.9658166080518773</c:v>
                </c:pt>
                <c:pt idx="256">
                  <c:v>0.97414994334623073</c:v>
                </c:pt>
                <c:pt idx="257">
                  <c:v>0.97124589681157358</c:v>
                </c:pt>
                <c:pt idx="258">
                  <c:v>0.96967464564888095</c:v>
                </c:pt>
                <c:pt idx="259">
                  <c:v>0.96290572940940367</c:v>
                </c:pt>
                <c:pt idx="260">
                  <c:v>0.95124438888305984</c:v>
                </c:pt>
                <c:pt idx="261">
                  <c:v>0.91123896235522706</c:v>
                </c:pt>
                <c:pt idx="262">
                  <c:v>0.84971837838802677</c:v>
                </c:pt>
                <c:pt idx="263">
                  <c:v>0.81549866622145706</c:v>
                </c:pt>
                <c:pt idx="264">
                  <c:v>0.8275660295252294</c:v>
                </c:pt>
                <c:pt idx="265">
                  <c:v>0.87403704848425823</c:v>
                </c:pt>
                <c:pt idx="266">
                  <c:v>0.88810614565291901</c:v>
                </c:pt>
                <c:pt idx="267">
                  <c:v>0.8854286900267957</c:v>
                </c:pt>
                <c:pt idx="268">
                  <c:v>0.87487308746473891</c:v>
                </c:pt>
                <c:pt idx="269">
                  <c:v>0.84828493412863393</c:v>
                </c:pt>
                <c:pt idx="270">
                  <c:v>0.82458793221971249</c:v>
                </c:pt>
                <c:pt idx="271">
                  <c:v>0.8020201077150293</c:v>
                </c:pt>
                <c:pt idx="272">
                  <c:v>0.79538784030024134</c:v>
                </c:pt>
                <c:pt idx="273">
                  <c:v>0.79581697804580065</c:v>
                </c:pt>
                <c:pt idx="274">
                  <c:v>0.80121221375053886</c:v>
                </c:pt>
                <c:pt idx="275">
                  <c:v>0.8197017243859589</c:v>
                </c:pt>
                <c:pt idx="276">
                  <c:v>0.85359392499593401</c:v>
                </c:pt>
                <c:pt idx="277">
                  <c:v>0.88751530104088805</c:v>
                </c:pt>
                <c:pt idx="278">
                  <c:v>0.89895732292872033</c:v>
                </c:pt>
                <c:pt idx="279">
                  <c:v>0.88588915717542849</c:v>
                </c:pt>
                <c:pt idx="280">
                  <c:v>0.84508481162956062</c:v>
                </c:pt>
                <c:pt idx="281">
                  <c:v>0.77463519471868414</c:v>
                </c:pt>
                <c:pt idx="282">
                  <c:v>0.69243442859234627</c:v>
                </c:pt>
                <c:pt idx="283">
                  <c:v>0.64301366323810494</c:v>
                </c:pt>
                <c:pt idx="284">
                  <c:v>0.65787338497511549</c:v>
                </c:pt>
                <c:pt idx="285">
                  <c:v>0.71981234465341004</c:v>
                </c:pt>
                <c:pt idx="286">
                  <c:v>0.78460705850135293</c:v>
                </c:pt>
                <c:pt idx="287">
                  <c:v>0.82288537121426131</c:v>
                </c:pt>
                <c:pt idx="288">
                  <c:v>0.84338331982889547</c:v>
                </c:pt>
                <c:pt idx="289">
                  <c:v>0.86801445816592326</c:v>
                </c:pt>
                <c:pt idx="290">
                  <c:v>0.8942771765691484</c:v>
                </c:pt>
                <c:pt idx="291">
                  <c:v>0.90497617431855981</c:v>
                </c:pt>
                <c:pt idx="292">
                  <c:v>0.89840864573349499</c:v>
                </c:pt>
                <c:pt idx="293">
                  <c:v>0.88456345676536774</c:v>
                </c:pt>
                <c:pt idx="294">
                  <c:v>0.86918629500434108</c:v>
                </c:pt>
                <c:pt idx="295">
                  <c:v>0.87205862441223447</c:v>
                </c:pt>
                <c:pt idx="296">
                  <c:v>0.87762819435807049</c:v>
                </c:pt>
                <c:pt idx="297">
                  <c:v>0.8777222106185536</c:v>
                </c:pt>
                <c:pt idx="298">
                  <c:v>0.88367793599947564</c:v>
                </c:pt>
                <c:pt idx="299">
                  <c:v>0.89023769545731568</c:v>
                </c:pt>
                <c:pt idx="300">
                  <c:v>0.89779541747679603</c:v>
                </c:pt>
                <c:pt idx="301">
                  <c:v>0.90215002950981593</c:v>
                </c:pt>
                <c:pt idx="302">
                  <c:v>0.89929031336859688</c:v>
                </c:pt>
                <c:pt idx="303">
                  <c:v>0.88994671421979032</c:v>
                </c:pt>
                <c:pt idx="304">
                  <c:v>0.88731443326373094</c:v>
                </c:pt>
                <c:pt idx="305">
                  <c:v>0.86950633616411033</c:v>
                </c:pt>
                <c:pt idx="306">
                  <c:v>0.83393881532825909</c:v>
                </c:pt>
                <c:pt idx="307">
                  <c:v>0.77485223271874348</c:v>
                </c:pt>
                <c:pt idx="308">
                  <c:v>0.71101518583681278</c:v>
                </c:pt>
                <c:pt idx="309">
                  <c:v>0.66868520028932799</c:v>
                </c:pt>
                <c:pt idx="310">
                  <c:v>0.65992153093170247</c:v>
                </c:pt>
                <c:pt idx="311">
                  <c:v>0.6827003681201701</c:v>
                </c:pt>
                <c:pt idx="312">
                  <c:v>0.69878580025282067</c:v>
                </c:pt>
                <c:pt idx="313">
                  <c:v>0.7011008069430803</c:v>
                </c:pt>
                <c:pt idx="314">
                  <c:v>0.70857602327051028</c:v>
                </c:pt>
                <c:pt idx="315">
                  <c:v>0.74518396349714455</c:v>
                </c:pt>
                <c:pt idx="316">
                  <c:v>0.80319048991390207</c:v>
                </c:pt>
                <c:pt idx="317">
                  <c:v>0.84790689179585388</c:v>
                </c:pt>
                <c:pt idx="318">
                  <c:v>0.87197003993161837</c:v>
                </c:pt>
                <c:pt idx="319">
                  <c:v>0.88315551675393189</c:v>
                </c:pt>
                <c:pt idx="320">
                  <c:v>0.88936190195830012</c:v>
                </c:pt>
                <c:pt idx="321">
                  <c:v>0.88648576695319381</c:v>
                </c:pt>
                <c:pt idx="322">
                  <c:v>0.88226749068293164</c:v>
                </c:pt>
                <c:pt idx="323">
                  <c:v>0.88131275517756713</c:v>
                </c:pt>
                <c:pt idx="324">
                  <c:v>0.87820124684337586</c:v>
                </c:pt>
                <c:pt idx="325">
                  <c:v>0.88329947170085255</c:v>
                </c:pt>
                <c:pt idx="326">
                  <c:v>0.8903010994781313</c:v>
                </c:pt>
                <c:pt idx="327">
                  <c:v>0.89870819761417586</c:v>
                </c:pt>
                <c:pt idx="328">
                  <c:v>0.90297552706084405</c:v>
                </c:pt>
                <c:pt idx="329">
                  <c:v>0.91256639726616628</c:v>
                </c:pt>
                <c:pt idx="330">
                  <c:v>0.9331838845503192</c:v>
                </c:pt>
                <c:pt idx="331">
                  <c:v>0.93820110625572217</c:v>
                </c:pt>
                <c:pt idx="332">
                  <c:v>0.93659178382510022</c:v>
                </c:pt>
                <c:pt idx="333">
                  <c:v>0.92315800807431336</c:v>
                </c:pt>
                <c:pt idx="334">
                  <c:v>0.91332919108073307</c:v>
                </c:pt>
                <c:pt idx="335">
                  <c:v>0.90147355210754077</c:v>
                </c:pt>
                <c:pt idx="336">
                  <c:v>0.89131928436552232</c:v>
                </c:pt>
                <c:pt idx="337">
                  <c:v>0.88468951583793742</c:v>
                </c:pt>
                <c:pt idx="338">
                  <c:v>0.88378921749911654</c:v>
                </c:pt>
                <c:pt idx="339">
                  <c:v>0.88794194313620789</c:v>
                </c:pt>
                <c:pt idx="340">
                  <c:v>0.89969807302176485</c:v>
                </c:pt>
                <c:pt idx="341">
                  <c:v>0.91476999638170264</c:v>
                </c:pt>
                <c:pt idx="342">
                  <c:v>0.92138651629040103</c:v>
                </c:pt>
                <c:pt idx="343">
                  <c:v>0.92351683936263829</c:v>
                </c:pt>
                <c:pt idx="344">
                  <c:v>0.92400178091063889</c:v>
                </c:pt>
                <c:pt idx="345">
                  <c:v>0.93018498281688444</c:v>
                </c:pt>
                <c:pt idx="346">
                  <c:v>0.93199505311773245</c:v>
                </c:pt>
                <c:pt idx="347">
                  <c:v>0.9279031629427853</c:v>
                </c:pt>
                <c:pt idx="348">
                  <c:v>0.93526297236174027</c:v>
                </c:pt>
                <c:pt idx="349">
                  <c:v>0.93480302059191378</c:v>
                </c:pt>
                <c:pt idx="350">
                  <c:v>0.9397474329859421</c:v>
                </c:pt>
                <c:pt idx="351">
                  <c:v>0.92702468162138374</c:v>
                </c:pt>
                <c:pt idx="352">
                  <c:v>0.91884356957825364</c:v>
                </c:pt>
                <c:pt idx="353">
                  <c:v>0.90879352600489205</c:v>
                </c:pt>
                <c:pt idx="354">
                  <c:v>0.89520828106060035</c:v>
                </c:pt>
                <c:pt idx="355">
                  <c:v>0.86443325443648855</c:v>
                </c:pt>
                <c:pt idx="356">
                  <c:v>0.83616002019539459</c:v>
                </c:pt>
                <c:pt idx="357">
                  <c:v>0.81718959937511282</c:v>
                </c:pt>
                <c:pt idx="358">
                  <c:v>0.8046609170919764</c:v>
                </c:pt>
                <c:pt idx="359">
                  <c:v>0.78895620486626239</c:v>
                </c:pt>
                <c:pt idx="360">
                  <c:v>0.7752455120482773</c:v>
                </c:pt>
                <c:pt idx="361">
                  <c:v>0.77495811949416693</c:v>
                </c:pt>
                <c:pt idx="362">
                  <c:v>0.80860472203002276</c:v>
                </c:pt>
                <c:pt idx="363">
                  <c:v>0.85450069435473042</c:v>
                </c:pt>
                <c:pt idx="364">
                  <c:v>0.88931414122693997</c:v>
                </c:pt>
                <c:pt idx="365">
                  <c:v>0.90379888939766584</c:v>
                </c:pt>
                <c:pt idx="366">
                  <c:v>0.90327427865831056</c:v>
                </c:pt>
                <c:pt idx="367">
                  <c:v>0.88949127922586058</c:v>
                </c:pt>
                <c:pt idx="368">
                  <c:v>0.8841107829421162</c:v>
                </c:pt>
                <c:pt idx="369">
                  <c:v>0.89708798380087995</c:v>
                </c:pt>
                <c:pt idx="370">
                  <c:v>0.91598211540417229</c:v>
                </c:pt>
                <c:pt idx="371">
                  <c:v>0.93520167627646489</c:v>
                </c:pt>
                <c:pt idx="372">
                  <c:v>0.95274877038043637</c:v>
                </c:pt>
                <c:pt idx="373">
                  <c:v>0.96549388007535331</c:v>
                </c:pt>
                <c:pt idx="374">
                  <c:v>0.96818117920327662</c:v>
                </c:pt>
                <c:pt idx="375">
                  <c:v>0.96938829712760466</c:v>
                </c:pt>
                <c:pt idx="376">
                  <c:v>0.96355032063903978</c:v>
                </c:pt>
                <c:pt idx="377">
                  <c:v>0.95067837558530766</c:v>
                </c:pt>
                <c:pt idx="378">
                  <c:v>0.94297058671823031</c:v>
                </c:pt>
                <c:pt idx="379">
                  <c:v>0.93245846552884737</c:v>
                </c:pt>
                <c:pt idx="380">
                  <c:v>0.92857721105337554</c:v>
                </c:pt>
                <c:pt idx="381">
                  <c:v>0.91801731428981215</c:v>
                </c:pt>
                <c:pt idx="382">
                  <c:v>0.92566071631171776</c:v>
                </c:pt>
                <c:pt idx="383">
                  <c:v>0.9356257404484053</c:v>
                </c:pt>
                <c:pt idx="384">
                  <c:v>0.95276849971567457</c:v>
                </c:pt>
                <c:pt idx="385">
                  <c:v>0.97355481706345026</c:v>
                </c:pt>
                <c:pt idx="386">
                  <c:v>0.98625271380358936</c:v>
                </c:pt>
                <c:pt idx="387">
                  <c:v>0.986603360505802</c:v>
                </c:pt>
                <c:pt idx="388">
                  <c:v>0.97346446590050417</c:v>
                </c:pt>
                <c:pt idx="389">
                  <c:v>0.94996292697244056</c:v>
                </c:pt>
                <c:pt idx="390">
                  <c:v>0.92259693321174741</c:v>
                </c:pt>
                <c:pt idx="391">
                  <c:v>0.90368279308462618</c:v>
                </c:pt>
                <c:pt idx="392">
                  <c:v>0.89661606367839464</c:v>
                </c:pt>
                <c:pt idx="393">
                  <c:v>0.90342287949833755</c:v>
                </c:pt>
                <c:pt idx="394">
                  <c:v>0.91679572399664577</c:v>
                </c:pt>
                <c:pt idx="395">
                  <c:v>0.91722389749444067</c:v>
                </c:pt>
                <c:pt idx="396">
                  <c:v>0.90612140288476373</c:v>
                </c:pt>
                <c:pt idx="397">
                  <c:v>0.88330137359786065</c:v>
                </c:pt>
                <c:pt idx="398">
                  <c:v>0.86227216982161792</c:v>
                </c:pt>
                <c:pt idx="399">
                  <c:v>0.81307323020543631</c:v>
                </c:pt>
                <c:pt idx="400">
                  <c:v>0.7699326909177463</c:v>
                </c:pt>
                <c:pt idx="401">
                  <c:v>0.72676754806400001</c:v>
                </c:pt>
                <c:pt idx="402">
                  <c:v>0.7008409271192908</c:v>
                </c:pt>
                <c:pt idx="403">
                  <c:v>0.69287334371077991</c:v>
                </c:pt>
                <c:pt idx="404">
                  <c:v>0.7195091510344972</c:v>
                </c:pt>
                <c:pt idx="405">
                  <c:v>0.7464250300598676</c:v>
                </c:pt>
                <c:pt idx="406">
                  <c:v>0.78414821574973925</c:v>
                </c:pt>
                <c:pt idx="407">
                  <c:v>0.81618596934345355</c:v>
                </c:pt>
                <c:pt idx="408">
                  <c:v>0.84812659678259883</c:v>
                </c:pt>
                <c:pt idx="409">
                  <c:v>0.87050578441012116</c:v>
                </c:pt>
                <c:pt idx="410">
                  <c:v>0.89563540525962049</c:v>
                </c:pt>
                <c:pt idx="411">
                  <c:v>0.90314827424194155</c:v>
                </c:pt>
                <c:pt idx="412">
                  <c:v>0.9082587865450128</c:v>
                </c:pt>
                <c:pt idx="413">
                  <c:v>0.90722539863731522</c:v>
                </c:pt>
                <c:pt idx="414">
                  <c:v>0.91465864897804616</c:v>
                </c:pt>
                <c:pt idx="415">
                  <c:v>0.92296265071478523</c:v>
                </c:pt>
                <c:pt idx="416">
                  <c:v>0.92880079306066221</c:v>
                </c:pt>
                <c:pt idx="417">
                  <c:v>0.91756129285538779</c:v>
                </c:pt>
                <c:pt idx="418">
                  <c:v>0.90663643584638465</c:v>
                </c:pt>
                <c:pt idx="419">
                  <c:v>0.89111361808036893</c:v>
                </c:pt>
                <c:pt idx="420">
                  <c:v>0.90271154697724076</c:v>
                </c:pt>
                <c:pt idx="421">
                  <c:v>0.91628342586594713</c:v>
                </c:pt>
                <c:pt idx="422">
                  <c:v>0.93152423231100057</c:v>
                </c:pt>
                <c:pt idx="423">
                  <c:v>0.93063250753237869</c:v>
                </c:pt>
                <c:pt idx="424">
                  <c:v>0.92695678493266698</c:v>
                </c:pt>
                <c:pt idx="425">
                  <c:v>0.90882427402462085</c:v>
                </c:pt>
                <c:pt idx="426">
                  <c:v>0.89195028201140603</c:v>
                </c:pt>
                <c:pt idx="427">
                  <c:v>0.87733874925780431</c:v>
                </c:pt>
                <c:pt idx="428">
                  <c:v>0.87376579905256879</c:v>
                </c:pt>
                <c:pt idx="429">
                  <c:v>0.8778003713910385</c:v>
                </c:pt>
                <c:pt idx="430">
                  <c:v>0.89609468559706207</c:v>
                </c:pt>
                <c:pt idx="431">
                  <c:v>0.91721870980243314</c:v>
                </c:pt>
                <c:pt idx="432">
                  <c:v>0.93330818438134711</c:v>
                </c:pt>
                <c:pt idx="433">
                  <c:v>0.93206573286100747</c:v>
                </c:pt>
                <c:pt idx="434">
                  <c:v>0.92133437576986899</c:v>
                </c:pt>
                <c:pt idx="435">
                  <c:v>0.91435518551178008</c:v>
                </c:pt>
                <c:pt idx="436">
                  <c:v>0.92658358383717287</c:v>
                </c:pt>
                <c:pt idx="437">
                  <c:v>0.93075897125760454</c:v>
                </c:pt>
                <c:pt idx="438">
                  <c:v>0.93493221663288939</c:v>
                </c:pt>
                <c:pt idx="439">
                  <c:v>0.94720711492930898</c:v>
                </c:pt>
                <c:pt idx="440">
                  <c:v>0.96744005550541623</c:v>
                </c:pt>
                <c:pt idx="441">
                  <c:v>0.99275545217489369</c:v>
                </c:pt>
                <c:pt idx="442">
                  <c:v>1.0167188143113934</c:v>
                </c:pt>
                <c:pt idx="443">
                  <c:v>1.0294440260551154</c:v>
                </c:pt>
                <c:pt idx="444">
                  <c:v>1.0143391105101291</c:v>
                </c:pt>
                <c:pt idx="445">
                  <c:v>0.98121869566959208</c:v>
                </c:pt>
                <c:pt idx="446">
                  <c:v>0.93771959215511858</c:v>
                </c:pt>
                <c:pt idx="447">
                  <c:v>0.87933414457236614</c:v>
                </c:pt>
                <c:pt idx="448">
                  <c:v>0.80671170403955395</c:v>
                </c:pt>
                <c:pt idx="449">
                  <c:v>0.73265543943312628</c:v>
                </c:pt>
                <c:pt idx="450">
                  <c:v>0.69278707986407428</c:v>
                </c:pt>
                <c:pt idx="451">
                  <c:v>0.69237415823722637</c:v>
                </c:pt>
                <c:pt idx="452">
                  <c:v>0.70612633326582563</c:v>
                </c:pt>
                <c:pt idx="453">
                  <c:v>0.72875462861776319</c:v>
                </c:pt>
                <c:pt idx="454">
                  <c:v>0.77244533942038696</c:v>
                </c:pt>
                <c:pt idx="455">
                  <c:v>0.83455616302788682</c:v>
                </c:pt>
                <c:pt idx="456">
                  <c:v>0.87668244614378354</c:v>
                </c:pt>
                <c:pt idx="457">
                  <c:v>0.90613105287825424</c:v>
                </c:pt>
                <c:pt idx="458">
                  <c:v>0.923049468574627</c:v>
                </c:pt>
                <c:pt idx="459">
                  <c:v>0.92159763289798369</c:v>
                </c:pt>
                <c:pt idx="460">
                  <c:v>0.90930292557094827</c:v>
                </c:pt>
                <c:pt idx="461">
                  <c:v>0.89077225863012366</c:v>
                </c:pt>
                <c:pt idx="462">
                  <c:v>0.86472421511820274</c:v>
                </c:pt>
                <c:pt idx="463">
                  <c:v>0.82495819884542132</c:v>
                </c:pt>
                <c:pt idx="464">
                  <c:v>0.78783210382799485</c:v>
                </c:pt>
                <c:pt idx="465">
                  <c:v>0.74641225533027666</c:v>
                </c:pt>
                <c:pt idx="466">
                  <c:v>0.74042305738356518</c:v>
                </c:pt>
                <c:pt idx="467">
                  <c:v>0.74822415151623667</c:v>
                </c:pt>
                <c:pt idx="468">
                  <c:v>0.78209599864011781</c:v>
                </c:pt>
                <c:pt idx="469">
                  <c:v>0.81660292259197143</c:v>
                </c:pt>
                <c:pt idx="470">
                  <c:v>0.83573527190604968</c:v>
                </c:pt>
                <c:pt idx="471">
                  <c:v>0.85083760934449415</c:v>
                </c:pt>
                <c:pt idx="472">
                  <c:v>0.87264519902463178</c:v>
                </c:pt>
                <c:pt idx="473">
                  <c:v>0.89460281535686181</c:v>
                </c:pt>
                <c:pt idx="474">
                  <c:v>0.89651449225574043</c:v>
                </c:pt>
                <c:pt idx="475">
                  <c:v>0.88441921127760992</c:v>
                </c:pt>
                <c:pt idx="476">
                  <c:v>0.85695161540395348</c:v>
                </c:pt>
                <c:pt idx="477">
                  <c:v>0.83568227230705838</c:v>
                </c:pt>
                <c:pt idx="478">
                  <c:v>0.83614020460842553</c:v>
                </c:pt>
                <c:pt idx="479">
                  <c:v>0.85754704944392468</c:v>
                </c:pt>
                <c:pt idx="480">
                  <c:v>0.89055922196201931</c:v>
                </c:pt>
                <c:pt idx="481">
                  <c:v>0.91780788192884089</c:v>
                </c:pt>
                <c:pt idx="482">
                  <c:v>0.93123066480074312</c:v>
                </c:pt>
                <c:pt idx="483">
                  <c:v>0.94589164369373502</c:v>
                </c:pt>
                <c:pt idx="484">
                  <c:v>0.95638151017389961</c:v>
                </c:pt>
                <c:pt idx="485">
                  <c:v>0.95421847292259521</c:v>
                </c:pt>
                <c:pt idx="486">
                  <c:v>0.95192754836344184</c:v>
                </c:pt>
                <c:pt idx="487">
                  <c:v>0.94017715746686126</c:v>
                </c:pt>
                <c:pt idx="488">
                  <c:v>0.94650428283584909</c:v>
                </c:pt>
                <c:pt idx="489">
                  <c:v>0.96133619296938089</c:v>
                </c:pt>
                <c:pt idx="490">
                  <c:v>0.97697759197166034</c:v>
                </c:pt>
                <c:pt idx="491">
                  <c:v>0.99663225505118835</c:v>
                </c:pt>
                <c:pt idx="492">
                  <c:v>1.01356252656909</c:v>
                </c:pt>
                <c:pt idx="493">
                  <c:v>1.0123474402729082</c:v>
                </c:pt>
                <c:pt idx="494">
                  <c:v>1.0053202386084399</c:v>
                </c:pt>
                <c:pt idx="495">
                  <c:v>0.99464188705524992</c:v>
                </c:pt>
                <c:pt idx="496">
                  <c:v>0.99507171640308811</c:v>
                </c:pt>
                <c:pt idx="497">
                  <c:v>1.0003656645936663</c:v>
                </c:pt>
                <c:pt idx="498">
                  <c:v>0.99893729551827914</c:v>
                </c:pt>
                <c:pt idx="499">
                  <c:v>0.98694453696202111</c:v>
                </c:pt>
                <c:pt idx="500">
                  <c:v>0.96935320367203137</c:v>
                </c:pt>
                <c:pt idx="501">
                  <c:v>0.95193762042522878</c:v>
                </c:pt>
                <c:pt idx="502">
                  <c:v>0.9418333745881301</c:v>
                </c:pt>
                <c:pt idx="503">
                  <c:v>0.92906604404743043</c:v>
                </c:pt>
                <c:pt idx="504">
                  <c:v>0.91373572775864276</c:v>
                </c:pt>
                <c:pt idx="505">
                  <c:v>0.90342971976658459</c:v>
                </c:pt>
                <c:pt idx="506">
                  <c:v>0.90292729555843054</c:v>
                </c:pt>
                <c:pt idx="507">
                  <c:v>0.91758762075405165</c:v>
                </c:pt>
                <c:pt idx="508">
                  <c:v>0.93119999564800338</c:v>
                </c:pt>
                <c:pt idx="509">
                  <c:v>0.94080662253749869</c:v>
                </c:pt>
                <c:pt idx="510">
                  <c:v>0.93844745285897124</c:v>
                </c:pt>
                <c:pt idx="511">
                  <c:v>0.92393814254828288</c:v>
                </c:pt>
                <c:pt idx="512">
                  <c:v>0.9175604659839941</c:v>
                </c:pt>
                <c:pt idx="513">
                  <c:v>0.91463066528473302</c:v>
                </c:pt>
                <c:pt idx="514">
                  <c:v>0.91644439936775501</c:v>
                </c:pt>
                <c:pt idx="515">
                  <c:v>0.91887545392171832</c:v>
                </c:pt>
                <c:pt idx="516">
                  <c:v>0.91244838793973593</c:v>
                </c:pt>
                <c:pt idx="517">
                  <c:v>0.88711459118157066</c:v>
                </c:pt>
                <c:pt idx="518">
                  <c:v>0.83312852845056373</c:v>
                </c:pt>
                <c:pt idx="519">
                  <c:v>0.77628877475968339</c:v>
                </c:pt>
                <c:pt idx="520">
                  <c:v>0.73769763689813583</c:v>
                </c:pt>
                <c:pt idx="521">
                  <c:v>0.74468793771055797</c:v>
                </c:pt>
                <c:pt idx="522">
                  <c:v>0.7783362272505413</c:v>
                </c:pt>
                <c:pt idx="523">
                  <c:v>0.8210355352068206</c:v>
                </c:pt>
                <c:pt idx="524">
                  <c:v>0.85445351542928449</c:v>
                </c:pt>
                <c:pt idx="525">
                  <c:v>0.87675288506986704</c:v>
                </c:pt>
                <c:pt idx="526">
                  <c:v>0.88920471725382833</c:v>
                </c:pt>
                <c:pt idx="527">
                  <c:v>0.90776592317543625</c:v>
                </c:pt>
                <c:pt idx="528">
                  <c:v>0.93265817065913326</c:v>
                </c:pt>
                <c:pt idx="529">
                  <c:v>0.96277727125350987</c:v>
                </c:pt>
                <c:pt idx="530">
                  <c:v>0.97937043870254903</c:v>
                </c:pt>
                <c:pt idx="531">
                  <c:v>0.99734655023535379</c:v>
                </c:pt>
                <c:pt idx="532">
                  <c:v>1.0036840557944853</c:v>
                </c:pt>
                <c:pt idx="533">
                  <c:v>1.0039799432614933</c:v>
                </c:pt>
                <c:pt idx="534">
                  <c:v>0.99894923350525289</c:v>
                </c:pt>
                <c:pt idx="535">
                  <c:v>0.99537572991599665</c:v>
                </c:pt>
                <c:pt idx="536">
                  <c:v>1.004167936073834</c:v>
                </c:pt>
                <c:pt idx="537">
                  <c:v>1.0156683177738697</c:v>
                </c:pt>
                <c:pt idx="538">
                  <c:v>1.0193900601537216</c:v>
                </c:pt>
                <c:pt idx="539">
                  <c:v>1.0169837733722529</c:v>
                </c:pt>
                <c:pt idx="540">
                  <c:v>1.0037782346921451</c:v>
                </c:pt>
                <c:pt idx="541">
                  <c:v>0.98638991902249118</c:v>
                </c:pt>
                <c:pt idx="542">
                  <c:v>0.97287933950821348</c:v>
                </c:pt>
                <c:pt idx="543">
                  <c:v>0.97142834668522993</c:v>
                </c:pt>
                <c:pt idx="544">
                  <c:v>0.97629413460452275</c:v>
                </c:pt>
                <c:pt idx="545">
                  <c:v>0.98892173049456189</c:v>
                </c:pt>
                <c:pt idx="546">
                  <c:v>0.99062934213463494</c:v>
                </c:pt>
                <c:pt idx="547">
                  <c:v>1.0045394797886777</c:v>
                </c:pt>
                <c:pt idx="548">
                  <c:v>1.0172222198950085</c:v>
                </c:pt>
                <c:pt idx="549">
                  <c:v>1.0339236993101977</c:v>
                </c:pt>
                <c:pt idx="550">
                  <c:v>1.0483034020692124</c:v>
                </c:pt>
                <c:pt idx="551">
                  <c:v>1.0539298696325698</c:v>
                </c:pt>
                <c:pt idx="552">
                  <c:v>1.0382670506724789</c:v>
                </c:pt>
                <c:pt idx="553">
                  <c:v>1.0114563427297674</c:v>
                </c:pt>
                <c:pt idx="554">
                  <c:v>0.97443692107630575</c:v>
                </c:pt>
                <c:pt idx="555">
                  <c:v>0.93303203009211622</c:v>
                </c:pt>
                <c:pt idx="556">
                  <c:v>0.90600891922296767</c:v>
                </c:pt>
                <c:pt idx="557">
                  <c:v>0.89014601337044463</c:v>
                </c:pt>
                <c:pt idx="558">
                  <c:v>0.88055437432099171</c:v>
                </c:pt>
                <c:pt idx="559">
                  <c:v>0.87732645963135802</c:v>
                </c:pt>
                <c:pt idx="560">
                  <c:v>0.88077946375645444</c:v>
                </c:pt>
                <c:pt idx="561">
                  <c:v>0.88911186683249166</c:v>
                </c:pt>
                <c:pt idx="562">
                  <c:v>0.91541468866295139</c:v>
                </c:pt>
                <c:pt idx="563">
                  <c:v>0.93635060885532451</c:v>
                </c:pt>
                <c:pt idx="564">
                  <c:v>0.951473739508225</c:v>
                </c:pt>
                <c:pt idx="565">
                  <c:v>0.95379529815962238</c:v>
                </c:pt>
                <c:pt idx="566">
                  <c:v>0.95566888926902094</c:v>
                </c:pt>
                <c:pt idx="567">
                  <c:v>0.95561990761425475</c:v>
                </c:pt>
                <c:pt idx="568">
                  <c:v>0.95977222016665054</c:v>
                </c:pt>
                <c:pt idx="569">
                  <c:v>0.95898909146086064</c:v>
                </c:pt>
                <c:pt idx="570">
                  <c:v>0.94689626035905894</c:v>
                </c:pt>
                <c:pt idx="571">
                  <c:v>0.92446092402696312</c:v>
                </c:pt>
                <c:pt idx="572">
                  <c:v>0.89879992648338114</c:v>
                </c:pt>
                <c:pt idx="573">
                  <c:v>0.87869051146838684</c:v>
                </c:pt>
                <c:pt idx="574">
                  <c:v>0.85878190057664439</c:v>
                </c:pt>
                <c:pt idx="575">
                  <c:v>0.82719550614905979</c:v>
                </c:pt>
                <c:pt idx="576">
                  <c:v>0.78390506734165077</c:v>
                </c:pt>
                <c:pt idx="577">
                  <c:v>0.72990841015153296</c:v>
                </c:pt>
                <c:pt idx="578">
                  <c:v>0.68121116739363208</c:v>
                </c:pt>
                <c:pt idx="579">
                  <c:v>0.67124638793048341</c:v>
                </c:pt>
                <c:pt idx="580">
                  <c:v>0.68924627886815359</c:v>
                </c:pt>
                <c:pt idx="581">
                  <c:v>0.72480213448409114</c:v>
                </c:pt>
                <c:pt idx="582">
                  <c:v>0.77656267641745891</c:v>
                </c:pt>
                <c:pt idx="583">
                  <c:v>0.81343989627392865</c:v>
                </c:pt>
                <c:pt idx="584">
                  <c:v>0.84711037226727881</c:v>
                </c:pt>
                <c:pt idx="585">
                  <c:v>0.8683694175193285</c:v>
                </c:pt>
                <c:pt idx="586">
                  <c:v>0.8860122084008295</c:v>
                </c:pt>
                <c:pt idx="587">
                  <c:v>0.89745192373799298</c:v>
                </c:pt>
                <c:pt idx="588">
                  <c:v>0.91125462007775793</c:v>
                </c:pt>
                <c:pt idx="589">
                  <c:v>0.92138118874007457</c:v>
                </c:pt>
                <c:pt idx="590">
                  <c:v>0.92368058494041883</c:v>
                </c:pt>
                <c:pt idx="591">
                  <c:v>0.92543823103992096</c:v>
                </c:pt>
                <c:pt idx="592">
                  <c:v>0.910207900270259</c:v>
                </c:pt>
                <c:pt idx="593">
                  <c:v>0.89242903541509899</c:v>
                </c:pt>
                <c:pt idx="594">
                  <c:v>0.88037149647352397</c:v>
                </c:pt>
                <c:pt idx="595">
                  <c:v>0.87598022273504317</c:v>
                </c:pt>
                <c:pt idx="596">
                  <c:v>0.87408146238518114</c:v>
                </c:pt>
                <c:pt idx="597">
                  <c:v>0.87984436632406471</c:v>
                </c:pt>
                <c:pt idx="598">
                  <c:v>0.88040623052338862</c:v>
                </c:pt>
                <c:pt idx="599">
                  <c:v>0.88183121025325018</c:v>
                </c:pt>
                <c:pt idx="600">
                  <c:v>0.89404073642942472</c:v>
                </c:pt>
                <c:pt idx="601">
                  <c:v>0.88659943726146562</c:v>
                </c:pt>
                <c:pt idx="602">
                  <c:v>0.88027799284788488</c:v>
                </c:pt>
                <c:pt idx="603">
                  <c:v>0.86831494302294265</c:v>
                </c:pt>
                <c:pt idx="604">
                  <c:v>0.84934093594954074</c:v>
                </c:pt>
                <c:pt idx="605">
                  <c:v>0.82960758623832631</c:v>
                </c:pt>
                <c:pt idx="606">
                  <c:v>0.79945499496472761</c:v>
                </c:pt>
                <c:pt idx="607">
                  <c:v>0.73736870393655995</c:v>
                </c:pt>
                <c:pt idx="608">
                  <c:v>0.66337565727248782</c:v>
                </c:pt>
                <c:pt idx="609">
                  <c:v>0.59736686452621424</c:v>
                </c:pt>
                <c:pt idx="610">
                  <c:v>0.56340009884785702</c:v>
                </c:pt>
                <c:pt idx="611">
                  <c:v>0.56579935538698256</c:v>
                </c:pt>
                <c:pt idx="612">
                  <c:v>0.62293863490460932</c:v>
                </c:pt>
                <c:pt idx="613">
                  <c:v>0.69048650000303957</c:v>
                </c:pt>
                <c:pt idx="614">
                  <c:v>0.75923397638344992</c:v>
                </c:pt>
                <c:pt idx="615">
                  <c:v>0.81844649724151997</c:v>
                </c:pt>
                <c:pt idx="616">
                  <c:v>0.85427182997405893</c:v>
                </c:pt>
                <c:pt idx="617">
                  <c:v>0.86146129721579445</c:v>
                </c:pt>
                <c:pt idx="618">
                  <c:v>0.85451190572866609</c:v>
                </c:pt>
                <c:pt idx="619">
                  <c:v>0.84154706498294707</c:v>
                </c:pt>
                <c:pt idx="620">
                  <c:v>0.83855208531724768</c:v>
                </c:pt>
                <c:pt idx="621">
                  <c:v>0.83775611828626473</c:v>
                </c:pt>
                <c:pt idx="622">
                  <c:v>0.82152165113617115</c:v>
                </c:pt>
                <c:pt idx="623">
                  <c:v>0.80936592297404497</c:v>
                </c:pt>
                <c:pt idx="624">
                  <c:v>0.78944675726556923</c:v>
                </c:pt>
                <c:pt idx="625">
                  <c:v>0.78700612688595495</c:v>
                </c:pt>
                <c:pt idx="626">
                  <c:v>0.78902322399041824</c:v>
                </c:pt>
                <c:pt idx="627">
                  <c:v>0.79155088702747523</c:v>
                </c:pt>
                <c:pt idx="628">
                  <c:v>0.77667267404767737</c:v>
                </c:pt>
                <c:pt idx="629">
                  <c:v>0.76609371650339042</c:v>
                </c:pt>
                <c:pt idx="630">
                  <c:v>0.77664559571331804</c:v>
                </c:pt>
                <c:pt idx="631">
                  <c:v>0.80953380841394396</c:v>
                </c:pt>
                <c:pt idx="632">
                  <c:v>0.83367076717695332</c:v>
                </c:pt>
                <c:pt idx="633">
                  <c:v>0.86754208460852411</c:v>
                </c:pt>
                <c:pt idx="634">
                  <c:v>0.89336319986617307</c:v>
                </c:pt>
                <c:pt idx="635">
                  <c:v>0.91845202836461026</c:v>
                </c:pt>
                <c:pt idx="636">
                  <c:v>0.93988233463053161</c:v>
                </c:pt>
                <c:pt idx="637">
                  <c:v>0.9441998036773297</c:v>
                </c:pt>
                <c:pt idx="638">
                  <c:v>0.953926074745163</c:v>
                </c:pt>
                <c:pt idx="639">
                  <c:v>0.95382554722736546</c:v>
                </c:pt>
                <c:pt idx="640">
                  <c:v>0.95344076717659632</c:v>
                </c:pt>
                <c:pt idx="641">
                  <c:v>0.95064092445942372</c:v>
                </c:pt>
                <c:pt idx="642">
                  <c:v>0.941387328927343</c:v>
                </c:pt>
                <c:pt idx="643">
                  <c:v>0.91133803723914208</c:v>
                </c:pt>
                <c:pt idx="644">
                  <c:v>0.87887555414651086</c:v>
                </c:pt>
                <c:pt idx="645">
                  <c:v>0.83783071126184527</c:v>
                </c:pt>
                <c:pt idx="646">
                  <c:v>0.81548754287303982</c:v>
                </c:pt>
                <c:pt idx="647">
                  <c:v>0.80500790410477219</c:v>
                </c:pt>
                <c:pt idx="648">
                  <c:v>0.80756746275675217</c:v>
                </c:pt>
                <c:pt idx="649">
                  <c:v>0.8204944920755608</c:v>
                </c:pt>
                <c:pt idx="650">
                  <c:v>0.82731783775021295</c:v>
                </c:pt>
                <c:pt idx="651">
                  <c:v>0.82396791273046066</c:v>
                </c:pt>
                <c:pt idx="652">
                  <c:v>0.82052440747748401</c:v>
                </c:pt>
                <c:pt idx="653">
                  <c:v>0.82286948587156461</c:v>
                </c:pt>
                <c:pt idx="654">
                  <c:v>0.82629728821048509</c:v>
                </c:pt>
                <c:pt idx="655">
                  <c:v>0.83777095516016287</c:v>
                </c:pt>
                <c:pt idx="656">
                  <c:v>0.85474682588713968</c:v>
                </c:pt>
                <c:pt idx="657">
                  <c:v>0.87213774951417511</c:v>
                </c:pt>
                <c:pt idx="658">
                  <c:v>0.88428431343174507</c:v>
                </c:pt>
                <c:pt idx="659">
                  <c:v>0.88873835207187235</c:v>
                </c:pt>
                <c:pt idx="660">
                  <c:v>0.87926793949430293</c:v>
                </c:pt>
                <c:pt idx="661">
                  <c:v>0.8681458858260247</c:v>
                </c:pt>
                <c:pt idx="662">
                  <c:v>0.85807473338389195</c:v>
                </c:pt>
                <c:pt idx="663">
                  <c:v>0.83550925945153265</c:v>
                </c:pt>
                <c:pt idx="664">
                  <c:v>0.80369215092853641</c:v>
                </c:pt>
                <c:pt idx="665">
                  <c:v>0.75546847250937543</c:v>
                </c:pt>
                <c:pt idx="666">
                  <c:v>0.70120320404729997</c:v>
                </c:pt>
                <c:pt idx="667">
                  <c:v>0.64989461355973499</c:v>
                </c:pt>
                <c:pt idx="668">
                  <c:v>0.62078097682764077</c:v>
                </c:pt>
                <c:pt idx="669">
                  <c:v>0.61802934990241831</c:v>
                </c:pt>
                <c:pt idx="670">
                  <c:v>0.63458187808071864</c:v>
                </c:pt>
                <c:pt idx="671">
                  <c:v>0.66338024066582391</c:v>
                </c:pt>
                <c:pt idx="672">
                  <c:v>0.69214989019790507</c:v>
                </c:pt>
                <c:pt idx="673">
                  <c:v>0.74604761235014161</c:v>
                </c:pt>
                <c:pt idx="674">
                  <c:v>0.80573897412001116</c:v>
                </c:pt>
                <c:pt idx="675">
                  <c:v>0.84587571915289639</c:v>
                </c:pt>
                <c:pt idx="676">
                  <c:v>0.87418506018639708</c:v>
                </c:pt>
                <c:pt idx="677">
                  <c:v>0.88468582701994913</c:v>
                </c:pt>
                <c:pt idx="678">
                  <c:v>0.88097039675319289</c:v>
                </c:pt>
                <c:pt idx="679">
                  <c:v>0.8777972892639051</c:v>
                </c:pt>
                <c:pt idx="680">
                  <c:v>0.86893127506697887</c:v>
                </c:pt>
                <c:pt idx="681">
                  <c:v>0.86922874163621111</c:v>
                </c:pt>
                <c:pt idx="682">
                  <c:v>0.85807435821086975</c:v>
                </c:pt>
                <c:pt idx="683">
                  <c:v>0.8525841468806018</c:v>
                </c:pt>
                <c:pt idx="684">
                  <c:v>0.84699968007209447</c:v>
                </c:pt>
                <c:pt idx="685">
                  <c:v>0.85093091161166967</c:v>
                </c:pt>
                <c:pt idx="686">
                  <c:v>0.86765730099310312</c:v>
                </c:pt>
                <c:pt idx="687">
                  <c:v>0.87999570753251455</c:v>
                </c:pt>
                <c:pt idx="688">
                  <c:v>0.88966405739516397</c:v>
                </c:pt>
                <c:pt idx="689">
                  <c:v>0.87963324693820644</c:v>
                </c:pt>
                <c:pt idx="690">
                  <c:v>0.86384145719715133</c:v>
                </c:pt>
                <c:pt idx="691">
                  <c:v>0.84852680567675554</c:v>
                </c:pt>
                <c:pt idx="692">
                  <c:v>0.8116269493246917</c:v>
                </c:pt>
                <c:pt idx="693">
                  <c:v>0.76838752709977776</c:v>
                </c:pt>
                <c:pt idx="694">
                  <c:v>0.71406255553006848</c:v>
                </c:pt>
                <c:pt idx="695">
                  <c:v>0.66011273545197369</c:v>
                </c:pt>
                <c:pt idx="696">
                  <c:v>0.62010418414586255</c:v>
                </c:pt>
                <c:pt idx="697">
                  <c:v>0.62149353751960879</c:v>
                </c:pt>
                <c:pt idx="698">
                  <c:v>0.65413059072382007</c:v>
                </c:pt>
                <c:pt idx="699">
                  <c:v>0.71171645498667024</c:v>
                </c:pt>
                <c:pt idx="700">
                  <c:v>0.77530315896906399</c:v>
                </c:pt>
                <c:pt idx="701">
                  <c:v>0.81548603521027663</c:v>
                </c:pt>
                <c:pt idx="702">
                  <c:v>0.84640601232957091</c:v>
                </c:pt>
                <c:pt idx="703">
                  <c:v>0.86777388008665757</c:v>
                </c:pt>
                <c:pt idx="704">
                  <c:v>0.86731741680733965</c:v>
                </c:pt>
                <c:pt idx="705">
                  <c:v>0.87530886345037207</c:v>
                </c:pt>
                <c:pt idx="706">
                  <c:v>0.88263440518846215</c:v>
                </c:pt>
                <c:pt idx="707">
                  <c:v>0.87048533090239177</c:v>
                </c:pt>
                <c:pt idx="708">
                  <c:v>0.86570034926726691</c:v>
                </c:pt>
                <c:pt idx="709">
                  <c:v>0.85233889847988931</c:v>
                </c:pt>
                <c:pt idx="710">
                  <c:v>0.82976030229474307</c:v>
                </c:pt>
                <c:pt idx="711">
                  <c:v>0.79907759648693488</c:v>
                </c:pt>
                <c:pt idx="712">
                  <c:v>0.7516757439863393</c:v>
                </c:pt>
                <c:pt idx="713">
                  <c:v>0.69211040628962006</c:v>
                </c:pt>
                <c:pt idx="714">
                  <c:v>0.61240086707942643</c:v>
                </c:pt>
                <c:pt idx="715">
                  <c:v>0.55255210851672454</c:v>
                </c:pt>
                <c:pt idx="716">
                  <c:v>0.52581450003738828</c:v>
                </c:pt>
                <c:pt idx="717">
                  <c:v>0.53765783126058209</c:v>
                </c:pt>
                <c:pt idx="718">
                  <c:v>0.59432120374333952</c:v>
                </c:pt>
                <c:pt idx="719">
                  <c:v>0.66942082224031196</c:v>
                </c:pt>
                <c:pt idx="720">
                  <c:v>0.74201925658412993</c:v>
                </c:pt>
                <c:pt idx="721">
                  <c:v>0.7922537490187308</c:v>
                </c:pt>
                <c:pt idx="722">
                  <c:v>0.83595643832609157</c:v>
                </c:pt>
                <c:pt idx="723">
                  <c:v>0.86830173295369606</c:v>
                </c:pt>
                <c:pt idx="724">
                  <c:v>0.88078742628065909</c:v>
                </c:pt>
                <c:pt idx="725">
                  <c:v>0.88519500880515389</c:v>
                </c:pt>
                <c:pt idx="726">
                  <c:v>0.88462070757245437</c:v>
                </c:pt>
                <c:pt idx="727">
                  <c:v>0.87839118310169406</c:v>
                </c:pt>
                <c:pt idx="728">
                  <c:v>0.86522529643377166</c:v>
                </c:pt>
                <c:pt idx="729">
                  <c:v>0.84377711876701444</c:v>
                </c:pt>
                <c:pt idx="730">
                  <c:v>0.82811158731558676</c:v>
                </c:pt>
                <c:pt idx="731">
                  <c:v>0.82747339219377969</c:v>
                </c:pt>
                <c:pt idx="732">
                  <c:v>0.8298113340864125</c:v>
                </c:pt>
                <c:pt idx="733">
                  <c:v>0.83621449588461916</c:v>
                </c:pt>
                <c:pt idx="734">
                  <c:v>0.83823818342963541</c:v>
                </c:pt>
                <c:pt idx="735">
                  <c:v>0.8277841922724154</c:v>
                </c:pt>
                <c:pt idx="736">
                  <c:v>0.80529436579424396</c:v>
                </c:pt>
                <c:pt idx="737">
                  <c:v>0.78673605573814187</c:v>
                </c:pt>
                <c:pt idx="738">
                  <c:v>0.785365989821878</c:v>
                </c:pt>
                <c:pt idx="739">
                  <c:v>0.80558001773407162</c:v>
                </c:pt>
                <c:pt idx="740">
                  <c:v>0.83675629284668207</c:v>
                </c:pt>
                <c:pt idx="741">
                  <c:v>0.86823366047171369</c:v>
                </c:pt>
                <c:pt idx="742">
                  <c:v>0.88678030180629552</c:v>
                </c:pt>
                <c:pt idx="743">
                  <c:v>0.90238739858372807</c:v>
                </c:pt>
                <c:pt idx="744">
                  <c:v>0.90938043349254238</c:v>
                </c:pt>
                <c:pt idx="745">
                  <c:v>0.91977602056604912</c:v>
                </c:pt>
                <c:pt idx="746">
                  <c:v>0.93216535914316723</c:v>
                </c:pt>
                <c:pt idx="747">
                  <c:v>0.94080929774726541</c:v>
                </c:pt>
                <c:pt idx="748">
                  <c:v>0.96110185321789643</c:v>
                </c:pt>
                <c:pt idx="749">
                  <c:v>0.9724856694524644</c:v>
                </c:pt>
                <c:pt idx="750">
                  <c:v>0.96799255467862333</c:v>
                </c:pt>
                <c:pt idx="751">
                  <c:v>0.94953873982015158</c:v>
                </c:pt>
                <c:pt idx="752">
                  <c:v>0.92459521130011113</c:v>
                </c:pt>
                <c:pt idx="753">
                  <c:v>0.88535583887615754</c:v>
                </c:pt>
                <c:pt idx="754">
                  <c:v>0.86148478862903521</c:v>
                </c:pt>
                <c:pt idx="755">
                  <c:v>0.84794848226071451</c:v>
                </c:pt>
                <c:pt idx="756">
                  <c:v>0.8426007571467955</c:v>
                </c:pt>
                <c:pt idx="757">
                  <c:v>0.85531189300356003</c:v>
                </c:pt>
                <c:pt idx="758">
                  <c:v>0.87432988969577519</c:v>
                </c:pt>
                <c:pt idx="759">
                  <c:v>0.883263497474856</c:v>
                </c:pt>
                <c:pt idx="760">
                  <c:v>0.88577188018445263</c:v>
                </c:pt>
                <c:pt idx="761">
                  <c:v>0.88828324212892262</c:v>
                </c:pt>
                <c:pt idx="762">
                  <c:v>0.88883527855946476</c:v>
                </c:pt>
                <c:pt idx="763">
                  <c:v>0.88922856202752576</c:v>
                </c:pt>
                <c:pt idx="764">
                  <c:v>0.88984919212761926</c:v>
                </c:pt>
                <c:pt idx="765">
                  <c:v>0.89868073581017183</c:v>
                </c:pt>
                <c:pt idx="766">
                  <c:v>0.91350720010016384</c:v>
                </c:pt>
                <c:pt idx="767">
                  <c:v>0.93401078587392483</c:v>
                </c:pt>
                <c:pt idx="768">
                  <c:v>0.95191667062099272</c:v>
                </c:pt>
                <c:pt idx="769">
                  <c:v>0.97647067913020114</c:v>
                </c:pt>
                <c:pt idx="770">
                  <c:v>0.99836348484923987</c:v>
                </c:pt>
                <c:pt idx="771">
                  <c:v>1.0139505237353483</c:v>
                </c:pt>
                <c:pt idx="772">
                  <c:v>1.0226791393115677</c:v>
                </c:pt>
                <c:pt idx="773">
                  <c:v>1.0327043213298963</c:v>
                </c:pt>
                <c:pt idx="774">
                  <c:v>1.0470273561808507</c:v>
                </c:pt>
                <c:pt idx="775">
                  <c:v>1.0399976891823981</c:v>
                </c:pt>
                <c:pt idx="776">
                  <c:v>1.0268340021848585</c:v>
                </c:pt>
                <c:pt idx="777">
                  <c:v>0.99581193221904907</c:v>
                </c:pt>
                <c:pt idx="778">
                  <c:v>0.94604565001701857</c:v>
                </c:pt>
                <c:pt idx="779">
                  <c:v>0.87564681251067855</c:v>
                </c:pt>
                <c:pt idx="780">
                  <c:v>0.7864728919082612</c:v>
                </c:pt>
                <c:pt idx="781">
                  <c:v>0.68377657645048273</c:v>
                </c:pt>
                <c:pt idx="782">
                  <c:v>0.56602708397688639</c:v>
                </c:pt>
                <c:pt idx="783">
                  <c:v>0.45762566225187334</c:v>
                </c:pt>
                <c:pt idx="784">
                  <c:v>0.35473008221530022</c:v>
                </c:pt>
                <c:pt idx="785">
                  <c:v>0.27895667967440163</c:v>
                </c:pt>
                <c:pt idx="786">
                  <c:v>0.2250196742375534</c:v>
                </c:pt>
                <c:pt idx="787">
                  <c:v>0.19617395472687085</c:v>
                </c:pt>
                <c:pt idx="788">
                  <c:v>0.17987640225140128</c:v>
                </c:pt>
                <c:pt idx="789">
                  <c:v>0.17756260677377647</c:v>
                </c:pt>
                <c:pt idx="790">
                  <c:v>0.18059376108162817</c:v>
                </c:pt>
                <c:pt idx="791">
                  <c:v>0.19072450165858651</c:v>
                </c:pt>
                <c:pt idx="792">
                  <c:v>0.20763680848552121</c:v>
                </c:pt>
                <c:pt idx="793">
                  <c:v>0.22572672459025786</c:v>
                </c:pt>
                <c:pt idx="794">
                  <c:v>0.24668210509910671</c:v>
                </c:pt>
                <c:pt idx="795">
                  <c:v>0.26924018842284486</c:v>
                </c:pt>
                <c:pt idx="796">
                  <c:v>0.30041303686254445</c:v>
                </c:pt>
                <c:pt idx="797">
                  <c:v>0.33709181278038364</c:v>
                </c:pt>
                <c:pt idx="798">
                  <c:v>0.39019346669658517</c:v>
                </c:pt>
                <c:pt idx="799">
                  <c:v>0.45872613705942833</c:v>
                </c:pt>
                <c:pt idx="800">
                  <c:v>0.53461297546448372</c:v>
                </c:pt>
                <c:pt idx="801">
                  <c:v>0.60934480899582277</c:v>
                </c:pt>
                <c:pt idx="802">
                  <c:v>0.67430445516524495</c:v>
                </c:pt>
                <c:pt idx="803">
                  <c:v>0.73244305118615549</c:v>
                </c:pt>
                <c:pt idx="804">
                  <c:v>0.77809334021784338</c:v>
                </c:pt>
                <c:pt idx="805">
                  <c:v>0.8244575332877434</c:v>
                </c:pt>
                <c:pt idx="806">
                  <c:v>0.85646295325751354</c:v>
                </c:pt>
                <c:pt idx="807">
                  <c:v>0.88060944333649849</c:v>
                </c:pt>
                <c:pt idx="808">
                  <c:v>0.89933288987407645</c:v>
                </c:pt>
                <c:pt idx="809">
                  <c:v>0.91200897530752034</c:v>
                </c:pt>
                <c:pt idx="810">
                  <c:v>0.9215331578007262</c:v>
                </c:pt>
                <c:pt idx="811">
                  <c:v>0.93086985810557077</c:v>
                </c:pt>
                <c:pt idx="812">
                  <c:v>0.93966012386616393</c:v>
                </c:pt>
                <c:pt idx="813">
                  <c:v>0.94881713701371795</c:v>
                </c:pt>
                <c:pt idx="814">
                  <c:v>0.95589315804121711</c:v>
                </c:pt>
                <c:pt idx="815">
                  <c:v>0.94815137534791971</c:v>
                </c:pt>
                <c:pt idx="816">
                  <c:v>0.92217959561148943</c:v>
                </c:pt>
                <c:pt idx="817">
                  <c:v>0.89710688278220518</c:v>
                </c:pt>
                <c:pt idx="818">
                  <c:v>0.86025152143653127</c:v>
                </c:pt>
                <c:pt idx="819">
                  <c:v>0.83076220330229666</c:v>
                </c:pt>
                <c:pt idx="820">
                  <c:v>0.80998751284514148</c:v>
                </c:pt>
                <c:pt idx="821">
                  <c:v>0.79476251250442287</c:v>
                </c:pt>
                <c:pt idx="822">
                  <c:v>0.79759684023681443</c:v>
                </c:pt>
                <c:pt idx="823">
                  <c:v>0.82247174869336903</c:v>
                </c:pt>
                <c:pt idx="824">
                  <c:v>0.85820836887055041</c:v>
                </c:pt>
                <c:pt idx="825">
                  <c:v>0.88692734953136698</c:v>
                </c:pt>
                <c:pt idx="826">
                  <c:v>0.91809461822170146</c:v>
                </c:pt>
                <c:pt idx="827">
                  <c:v>0.93151335195024554</c:v>
                </c:pt>
                <c:pt idx="828">
                  <c:v>0.93513550707013704</c:v>
                </c:pt>
                <c:pt idx="829">
                  <c:v>0.92278094168512137</c:v>
                </c:pt>
                <c:pt idx="830">
                  <c:v>0.90782570701322152</c:v>
                </c:pt>
                <c:pt idx="831">
                  <c:v>0.87808307190668189</c:v>
                </c:pt>
                <c:pt idx="832">
                  <c:v>0.86596179766486014</c:v>
                </c:pt>
                <c:pt idx="833">
                  <c:v>0.87404514573207215</c:v>
                </c:pt>
                <c:pt idx="834">
                  <c:v>0.88045965521000968</c:v>
                </c:pt>
                <c:pt idx="835">
                  <c:v>0.89832659963580686</c:v>
                </c:pt>
                <c:pt idx="836">
                  <c:v>0.90521957017748078</c:v>
                </c:pt>
                <c:pt idx="837">
                  <c:v>0.90981562199497978</c:v>
                </c:pt>
                <c:pt idx="838">
                  <c:v>0.90740337837265317</c:v>
                </c:pt>
                <c:pt idx="839">
                  <c:v>0.91586166735663177</c:v>
                </c:pt>
                <c:pt idx="840">
                  <c:v>0.92360346440393826</c:v>
                </c:pt>
                <c:pt idx="841">
                  <c:v>0.92670488541450147</c:v>
                </c:pt>
                <c:pt idx="842">
                  <c:v>0.93492257885764685</c:v>
                </c:pt>
                <c:pt idx="843">
                  <c:v>0.94473240523112811</c:v>
                </c:pt>
                <c:pt idx="844">
                  <c:v>0.9473565658432852</c:v>
                </c:pt>
                <c:pt idx="845">
                  <c:v>0.94354586602131751</c:v>
                </c:pt>
                <c:pt idx="846">
                  <c:v>0.94283912665350889</c:v>
                </c:pt>
                <c:pt idx="847">
                  <c:v>0.94484356332030595</c:v>
                </c:pt>
                <c:pt idx="848">
                  <c:v>0.95088492791217583</c:v>
                </c:pt>
                <c:pt idx="849">
                  <c:v>0.95203822087313383</c:v>
                </c:pt>
                <c:pt idx="850">
                  <c:v>0.94214305225608364</c:v>
                </c:pt>
                <c:pt idx="851">
                  <c:v>0.92558811518521655</c:v>
                </c:pt>
                <c:pt idx="852">
                  <c:v>0.89352312191500372</c:v>
                </c:pt>
                <c:pt idx="853">
                  <c:v>0.86239370748333188</c:v>
                </c:pt>
                <c:pt idx="854">
                  <c:v>0.83153799495953318</c:v>
                </c:pt>
                <c:pt idx="855">
                  <c:v>0.79797195582571667</c:v>
                </c:pt>
                <c:pt idx="856">
                  <c:v>0.76869117983003765</c:v>
                </c:pt>
                <c:pt idx="857">
                  <c:v>0.7337783451559633</c:v>
                </c:pt>
                <c:pt idx="858">
                  <c:v>0.71417546610574778</c:v>
                </c:pt>
                <c:pt idx="859">
                  <c:v>0.71026766320819568</c:v>
                </c:pt>
                <c:pt idx="860">
                  <c:v>0.7260961507433823</c:v>
                </c:pt>
                <c:pt idx="861">
                  <c:v>0.76032389906488629</c:v>
                </c:pt>
                <c:pt idx="862">
                  <c:v>0.79953885091426169</c:v>
                </c:pt>
                <c:pt idx="863">
                  <c:v>0.83483056297371105</c:v>
                </c:pt>
                <c:pt idx="864">
                  <c:v>0.86276532988553489</c:v>
                </c:pt>
                <c:pt idx="865">
                  <c:v>0.87077817681267078</c:v>
                </c:pt>
                <c:pt idx="866">
                  <c:v>0.87653431505292256</c:v>
                </c:pt>
                <c:pt idx="867">
                  <c:v>0.87483074327505372</c:v>
                </c:pt>
                <c:pt idx="868">
                  <c:v>0.88173124348983956</c:v>
                </c:pt>
                <c:pt idx="869">
                  <c:v>0.89097523086566544</c:v>
                </c:pt>
                <c:pt idx="870">
                  <c:v>0.90186501214064096</c:v>
                </c:pt>
                <c:pt idx="871">
                  <c:v>0.9114308222783114</c:v>
                </c:pt>
                <c:pt idx="872">
                  <c:v>0.91118480032177862</c:v>
                </c:pt>
                <c:pt idx="873">
                  <c:v>0.90081247328148728</c:v>
                </c:pt>
                <c:pt idx="874">
                  <c:v>0.89668569921086827</c:v>
                </c:pt>
                <c:pt idx="875">
                  <c:v>0.88228562490004414</c:v>
                </c:pt>
                <c:pt idx="876">
                  <c:v>0.87145527272486856</c:v>
                </c:pt>
                <c:pt idx="877">
                  <c:v>0.85780336314744132</c:v>
                </c:pt>
                <c:pt idx="878">
                  <c:v>0.85231519928651311</c:v>
                </c:pt>
                <c:pt idx="879">
                  <c:v>0.8427675060319294</c:v>
                </c:pt>
                <c:pt idx="880">
                  <c:v>0.83676716110849525</c:v>
                </c:pt>
                <c:pt idx="881">
                  <c:v>0.8319705617536447</c:v>
                </c:pt>
                <c:pt idx="882">
                  <c:v>0.8412698743183914</c:v>
                </c:pt>
                <c:pt idx="883">
                  <c:v>0.86602908232007036</c:v>
                </c:pt>
                <c:pt idx="884">
                  <c:v>0.90600212357663723</c:v>
                </c:pt>
                <c:pt idx="885">
                  <c:v>0.94204920376084944</c:v>
                </c:pt>
                <c:pt idx="886">
                  <c:v>0.97258390123139959</c:v>
                </c:pt>
                <c:pt idx="887">
                  <c:v>0.98383476380604373</c:v>
                </c:pt>
                <c:pt idx="888">
                  <c:v>0.98610929777324918</c:v>
                </c:pt>
                <c:pt idx="889">
                  <c:v>0.97349919973152166</c:v>
                </c:pt>
                <c:pt idx="890">
                  <c:v>0.94915002925484027</c:v>
                </c:pt>
                <c:pt idx="891">
                  <c:v>0.90488392947442875</c:v>
                </c:pt>
                <c:pt idx="892">
                  <c:v>0.85460348751560311</c:v>
                </c:pt>
                <c:pt idx="893">
                  <c:v>0.77919489219090565</c:v>
                </c:pt>
                <c:pt idx="894">
                  <c:v>0.68763604705870018</c:v>
                </c:pt>
                <c:pt idx="895">
                  <c:v>0.60794559054755126</c:v>
                </c:pt>
                <c:pt idx="896">
                  <c:v>0.5422372821580087</c:v>
                </c:pt>
                <c:pt idx="897">
                  <c:v>0.51464805399918545</c:v>
                </c:pt>
                <c:pt idx="898">
                  <c:v>0.5334940518429081</c:v>
                </c:pt>
                <c:pt idx="899">
                  <c:v>0.59258411262277111</c:v>
                </c:pt>
                <c:pt idx="900">
                  <c:v>0.67826193599471607</c:v>
                </c:pt>
                <c:pt idx="901">
                  <c:v>0.7770801747062297</c:v>
                </c:pt>
                <c:pt idx="902">
                  <c:v>0.86267694053230626</c:v>
                </c:pt>
                <c:pt idx="903">
                  <c:v>0.92648147864640296</c:v>
                </c:pt>
                <c:pt idx="904">
                  <c:v>0.95691721128840979</c:v>
                </c:pt>
                <c:pt idx="905">
                  <c:v>0.95899182757775681</c:v>
                </c:pt>
                <c:pt idx="906">
                  <c:v>0.93983041678535018</c:v>
                </c:pt>
                <c:pt idx="907">
                  <c:v>0.9066071278615806</c:v>
                </c:pt>
                <c:pt idx="908">
                  <c:v>0.85405978043235187</c:v>
                </c:pt>
                <c:pt idx="909">
                  <c:v>0.78300763337583001</c:v>
                </c:pt>
                <c:pt idx="910">
                  <c:v>0.69311354728833163</c:v>
                </c:pt>
                <c:pt idx="911">
                  <c:v>0.60056660352800184</c:v>
                </c:pt>
                <c:pt idx="912">
                  <c:v>0.54365103907535839</c:v>
                </c:pt>
                <c:pt idx="913">
                  <c:v>0.53692395778181989</c:v>
                </c:pt>
                <c:pt idx="914">
                  <c:v>0.57865951880128064</c:v>
                </c:pt>
                <c:pt idx="915">
                  <c:v>0.64762770608787712</c:v>
                </c:pt>
                <c:pt idx="916">
                  <c:v>0.71366702888969158</c:v>
                </c:pt>
                <c:pt idx="917">
                  <c:v>0.75061723930826019</c:v>
                </c:pt>
                <c:pt idx="918">
                  <c:v>0.74454037863923006</c:v>
                </c:pt>
                <c:pt idx="919">
                  <c:v>0.7157299282382279</c:v>
                </c:pt>
                <c:pt idx="920">
                  <c:v>0.67788077572614014</c:v>
                </c:pt>
                <c:pt idx="921">
                  <c:v>0.65458797660515078</c:v>
                </c:pt>
                <c:pt idx="922">
                  <c:v>0.66103144364152566</c:v>
                </c:pt>
                <c:pt idx="923">
                  <c:v>0.69945795354433238</c:v>
                </c:pt>
                <c:pt idx="924">
                  <c:v>0.76501407976742009</c:v>
                </c:pt>
                <c:pt idx="925">
                  <c:v>0.8317121200924753</c:v>
                </c:pt>
                <c:pt idx="926">
                  <c:v>0.89278413608986562</c:v>
                </c:pt>
                <c:pt idx="927">
                  <c:v>0.93642591955558607</c:v>
                </c:pt>
                <c:pt idx="928">
                  <c:v>0.96305449278953081</c:v>
                </c:pt>
                <c:pt idx="929">
                  <c:v>0.9607282652523399</c:v>
                </c:pt>
                <c:pt idx="930">
                  <c:v>0.95268274454962465</c:v>
                </c:pt>
                <c:pt idx="931">
                  <c:v>0.93783925427940829</c:v>
                </c:pt>
                <c:pt idx="932">
                  <c:v>0.9231178136479804</c:v>
                </c:pt>
                <c:pt idx="933">
                  <c:v>0.89978777812612332</c:v>
                </c:pt>
                <c:pt idx="934">
                  <c:v>0.87225341022855074</c:v>
                </c:pt>
                <c:pt idx="935">
                  <c:v>0.84703702885589538</c:v>
                </c:pt>
                <c:pt idx="936">
                  <c:v>0.82486866630945088</c:v>
                </c:pt>
                <c:pt idx="937">
                  <c:v>0.80776005359153835</c:v>
                </c:pt>
                <c:pt idx="938">
                  <c:v>0.8164535184941567</c:v>
                </c:pt>
                <c:pt idx="939">
                  <c:v>0.83786975492332538</c:v>
                </c:pt>
                <c:pt idx="940">
                  <c:v>0.86510106514052043</c:v>
                </c:pt>
                <c:pt idx="941">
                  <c:v>0.8940664216377886</c:v>
                </c:pt>
                <c:pt idx="942">
                  <c:v>0.92639997002707575</c:v>
                </c:pt>
                <c:pt idx="943">
                  <c:v>0.95571973937525423</c:v>
                </c:pt>
                <c:pt idx="944">
                  <c:v>0.97920628312059776</c:v>
                </c:pt>
                <c:pt idx="945">
                  <c:v>0.99285118413337237</c:v>
                </c:pt>
                <c:pt idx="946">
                  <c:v>0.99587088524532841</c:v>
                </c:pt>
                <c:pt idx="947">
                  <c:v>0.97933516865888459</c:v>
                </c:pt>
                <c:pt idx="948">
                  <c:v>0.9653925075184937</c:v>
                </c:pt>
                <c:pt idx="949">
                  <c:v>0.94359277945883857</c:v>
                </c:pt>
                <c:pt idx="950">
                  <c:v>0.9309384487194402</c:v>
                </c:pt>
                <c:pt idx="951">
                  <c:v>0.91771139554592995</c:v>
                </c:pt>
                <c:pt idx="952">
                  <c:v>0.91717860899932724</c:v>
                </c:pt>
                <c:pt idx="953">
                  <c:v>0.91832378495527078</c:v>
                </c:pt>
                <c:pt idx="954">
                  <c:v>0.92429662630365039</c:v>
                </c:pt>
                <c:pt idx="955">
                  <c:v>0.93234276346266132</c:v>
                </c:pt>
                <c:pt idx="956">
                  <c:v>0.94295632179498623</c:v>
                </c:pt>
                <c:pt idx="957">
                  <c:v>0.93649124807065875</c:v>
                </c:pt>
                <c:pt idx="958">
                  <c:v>0.93022970203123301</c:v>
                </c:pt>
                <c:pt idx="959">
                  <c:v>0.91831464005489849</c:v>
                </c:pt>
                <c:pt idx="960">
                  <c:v>0.89375058598269574</c:v>
                </c:pt>
                <c:pt idx="961">
                  <c:v>0.86213181220734625</c:v>
                </c:pt>
                <c:pt idx="962">
                  <c:v>0.8453737167465506</c:v>
                </c:pt>
                <c:pt idx="963">
                  <c:v>0.82289796394790138</c:v>
                </c:pt>
                <c:pt idx="964">
                  <c:v>0.82601209300734357</c:v>
                </c:pt>
                <c:pt idx="965">
                  <c:v>0.82620905287146407</c:v>
                </c:pt>
                <c:pt idx="966">
                  <c:v>0.84406128515762024</c:v>
                </c:pt>
                <c:pt idx="967">
                  <c:v>0.86486540299464942</c:v>
                </c:pt>
                <c:pt idx="968">
                  <c:v>0.87786581675889119</c:v>
                </c:pt>
                <c:pt idx="969">
                  <c:v>0.89886473735264627</c:v>
                </c:pt>
                <c:pt idx="970">
                  <c:v>0.90826939495400927</c:v>
                </c:pt>
                <c:pt idx="971">
                  <c:v>0.92058744929491232</c:v>
                </c:pt>
                <c:pt idx="972">
                  <c:v>0.92386658973609814</c:v>
                </c:pt>
                <c:pt idx="973">
                  <c:v>0.92343434206283992</c:v>
                </c:pt>
                <c:pt idx="974">
                  <c:v>0.91326036044030401</c:v>
                </c:pt>
                <c:pt idx="975">
                  <c:v>0.89991869862041174</c:v>
                </c:pt>
                <c:pt idx="976">
                  <c:v>0.88499920898171625</c:v>
                </c:pt>
                <c:pt idx="977">
                  <c:v>0.8755277685120908</c:v>
                </c:pt>
                <c:pt idx="978">
                  <c:v>0.88483773950246625</c:v>
                </c:pt>
                <c:pt idx="979">
                  <c:v>0.89277560922643417</c:v>
                </c:pt>
                <c:pt idx="980">
                  <c:v>0.88742089225203857</c:v>
                </c:pt>
                <c:pt idx="981">
                  <c:v>0.86746416124379933</c:v>
                </c:pt>
                <c:pt idx="982">
                  <c:v>0.8304521917120713</c:v>
                </c:pt>
                <c:pt idx="983">
                  <c:v>0.78208855797536103</c:v>
                </c:pt>
                <c:pt idx="984">
                  <c:v>0.72245609158554291</c:v>
                </c:pt>
                <c:pt idx="985">
                  <c:v>0.66420425862714882</c:v>
                </c:pt>
                <c:pt idx="986">
                  <c:v>0.62555577664756357</c:v>
                </c:pt>
                <c:pt idx="987">
                  <c:v>0.60598017982377805</c:v>
                </c:pt>
                <c:pt idx="988">
                  <c:v>0.61167166866710065</c:v>
                </c:pt>
                <c:pt idx="989">
                  <c:v>0.64454609760148229</c:v>
                </c:pt>
                <c:pt idx="990">
                  <c:v>0.70648923364641469</c:v>
                </c:pt>
                <c:pt idx="991">
                  <c:v>0.76963401786217112</c:v>
                </c:pt>
                <c:pt idx="992">
                  <c:v>0.8226812958817139</c:v>
                </c:pt>
                <c:pt idx="993">
                  <c:v>0.86858958677377085</c:v>
                </c:pt>
                <c:pt idx="994">
                  <c:v>0.89810917692190939</c:v>
                </c:pt>
                <c:pt idx="995">
                  <c:v>0.91738920503936794</c:v>
                </c:pt>
                <c:pt idx="996">
                  <c:v>0.93040159388967414</c:v>
                </c:pt>
                <c:pt idx="997">
                  <c:v>0.93904120586314688</c:v>
                </c:pt>
                <c:pt idx="998">
                  <c:v>0.94686610224352585</c:v>
                </c:pt>
                <c:pt idx="999">
                  <c:v>0.95383845420070235</c:v>
                </c:pt>
                <c:pt idx="1000">
                  <c:v>0.95558952020224774</c:v>
                </c:pt>
                <c:pt idx="1001">
                  <c:v>0.95665842631468012</c:v>
                </c:pt>
                <c:pt idx="1002">
                  <c:v>0.93929719793997057</c:v>
                </c:pt>
                <c:pt idx="1003">
                  <c:v>0.92701159553240675</c:v>
                </c:pt>
                <c:pt idx="1004">
                  <c:v>0.91253722305816709</c:v>
                </c:pt>
                <c:pt idx="1005">
                  <c:v>0.901085435038111</c:v>
                </c:pt>
                <c:pt idx="1006">
                  <c:v>0.90154464779551502</c:v>
                </c:pt>
                <c:pt idx="1007">
                  <c:v>0.8989221890180108</c:v>
                </c:pt>
                <c:pt idx="1008">
                  <c:v>0.89709586314414602</c:v>
                </c:pt>
                <c:pt idx="1009">
                  <c:v>0.90424259637477367</c:v>
                </c:pt>
                <c:pt idx="1010">
                  <c:v>0.91147424154006818</c:v>
                </c:pt>
                <c:pt idx="1011">
                  <c:v>0.91795406714319594</c:v>
                </c:pt>
                <c:pt idx="1012">
                  <c:v>0.92276995323071775</c:v>
                </c:pt>
                <c:pt idx="1013">
                  <c:v>0.9270478923716301</c:v>
                </c:pt>
                <c:pt idx="1014">
                  <c:v>0.93541871098568452</c:v>
                </c:pt>
                <c:pt idx="1015">
                  <c:v>0.94059169132489862</c:v>
                </c:pt>
                <c:pt idx="1016">
                  <c:v>0.95023056520497717</c:v>
                </c:pt>
                <c:pt idx="1017">
                  <c:v>0.96006850746820693</c:v>
                </c:pt>
                <c:pt idx="1018">
                  <c:v>0.97230115833989339</c:v>
                </c:pt>
                <c:pt idx="1019">
                  <c:v>0.97800029175563008</c:v>
                </c:pt>
                <c:pt idx="1020">
                  <c:v>0.98132793644936223</c:v>
                </c:pt>
                <c:pt idx="1021">
                  <c:v>0.96724329822292709</c:v>
                </c:pt>
                <c:pt idx="1022">
                  <c:v>0.94990837080142632</c:v>
                </c:pt>
                <c:pt idx="1023">
                  <c:v>0.93122532865933072</c:v>
                </c:pt>
                <c:pt idx="1024">
                  <c:v>0.92056416254951212</c:v>
                </c:pt>
                <c:pt idx="1025">
                  <c:v>0.92232144146427841</c:v>
                </c:pt>
                <c:pt idx="1026">
                  <c:v>0.92330966056276742</c:v>
                </c:pt>
                <c:pt idx="1027">
                  <c:v>0.92791157763718779</c:v>
                </c:pt>
                <c:pt idx="1028">
                  <c:v>0.93012525908121002</c:v>
                </c:pt>
                <c:pt idx="1029">
                  <c:v>0.93156877761881118</c:v>
                </c:pt>
                <c:pt idx="1030">
                  <c:v>0.92935946892640708</c:v>
                </c:pt>
                <c:pt idx="1031">
                  <c:v>0.9178701362547248</c:v>
                </c:pt>
                <c:pt idx="1032">
                  <c:v>0.91194953109738564</c:v>
                </c:pt>
                <c:pt idx="1033">
                  <c:v>0.91027824944403501</c:v>
                </c:pt>
                <c:pt idx="1034">
                  <c:v>0.90593771493831687</c:v>
                </c:pt>
                <c:pt idx="1035">
                  <c:v>0.90248136465240847</c:v>
                </c:pt>
                <c:pt idx="1036">
                  <c:v>0.90365972266065597</c:v>
                </c:pt>
                <c:pt idx="1037">
                  <c:v>0.89057829044477432</c:v>
                </c:pt>
                <c:pt idx="1038">
                  <c:v>0.8723839644861614</c:v>
                </c:pt>
                <c:pt idx="1039">
                  <c:v>0.8528589191041317</c:v>
                </c:pt>
                <c:pt idx="1040">
                  <c:v>0.81598906449273534</c:v>
                </c:pt>
                <c:pt idx="1041">
                  <c:v>0.78144465888284564</c:v>
                </c:pt>
                <c:pt idx="1042">
                  <c:v>0.73867664617085727</c:v>
                </c:pt>
                <c:pt idx="1043">
                  <c:v>0.73148571094740378</c:v>
                </c:pt>
                <c:pt idx="1044">
                  <c:v>0.75189089028510303</c:v>
                </c:pt>
                <c:pt idx="1045">
                  <c:v>0.80388665376036539</c:v>
                </c:pt>
                <c:pt idx="1046">
                  <c:v>0.86176993707587646</c:v>
                </c:pt>
                <c:pt idx="1047">
                  <c:v>0.91357145579449395</c:v>
                </c:pt>
                <c:pt idx="1048">
                  <c:v>0.95369135712437803</c:v>
                </c:pt>
                <c:pt idx="1049">
                  <c:v>0.96263101501896753</c:v>
                </c:pt>
                <c:pt idx="1050">
                  <c:v>0.96118696188128216</c:v>
                </c:pt>
                <c:pt idx="1051">
                  <c:v>0.95985441867673216</c:v>
                </c:pt>
                <c:pt idx="1052">
                  <c:v>0.96058928299975577</c:v>
                </c:pt>
                <c:pt idx="1053">
                  <c:v>0.96930627551343895</c:v>
                </c:pt>
                <c:pt idx="1054">
                  <c:v>0.98075162217809486</c:v>
                </c:pt>
                <c:pt idx="1055">
                  <c:v>0.99840106919583083</c:v>
                </c:pt>
                <c:pt idx="1056">
                  <c:v>1.0111006245279441</c:v>
                </c:pt>
                <c:pt idx="1057">
                  <c:v>1.0104531052190413</c:v>
                </c:pt>
                <c:pt idx="1058">
                  <c:v>1.009011893359731</c:v>
                </c:pt>
                <c:pt idx="1059">
                  <c:v>1.0095367486494236</c:v>
                </c:pt>
                <c:pt idx="1060">
                  <c:v>1.0037401713178182</c:v>
                </c:pt>
                <c:pt idx="1061">
                  <c:v>1.0052112636929722</c:v>
                </c:pt>
                <c:pt idx="1062">
                  <c:v>1.0175343275060056</c:v>
                </c:pt>
                <c:pt idx="1063">
                  <c:v>1.0207306504096978</c:v>
                </c:pt>
                <c:pt idx="1064">
                  <c:v>1.0198680727207048</c:v>
                </c:pt>
                <c:pt idx="1065">
                  <c:v>1.0119696989545783</c:v>
                </c:pt>
                <c:pt idx="1066">
                  <c:v>1.0015466048258919</c:v>
                </c:pt>
                <c:pt idx="1067">
                  <c:v>0.98802070193645586</c:v>
                </c:pt>
                <c:pt idx="1068">
                  <c:v>0.97439602215441889</c:v>
                </c:pt>
                <c:pt idx="1069">
                  <c:v>0.96902990546369705</c:v>
                </c:pt>
                <c:pt idx="1070">
                  <c:v>0.96522151422577007</c:v>
                </c:pt>
                <c:pt idx="1071">
                  <c:v>0.95303514372199383</c:v>
                </c:pt>
                <c:pt idx="1072">
                  <c:v>0.93558621584561952</c:v>
                </c:pt>
                <c:pt idx="1073">
                  <c:v>0.91795429432082032</c:v>
                </c:pt>
                <c:pt idx="1074">
                  <c:v>0.90592688486815887</c:v>
                </c:pt>
                <c:pt idx="1075">
                  <c:v>0.90162896221449207</c:v>
                </c:pt>
                <c:pt idx="1076">
                  <c:v>0.91521864355498372</c:v>
                </c:pt>
                <c:pt idx="1077">
                  <c:v>0.93029404060473464</c:v>
                </c:pt>
                <c:pt idx="1078">
                  <c:v>0.93966559901456326</c:v>
                </c:pt>
                <c:pt idx="1079">
                  <c:v>0.94882392896581813</c:v>
                </c:pt>
                <c:pt idx="1080">
                  <c:v>0.95198787791439321</c:v>
                </c:pt>
                <c:pt idx="1081">
                  <c:v>0.95924715620560175</c:v>
                </c:pt>
                <c:pt idx="1082">
                  <c:v>0.96459018406677333</c:v>
                </c:pt>
                <c:pt idx="1083">
                  <c:v>0.97392395530263465</c:v>
                </c:pt>
                <c:pt idx="1084">
                  <c:v>0.99615493644992492</c:v>
                </c:pt>
                <c:pt idx="1085">
                  <c:v>1.0082847815414644</c:v>
                </c:pt>
                <c:pt idx="1086">
                  <c:v>1.0174541832140966</c:v>
                </c:pt>
                <c:pt idx="1087">
                  <c:v>1.011399920372964</c:v>
                </c:pt>
                <c:pt idx="1088">
                  <c:v>1.0035500275513489</c:v>
                </c:pt>
                <c:pt idx="1089">
                  <c:v>0.98383661611274587</c:v>
                </c:pt>
                <c:pt idx="1090">
                  <c:v>0.97349913021462398</c:v>
                </c:pt>
                <c:pt idx="1091">
                  <c:v>0.96049678093035296</c:v>
                </c:pt>
                <c:pt idx="1092">
                  <c:v>0.95873094366698697</c:v>
                </c:pt>
                <c:pt idx="1093">
                  <c:v>0.94982650904057686</c:v>
                </c:pt>
                <c:pt idx="1094">
                  <c:v>0.94551233454783257</c:v>
                </c:pt>
                <c:pt idx="1095">
                  <c:v>0.93021293109328484</c:v>
                </c:pt>
                <c:pt idx="1096">
                  <c:v>0.90581384181369162</c:v>
                </c:pt>
                <c:pt idx="1097">
                  <c:v>0.87737795020787523</c:v>
                </c:pt>
                <c:pt idx="1098">
                  <c:v>0.85778318428120137</c:v>
                </c:pt>
                <c:pt idx="1099">
                  <c:v>0.85772030289773926</c:v>
                </c:pt>
                <c:pt idx="1100">
                  <c:v>0.87618422758465231</c:v>
                </c:pt>
                <c:pt idx="1101">
                  <c:v>0.89625497759649275</c:v>
                </c:pt>
                <c:pt idx="1102">
                  <c:v>0.90409511338854154</c:v>
                </c:pt>
                <c:pt idx="1103">
                  <c:v>0.90923488590268831</c:v>
                </c:pt>
                <c:pt idx="1104">
                  <c:v>0.9085936486099031</c:v>
                </c:pt>
                <c:pt idx="1105">
                  <c:v>0.9168643151717224</c:v>
                </c:pt>
                <c:pt idx="1106">
                  <c:v>0.91528332966780823</c:v>
                </c:pt>
                <c:pt idx="1107">
                  <c:v>0.90097803389490627</c:v>
                </c:pt>
                <c:pt idx="1108">
                  <c:v>0.8588052151235247</c:v>
                </c:pt>
                <c:pt idx="1109">
                  <c:v>0.82189695449127664</c:v>
                </c:pt>
                <c:pt idx="1110">
                  <c:v>0.76922869257800408</c:v>
                </c:pt>
                <c:pt idx="1111">
                  <c:v>0.7139620757035714</c:v>
                </c:pt>
                <c:pt idx="1112">
                  <c:v>0.65783623388367085</c:v>
                </c:pt>
                <c:pt idx="1113">
                  <c:v>0.61026599841244478</c:v>
                </c:pt>
                <c:pt idx="1114">
                  <c:v>0.58463994350344817</c:v>
                </c:pt>
                <c:pt idx="1115">
                  <c:v>0.59483605941317019</c:v>
                </c:pt>
                <c:pt idx="1116">
                  <c:v>0.63505978812456143</c:v>
                </c:pt>
                <c:pt idx="1117">
                  <c:v>0.69518638113823084</c:v>
                </c:pt>
                <c:pt idx="1118">
                  <c:v>0.75175624281577857</c:v>
                </c:pt>
                <c:pt idx="1119">
                  <c:v>0.78697422941419204</c:v>
                </c:pt>
                <c:pt idx="1120">
                  <c:v>0.79805805949778352</c:v>
                </c:pt>
                <c:pt idx="1121">
                  <c:v>0.7695206836814884</c:v>
                </c:pt>
                <c:pt idx="1122">
                  <c:v>0.7145139108090689</c:v>
                </c:pt>
                <c:pt idx="1123">
                  <c:v>0.64672207750265998</c:v>
                </c:pt>
                <c:pt idx="1124">
                  <c:v>0.60654963211328505</c:v>
                </c:pt>
                <c:pt idx="1125">
                  <c:v>0.59890141975757805</c:v>
                </c:pt>
                <c:pt idx="1126">
                  <c:v>0.63349010984363763</c:v>
                </c:pt>
                <c:pt idx="1127">
                  <c:v>0.69166995525648056</c:v>
                </c:pt>
                <c:pt idx="1128">
                  <c:v>0.75327065256915882</c:v>
                </c:pt>
                <c:pt idx="1129">
                  <c:v>0.82492115249782028</c:v>
                </c:pt>
                <c:pt idx="1130">
                  <c:v>0.87707998383565</c:v>
                </c:pt>
                <c:pt idx="1131">
                  <c:v>0.91373333658969813</c:v>
                </c:pt>
                <c:pt idx="1132">
                  <c:v>0.933661449963608</c:v>
                </c:pt>
                <c:pt idx="1133">
                  <c:v>0.94836229418121365</c:v>
                </c:pt>
                <c:pt idx="1134">
                  <c:v>0.95295336725462365</c:v>
                </c:pt>
                <c:pt idx="1135">
                  <c:v>0.94155837850282065</c:v>
                </c:pt>
                <c:pt idx="1136">
                  <c:v>0.93233578625253932</c:v>
                </c:pt>
                <c:pt idx="1137">
                  <c:v>0.92887183846995558</c:v>
                </c:pt>
                <c:pt idx="1138">
                  <c:v>0.91856057509512701</c:v>
                </c:pt>
                <c:pt idx="1139">
                  <c:v>0.91303898939606098</c:v>
                </c:pt>
                <c:pt idx="1140">
                  <c:v>0.9089757240283497</c:v>
                </c:pt>
                <c:pt idx="1141">
                  <c:v>0.93496484859788542</c:v>
                </c:pt>
                <c:pt idx="1142">
                  <c:v>0.94698367522933469</c:v>
                </c:pt>
                <c:pt idx="1143">
                  <c:v>0.95567138406251806</c:v>
                </c:pt>
                <c:pt idx="1144">
                  <c:v>0.94778594306803887</c:v>
                </c:pt>
                <c:pt idx="1145">
                  <c:v>0.93233976120329831</c:v>
                </c:pt>
                <c:pt idx="1146">
                  <c:v>0.91345580066292786</c:v>
                </c:pt>
                <c:pt idx="1147">
                  <c:v>0.90534080219726976</c:v>
                </c:pt>
                <c:pt idx="1148">
                  <c:v>0.91296331338211256</c:v>
                </c:pt>
                <c:pt idx="1149">
                  <c:v>0.92817770077493389</c:v>
                </c:pt>
                <c:pt idx="1150">
                  <c:v>0.9436707652180264</c:v>
                </c:pt>
                <c:pt idx="1151">
                  <c:v>0.95832941749991896</c:v>
                </c:pt>
                <c:pt idx="1152">
                  <c:v>0.97120122535922626</c:v>
                </c:pt>
                <c:pt idx="1153">
                  <c:v>0.9812058365590286</c:v>
                </c:pt>
                <c:pt idx="1154">
                  <c:v>0.98026456416748142</c:v>
                </c:pt>
                <c:pt idx="1155">
                  <c:v>0.9832987255120097</c:v>
                </c:pt>
                <c:pt idx="1156">
                  <c:v>0.98339522647613753</c:v>
                </c:pt>
                <c:pt idx="1157">
                  <c:v>0.97992233221368763</c:v>
                </c:pt>
                <c:pt idx="1158">
                  <c:v>0.9727443522655741</c:v>
                </c:pt>
                <c:pt idx="1159">
                  <c:v>0.96080989232599479</c:v>
                </c:pt>
                <c:pt idx="1160">
                  <c:v>0.94801837321483751</c:v>
                </c:pt>
                <c:pt idx="1161">
                  <c:v>0.93124088656550552</c:v>
                </c:pt>
                <c:pt idx="1162">
                  <c:v>0.91797574710757124</c:v>
                </c:pt>
                <c:pt idx="1163">
                  <c:v>0.89340570686277587</c:v>
                </c:pt>
                <c:pt idx="1164">
                  <c:v>0.88350307818561946</c:v>
                </c:pt>
                <c:pt idx="1165">
                  <c:v>0.89383855401362611</c:v>
                </c:pt>
                <c:pt idx="1166">
                  <c:v>0.91756182117907847</c:v>
                </c:pt>
                <c:pt idx="1167">
                  <c:v>0.94687130774412764</c:v>
                </c:pt>
                <c:pt idx="1168">
                  <c:v>0.96990215374212507</c:v>
                </c:pt>
                <c:pt idx="1169">
                  <c:v>0.98444909209345632</c:v>
                </c:pt>
                <c:pt idx="1170">
                  <c:v>1.0061794570722487</c:v>
                </c:pt>
                <c:pt idx="1171">
                  <c:v>1.0024314944653105</c:v>
                </c:pt>
                <c:pt idx="1172">
                  <c:v>0.99551369205424345</c:v>
                </c:pt>
                <c:pt idx="1173">
                  <c:v>0.96232860758699512</c:v>
                </c:pt>
                <c:pt idx="1174">
                  <c:v>0.92032787310428632</c:v>
                </c:pt>
                <c:pt idx="1175">
                  <c:v>0.86804554875323781</c:v>
                </c:pt>
                <c:pt idx="1176">
                  <c:v>0.80333205297153354</c:v>
                </c:pt>
                <c:pt idx="1177">
                  <c:v>0.74916330959088517</c:v>
                </c:pt>
                <c:pt idx="1178">
                  <c:v>0.68138744668736129</c:v>
                </c:pt>
                <c:pt idx="1179">
                  <c:v>0.62786741163877313</c:v>
                </c:pt>
                <c:pt idx="1180">
                  <c:v>0.58388620016952553</c:v>
                </c:pt>
                <c:pt idx="1181">
                  <c:v>0.57829075903011495</c:v>
                </c:pt>
                <c:pt idx="1182">
                  <c:v>0.62096108350740931</c:v>
                </c:pt>
                <c:pt idx="1183">
                  <c:v>0.70693237508185447</c:v>
                </c:pt>
                <c:pt idx="1184">
                  <c:v>0.80320684696880595</c:v>
                </c:pt>
                <c:pt idx="1185">
                  <c:v>0.88972657204884398</c:v>
                </c:pt>
                <c:pt idx="1186">
                  <c:v>0.95447856158899946</c:v>
                </c:pt>
                <c:pt idx="1187">
                  <c:v>0.98873986023609184</c:v>
                </c:pt>
                <c:pt idx="1188">
                  <c:v>0.99631510076922492</c:v>
                </c:pt>
                <c:pt idx="1189">
                  <c:v>0.98918179499162229</c:v>
                </c:pt>
                <c:pt idx="1190">
                  <c:v>0.99337878884502007</c:v>
                </c:pt>
                <c:pt idx="1191">
                  <c:v>0.99190597415181148</c:v>
                </c:pt>
                <c:pt idx="1192">
                  <c:v>0.99516748172799852</c:v>
                </c:pt>
                <c:pt idx="1193">
                  <c:v>0.99015811259025088</c:v>
                </c:pt>
                <c:pt idx="1194">
                  <c:v>0.98962665709514475</c:v>
                </c:pt>
                <c:pt idx="1195">
                  <c:v>0.98481655899316389</c:v>
                </c:pt>
                <c:pt idx="1196">
                  <c:v>0.98592180651824901</c:v>
                </c:pt>
                <c:pt idx="1197">
                  <c:v>0.98209318010089153</c:v>
                </c:pt>
                <c:pt idx="1198">
                  <c:v>0.98332784151188279</c:v>
                </c:pt>
                <c:pt idx="1199">
                  <c:v>0.98313311990202901</c:v>
                </c:pt>
                <c:pt idx="1200">
                  <c:v>0.9863697439150465</c:v>
                </c:pt>
                <c:pt idx="1201">
                  <c:v>0.99278793170538204</c:v>
                </c:pt>
                <c:pt idx="1202">
                  <c:v>0.99573714075605069</c:v>
                </c:pt>
                <c:pt idx="1203">
                  <c:v>0.99337558977653351</c:v>
                </c:pt>
                <c:pt idx="1204">
                  <c:v>0.98193377618527855</c:v>
                </c:pt>
                <c:pt idx="1205">
                  <c:v>0.96837042013135555</c:v>
                </c:pt>
                <c:pt idx="1206">
                  <c:v>0.96395961119381834</c:v>
                </c:pt>
                <c:pt idx="1207">
                  <c:v>0.97472812581140889</c:v>
                </c:pt>
                <c:pt idx="1208">
                  <c:v>0.995993051307976</c:v>
                </c:pt>
                <c:pt idx="1209">
                  <c:v>1.0079603265849906</c:v>
                </c:pt>
                <c:pt idx="1210">
                  <c:v>1.0190313400748421</c:v>
                </c:pt>
                <c:pt idx="1211">
                  <c:v>1.0121010357870104</c:v>
                </c:pt>
                <c:pt idx="1212">
                  <c:v>1.0141338602175849</c:v>
                </c:pt>
                <c:pt idx="1213">
                  <c:v>0.99718076711655845</c:v>
                </c:pt>
                <c:pt idx="1214">
                  <c:v>0.98702712056488495</c:v>
                </c:pt>
                <c:pt idx="1215">
                  <c:v>0.96342705643574233</c:v>
                </c:pt>
                <c:pt idx="1216">
                  <c:v>0.94980960550924853</c:v>
                </c:pt>
                <c:pt idx="1217">
                  <c:v>0.95235910972340798</c:v>
                </c:pt>
                <c:pt idx="1218">
                  <c:v>0.96346449130039924</c:v>
                </c:pt>
                <c:pt idx="1219">
                  <c:v>0.9724207992096956</c:v>
                </c:pt>
                <c:pt idx="1220">
                  <c:v>0.9843714232988523</c:v>
                </c:pt>
                <c:pt idx="1221">
                  <c:v>0.98905829245688925</c:v>
                </c:pt>
                <c:pt idx="1222">
                  <c:v>0.98716929902587369</c:v>
                </c:pt>
                <c:pt idx="1223">
                  <c:v>0.97520784741242428</c:v>
                </c:pt>
                <c:pt idx="1224">
                  <c:v>0.94654005014722853</c:v>
                </c:pt>
                <c:pt idx="1225">
                  <c:v>0.92124621971391596</c:v>
                </c:pt>
                <c:pt idx="1226">
                  <c:v>0.90608675832688512</c:v>
                </c:pt>
                <c:pt idx="1227">
                  <c:v>0.91062629642478399</c:v>
                </c:pt>
                <c:pt idx="1228">
                  <c:v>0.93784212970896141</c:v>
                </c:pt>
                <c:pt idx="1229">
                  <c:v>0.95744943379006309</c:v>
                </c:pt>
                <c:pt idx="1230">
                  <c:v>0.98266689221134929</c:v>
                </c:pt>
                <c:pt idx="1231">
                  <c:v>1.0016926032881308</c:v>
                </c:pt>
                <c:pt idx="1232">
                  <c:v>1.0145508457765893</c:v>
                </c:pt>
                <c:pt idx="1233">
                  <c:v>1.0244642367184122</c:v>
                </c:pt>
                <c:pt idx="1234">
                  <c:v>1.0246585845494118</c:v>
                </c:pt>
                <c:pt idx="1235">
                  <c:v>1.0034989070781972</c:v>
                </c:pt>
                <c:pt idx="1236">
                  <c:v>0.97158000108377995</c:v>
                </c:pt>
                <c:pt idx="1237">
                  <c:v>0.92533663021042778</c:v>
                </c:pt>
                <c:pt idx="1238">
                  <c:v>0.87717752925942727</c:v>
                </c:pt>
                <c:pt idx="1239">
                  <c:v>0.82188135942915852</c:v>
                </c:pt>
                <c:pt idx="1240">
                  <c:v>0.79510738535155123</c:v>
                </c:pt>
                <c:pt idx="1241">
                  <c:v>0.80145090233852501</c:v>
                </c:pt>
                <c:pt idx="1242">
                  <c:v>0.84179667446166007</c:v>
                </c:pt>
                <c:pt idx="1243">
                  <c:v>0.88072913504498662</c:v>
                </c:pt>
                <c:pt idx="1244">
                  <c:v>0.9252205603516892</c:v>
                </c:pt>
                <c:pt idx="1245">
                  <c:v>0.96565673309349898</c:v>
                </c:pt>
                <c:pt idx="1246">
                  <c:v>0.98780982426073549</c:v>
                </c:pt>
                <c:pt idx="1247">
                  <c:v>0.99056578974446918</c:v>
                </c:pt>
                <c:pt idx="1248">
                  <c:v>0.9829748358955207</c:v>
                </c:pt>
                <c:pt idx="1249">
                  <c:v>0.95468388756808931</c:v>
                </c:pt>
                <c:pt idx="1250">
                  <c:v>0.93794387279433178</c:v>
                </c:pt>
                <c:pt idx="1251">
                  <c:v>0.90075846800655535</c:v>
                </c:pt>
                <c:pt idx="1252">
                  <c:v>0.86666359890607347</c:v>
                </c:pt>
                <c:pt idx="1253">
                  <c:v>0.81438762791165542</c:v>
                </c:pt>
                <c:pt idx="1254">
                  <c:v>0.77416815837949893</c:v>
                </c:pt>
                <c:pt idx="1255">
                  <c:v>0.75467966588852675</c:v>
                </c:pt>
                <c:pt idx="1256">
                  <c:v>0.76851824239664257</c:v>
                </c:pt>
                <c:pt idx="1257">
                  <c:v>0.81214105405020942</c:v>
                </c:pt>
                <c:pt idx="1258">
                  <c:v>0.85975292693705352</c:v>
                </c:pt>
                <c:pt idx="1259">
                  <c:v>0.89680465322314251</c:v>
                </c:pt>
                <c:pt idx="1260">
                  <c:v>0.9126743044910689</c:v>
                </c:pt>
                <c:pt idx="1261">
                  <c:v>0.92816063061571918</c:v>
                </c:pt>
                <c:pt idx="1262">
                  <c:v>0.92274038836856165</c:v>
                </c:pt>
                <c:pt idx="1263">
                  <c:v>0.91870465408143109</c:v>
                </c:pt>
                <c:pt idx="1264">
                  <c:v>0.90262577513180575</c:v>
                </c:pt>
                <c:pt idx="1265">
                  <c:v>0.89449413112220422</c:v>
                </c:pt>
                <c:pt idx="1266">
                  <c:v>0.8848006076940137</c:v>
                </c:pt>
                <c:pt idx="1267">
                  <c:v>0.89736033001107129</c:v>
                </c:pt>
                <c:pt idx="1268">
                  <c:v>0.90465335704658711</c:v>
                </c:pt>
                <c:pt idx="1269">
                  <c:v>0.91482312549185296</c:v>
                </c:pt>
                <c:pt idx="1270">
                  <c:v>0.91895744726305806</c:v>
                </c:pt>
                <c:pt idx="1271">
                  <c:v>0.92695502173140654</c:v>
                </c:pt>
                <c:pt idx="1272">
                  <c:v>0.91275558815818381</c:v>
                </c:pt>
                <c:pt idx="1273">
                  <c:v>0.88028867127198074</c:v>
                </c:pt>
                <c:pt idx="1274">
                  <c:v>0.82694504915992495</c:v>
                </c:pt>
                <c:pt idx="1275">
                  <c:v>0.77017394644180148</c:v>
                </c:pt>
                <c:pt idx="1276">
                  <c:v>0.74036322050375214</c:v>
                </c:pt>
                <c:pt idx="1277">
                  <c:v>0.73149898410841951</c:v>
                </c:pt>
                <c:pt idx="1278">
                  <c:v>0.76326970228706092</c:v>
                </c:pt>
                <c:pt idx="1279">
                  <c:v>0.81498813230428646</c:v>
                </c:pt>
                <c:pt idx="1280">
                  <c:v>0.86891247017897655</c:v>
                </c:pt>
                <c:pt idx="1281">
                  <c:v>0.91611141129776996</c:v>
                </c:pt>
                <c:pt idx="1282">
                  <c:v>0.95046913031866409</c:v>
                </c:pt>
                <c:pt idx="1283">
                  <c:v>0.96069554789712985</c:v>
                </c:pt>
                <c:pt idx="1284">
                  <c:v>0.95042967957672597</c:v>
                </c:pt>
                <c:pt idx="1285">
                  <c:v>0.92113018571887018</c:v>
                </c:pt>
                <c:pt idx="1286">
                  <c:v>0.86058720438574032</c:v>
                </c:pt>
                <c:pt idx="1287">
                  <c:v>0.78951804467581332</c:v>
                </c:pt>
                <c:pt idx="1288">
                  <c:v>0.71426106935736522</c:v>
                </c:pt>
                <c:pt idx="1289">
                  <c:v>0.67937426543606194</c:v>
                </c:pt>
                <c:pt idx="1290">
                  <c:v>0.67534053376606118</c:v>
                </c:pt>
                <c:pt idx="1291">
                  <c:v>0.69404193897482414</c:v>
                </c:pt>
                <c:pt idx="1292">
                  <c:v>0.69776456080945182</c:v>
                </c:pt>
                <c:pt idx="1293">
                  <c:v>0.68852985914891751</c:v>
                </c:pt>
                <c:pt idx="1294">
                  <c:v>0.66349525774848417</c:v>
                </c:pt>
                <c:pt idx="1295">
                  <c:v>0.65912594543706615</c:v>
                </c:pt>
                <c:pt idx="1296">
                  <c:v>0.68390682334160358</c:v>
                </c:pt>
                <c:pt idx="1297">
                  <c:v>0.73677490059639072</c:v>
                </c:pt>
                <c:pt idx="1298">
                  <c:v>0.81331771650367424</c:v>
                </c:pt>
                <c:pt idx="1299">
                  <c:v>0.88066735225627046</c:v>
                </c:pt>
                <c:pt idx="1300">
                  <c:v>0.92460713799884631</c:v>
                </c:pt>
                <c:pt idx="1301">
                  <c:v>0.95463826406786378</c:v>
                </c:pt>
                <c:pt idx="1302">
                  <c:v>0.95917404817989238</c:v>
                </c:pt>
                <c:pt idx="1303">
                  <c:v>0.95938032092653658</c:v>
                </c:pt>
                <c:pt idx="1304">
                  <c:v>0.96461180189189422</c:v>
                </c:pt>
                <c:pt idx="1305">
                  <c:v>0.95705371378327542</c:v>
                </c:pt>
                <c:pt idx="1306">
                  <c:v>0.96776904736000091</c:v>
                </c:pt>
                <c:pt idx="1307">
                  <c:v>0.97938830733035809</c:v>
                </c:pt>
                <c:pt idx="1308">
                  <c:v>0.99201252091522996</c:v>
                </c:pt>
                <c:pt idx="1309">
                  <c:v>1.0085404361368833</c:v>
                </c:pt>
                <c:pt idx="1310">
                  <c:v>1.0127230360017352</c:v>
                </c:pt>
                <c:pt idx="1311">
                  <c:v>1.007076152874206</c:v>
                </c:pt>
                <c:pt idx="1312">
                  <c:v>1.0094902802473567</c:v>
                </c:pt>
                <c:pt idx="1313">
                  <c:v>1.0143728520558133</c:v>
                </c:pt>
                <c:pt idx="1314">
                  <c:v>1.0157605891494379</c:v>
                </c:pt>
                <c:pt idx="1315">
                  <c:v>1.0254994299643005</c:v>
                </c:pt>
                <c:pt idx="1316">
                  <c:v>1.0180946498203083</c:v>
                </c:pt>
                <c:pt idx="1317">
                  <c:v>1.0141871250593997</c:v>
                </c:pt>
                <c:pt idx="1318">
                  <c:v>0.98582891043183818</c:v>
                </c:pt>
                <c:pt idx="1319">
                  <c:v>0.95844735667370662</c:v>
                </c:pt>
                <c:pt idx="1320">
                  <c:v>0.94575902877532492</c:v>
                </c:pt>
                <c:pt idx="1321">
                  <c:v>1.0086963565976685</c:v>
                </c:pt>
                <c:pt idx="1322">
                  <c:v>0.96839496458183238</c:v>
                </c:pt>
                <c:pt idx="1323">
                  <c:v>0.98867167885978768</c:v>
                </c:pt>
                <c:pt idx="1324">
                  <c:v>1.0192229503641095</c:v>
                </c:pt>
                <c:pt idx="1325">
                  <c:v>1.0406471417945848</c:v>
                </c:pt>
                <c:pt idx="1326">
                  <c:v>1.0438599193433289</c:v>
                </c:pt>
                <c:pt idx="1327">
                  <c:v>1.0447241672973762</c:v>
                </c:pt>
                <c:pt idx="1328">
                  <c:v>1.0301477272781709</c:v>
                </c:pt>
                <c:pt idx="1329">
                  <c:v>1.0168414722139749</c:v>
                </c:pt>
                <c:pt idx="1330">
                  <c:v>1.0154612341522613</c:v>
                </c:pt>
                <c:pt idx="1331">
                  <c:v>1.0219726655957113</c:v>
                </c:pt>
                <c:pt idx="1332">
                  <c:v>1.0162601563570259</c:v>
                </c:pt>
                <c:pt idx="1333">
                  <c:v>0.99233446485406573</c:v>
                </c:pt>
                <c:pt idx="1334">
                  <c:v>0.95503025598545976</c:v>
                </c:pt>
                <c:pt idx="1335">
                  <c:v>0.89606800949604093</c:v>
                </c:pt>
                <c:pt idx="1336">
                  <c:v>0.82807121270333706</c:v>
                </c:pt>
                <c:pt idx="1337">
                  <c:v>0.76893486228324348</c:v>
                </c:pt>
                <c:pt idx="1338">
                  <c:v>0.69947711898253484</c:v>
                </c:pt>
                <c:pt idx="1339">
                  <c:v>0.65782547473917641</c:v>
                </c:pt>
                <c:pt idx="1340">
                  <c:v>0.65072752642016651</c:v>
                </c:pt>
                <c:pt idx="1341">
                  <c:v>0.70092974574353983</c:v>
                </c:pt>
                <c:pt idx="1342">
                  <c:v>0.77338867532943856</c:v>
                </c:pt>
                <c:pt idx="1343">
                  <c:v>0.84518974970692973</c:v>
                </c:pt>
                <c:pt idx="1344">
                  <c:v>0.89632795456040182</c:v>
                </c:pt>
                <c:pt idx="1345">
                  <c:v>0.93541872894881062</c:v>
                </c:pt>
                <c:pt idx="1346">
                  <c:v>0.96584833629469569</c:v>
                </c:pt>
                <c:pt idx="1347">
                  <c:v>0.97811709403606084</c:v>
                </c:pt>
                <c:pt idx="1348">
                  <c:v>0.99604778780379155</c:v>
                </c:pt>
                <c:pt idx="1349">
                  <c:v>1.0019069196144865</c:v>
                </c:pt>
                <c:pt idx="1350">
                  <c:v>1.003205070734869</c:v>
                </c:pt>
                <c:pt idx="1351">
                  <c:v>0.99416844923076997</c:v>
                </c:pt>
                <c:pt idx="1352">
                  <c:v>0.98449188593666037</c:v>
                </c:pt>
                <c:pt idx="1353">
                  <c:v>0.98463392298459662</c:v>
                </c:pt>
                <c:pt idx="1354">
                  <c:v>0.98549588317025516</c:v>
                </c:pt>
                <c:pt idx="1355">
                  <c:v>0.98439471682967083</c:v>
                </c:pt>
                <c:pt idx="1356">
                  <c:v>0.99859102777062658</c:v>
                </c:pt>
                <c:pt idx="1357">
                  <c:v>1.0029304532338259</c:v>
                </c:pt>
                <c:pt idx="1358">
                  <c:v>1.0120947972216452</c:v>
                </c:pt>
                <c:pt idx="1359">
                  <c:v>1.0179049101038034</c:v>
                </c:pt>
                <c:pt idx="1360">
                  <c:v>1.0197268208959231</c:v>
                </c:pt>
                <c:pt idx="1361">
                  <c:v>1.0152606359748086</c:v>
                </c:pt>
                <c:pt idx="1362">
                  <c:v>1.0175462292212418</c:v>
                </c:pt>
                <c:pt idx="1363">
                  <c:v>1.0209277002551942</c:v>
                </c:pt>
                <c:pt idx="1364">
                  <c:v>1.020298428929278</c:v>
                </c:pt>
                <c:pt idx="1365">
                  <c:v>1.0196126850272802</c:v>
                </c:pt>
                <c:pt idx="1366">
                  <c:v>1.0234687240102844</c:v>
                </c:pt>
                <c:pt idx="1367">
                  <c:v>1.01984956436265</c:v>
                </c:pt>
                <c:pt idx="1368">
                  <c:v>1.0021855526579353</c:v>
                </c:pt>
                <c:pt idx="1369">
                  <c:v>0.99208222617618858</c:v>
                </c:pt>
                <c:pt idx="1370">
                  <c:v>0.98819931942658124</c:v>
                </c:pt>
                <c:pt idx="1371">
                  <c:v>0.97033152843810233</c:v>
                </c:pt>
                <c:pt idx="1372">
                  <c:v>0.96714772839737317</c:v>
                </c:pt>
                <c:pt idx="1373">
                  <c:v>0.96237496178727433</c:v>
                </c:pt>
                <c:pt idx="1374">
                  <c:v>0.96364955096537286</c:v>
                </c:pt>
                <c:pt idx="1375">
                  <c:v>0.97299519829238734</c:v>
                </c:pt>
                <c:pt idx="1376">
                  <c:v>0.98336077682456202</c:v>
                </c:pt>
                <c:pt idx="1377">
                  <c:v>0.99892566280144368</c:v>
                </c:pt>
                <c:pt idx="1378">
                  <c:v>1.0185417696624388</c:v>
                </c:pt>
                <c:pt idx="1379">
                  <c:v>1.0180121973563097</c:v>
                </c:pt>
                <c:pt idx="1380">
                  <c:v>1.0226751498779727</c:v>
                </c:pt>
                <c:pt idx="1381">
                  <c:v>1.0072254415077613</c:v>
                </c:pt>
                <c:pt idx="1382">
                  <c:v>1.0042282092117853</c:v>
                </c:pt>
                <c:pt idx="1383">
                  <c:v>0.98930598123307167</c:v>
                </c:pt>
                <c:pt idx="1384">
                  <c:v>0.9986312407812209</c:v>
                </c:pt>
                <c:pt idx="1385">
                  <c:v>0.99501957040495992</c:v>
                </c:pt>
                <c:pt idx="1386">
                  <c:v>0.99753335086270489</c:v>
                </c:pt>
                <c:pt idx="1387">
                  <c:v>1.0040014614678918</c:v>
                </c:pt>
                <c:pt idx="1388">
                  <c:v>0.97925444459136379</c:v>
                </c:pt>
                <c:pt idx="1389">
                  <c:v>0.96890448975532184</c:v>
                </c:pt>
                <c:pt idx="1390">
                  <c:v>0.9733171435615926</c:v>
                </c:pt>
                <c:pt idx="1391">
                  <c:v>0.97746721783861878</c:v>
                </c:pt>
                <c:pt idx="1392">
                  <c:v>0.97915278309822307</c:v>
                </c:pt>
                <c:pt idx="1393">
                  <c:v>0.98572852166456626</c:v>
                </c:pt>
                <c:pt idx="1394">
                  <c:v>1.0008132561026017</c:v>
                </c:pt>
                <c:pt idx="1395">
                  <c:v>0.99476299125860324</c:v>
                </c:pt>
                <c:pt idx="1396">
                  <c:v>0.98783461537685624</c:v>
                </c:pt>
                <c:pt idx="1397">
                  <c:v>0.98094276794372259</c:v>
                </c:pt>
                <c:pt idx="1398">
                  <c:v>0.98391706207631557</c:v>
                </c:pt>
                <c:pt idx="1399">
                  <c:v>0.99213762913324677</c:v>
                </c:pt>
                <c:pt idx="1400">
                  <c:v>1.0038883084017873</c:v>
                </c:pt>
                <c:pt idx="1401">
                  <c:v>1.0112166755564094</c:v>
                </c:pt>
                <c:pt idx="1402">
                  <c:v>1.0061389239765122</c:v>
                </c:pt>
                <c:pt idx="1403">
                  <c:v>1.0072890160493286</c:v>
                </c:pt>
                <c:pt idx="1404">
                  <c:v>1.008111572321178</c:v>
                </c:pt>
                <c:pt idx="1405">
                  <c:v>1.0199712419947482</c:v>
                </c:pt>
                <c:pt idx="1406">
                  <c:v>1.0363136907858983</c:v>
                </c:pt>
                <c:pt idx="1407">
                  <c:v>1.041677565311967</c:v>
                </c:pt>
                <c:pt idx="1408">
                  <c:v>1.0559922391377028</c:v>
                </c:pt>
                <c:pt idx="1409">
                  <c:v>1.0585385528999562</c:v>
                </c:pt>
                <c:pt idx="1410">
                  <c:v>1.060648437111777</c:v>
                </c:pt>
                <c:pt idx="1411">
                  <c:v>1.0519281991602827</c:v>
                </c:pt>
                <c:pt idx="1412">
                  <c:v>1.0419278463680577</c:v>
                </c:pt>
                <c:pt idx="1413">
                  <c:v>1.0468649248012323</c:v>
                </c:pt>
                <c:pt idx="1414">
                  <c:v>1.047473759124109</c:v>
                </c:pt>
                <c:pt idx="1415">
                  <c:v>1.0346826861162515</c:v>
                </c:pt>
                <c:pt idx="1416">
                  <c:v>1.0325248037745334</c:v>
                </c:pt>
                <c:pt idx="1417">
                  <c:v>1.0299735442974063</c:v>
                </c:pt>
                <c:pt idx="1418">
                  <c:v>1.0185486204182419</c:v>
                </c:pt>
                <c:pt idx="1419">
                  <c:v>1.0276544910920979</c:v>
                </c:pt>
                <c:pt idx="1420">
                  <c:v>1.0427305104895785</c:v>
                </c:pt>
                <c:pt idx="1421">
                  <c:v>1.0647317404280292</c:v>
                </c:pt>
                <c:pt idx="1422">
                  <c:v>1.0620660396559738</c:v>
                </c:pt>
                <c:pt idx="1423">
                  <c:v>1.0649223723180186</c:v>
                </c:pt>
                <c:pt idx="1424">
                  <c:v>1.0484014268873765</c:v>
                </c:pt>
                <c:pt idx="1425">
                  <c:v>1.0369440146849622</c:v>
                </c:pt>
                <c:pt idx="1426">
                  <c:v>1.0226879060528087</c:v>
                </c:pt>
                <c:pt idx="1427">
                  <c:v>1.010955216237726</c:v>
                </c:pt>
                <c:pt idx="1428">
                  <c:v>1.0042534237057938</c:v>
                </c:pt>
                <c:pt idx="1429">
                  <c:v>1.0008164808943605</c:v>
                </c:pt>
                <c:pt idx="1430">
                  <c:v>1.0032138466887595</c:v>
                </c:pt>
                <c:pt idx="1431">
                  <c:v>1.0100125156678399</c:v>
                </c:pt>
                <c:pt idx="1432">
                  <c:v>1.0050522890987599</c:v>
                </c:pt>
                <c:pt idx="1433">
                  <c:v>1.0028136114256185</c:v>
                </c:pt>
                <c:pt idx="1434">
                  <c:v>0.99436558397640673</c:v>
                </c:pt>
                <c:pt idx="1435">
                  <c:v>0.96767081552777712</c:v>
                </c:pt>
                <c:pt idx="1436">
                  <c:v>0.95872048088766182</c:v>
                </c:pt>
                <c:pt idx="1437">
                  <c:v>0.95434288595988359</c:v>
                </c:pt>
                <c:pt idx="1438">
                  <c:v>0.95869824221333699</c:v>
                </c:pt>
                <c:pt idx="1439">
                  <c:v>0.97517544831345193</c:v>
                </c:pt>
                <c:pt idx="1440">
                  <c:v>0.99336090999092264</c:v>
                </c:pt>
                <c:pt idx="1441">
                  <c:v>0.99948933823596431</c:v>
                </c:pt>
                <c:pt idx="1442">
                  <c:v>0.99094234628526867</c:v>
                </c:pt>
                <c:pt idx="1443">
                  <c:v>0.97032865168438542</c:v>
                </c:pt>
                <c:pt idx="1444">
                  <c:v>0.95790177565472479</c:v>
                </c:pt>
                <c:pt idx="1445">
                  <c:v>0.93862613167470255</c:v>
                </c:pt>
                <c:pt idx="1446">
                  <c:v>0.9067281712917602</c:v>
                </c:pt>
                <c:pt idx="1447">
                  <c:v>0.90081215570996387</c:v>
                </c:pt>
                <c:pt idx="1448">
                  <c:v>0.90353112836427785</c:v>
                </c:pt>
                <c:pt idx="1449">
                  <c:v>0.92576911650576732</c:v>
                </c:pt>
                <c:pt idx="1450">
                  <c:v>0.95874049360709424</c:v>
                </c:pt>
                <c:pt idx="1451">
                  <c:v>0.97872672403530925</c:v>
                </c:pt>
                <c:pt idx="1452">
                  <c:v>0.97452321314943924</c:v>
                </c:pt>
                <c:pt idx="1453">
                  <c:v>0.95498285734639499</c:v>
                </c:pt>
                <c:pt idx="1454">
                  <c:v>0.93398629744151551</c:v>
                </c:pt>
                <c:pt idx="1455">
                  <c:v>0.91113240750146918</c:v>
                </c:pt>
                <c:pt idx="1456">
                  <c:v>0.87139694712996107</c:v>
                </c:pt>
                <c:pt idx="1457">
                  <c:v>0.80887593287910964</c:v>
                </c:pt>
                <c:pt idx="1458">
                  <c:v>0.7339447794515177</c:v>
                </c:pt>
                <c:pt idx="1459">
                  <c:v>0.65068165610727269</c:v>
                </c:pt>
                <c:pt idx="1460">
                  <c:v>0.59810517412210673</c:v>
                </c:pt>
                <c:pt idx="1461">
                  <c:v>0.6006748584941678</c:v>
                </c:pt>
                <c:pt idx="1462">
                  <c:v>0.64125529409731252</c:v>
                </c:pt>
                <c:pt idx="1463">
                  <c:v>0.72731129159386176</c:v>
                </c:pt>
                <c:pt idx="1464">
                  <c:v>0.83135277874242963</c:v>
                </c:pt>
                <c:pt idx="1465">
                  <c:v>0.91114106956059804</c:v>
                </c:pt>
                <c:pt idx="1466">
                  <c:v>0.95681745365361182</c:v>
                </c:pt>
                <c:pt idx="1467">
                  <c:v>0.98723786799166957</c:v>
                </c:pt>
                <c:pt idx="1468">
                  <c:v>0.99082821755352113</c:v>
                </c:pt>
                <c:pt idx="1469">
                  <c:v>0.98252525890794196</c:v>
                </c:pt>
                <c:pt idx="1470">
                  <c:v>0.96581048512637546</c:v>
                </c:pt>
                <c:pt idx="1471">
                  <c:v>0.9464771942099397</c:v>
                </c:pt>
                <c:pt idx="1472">
                  <c:v>0.93603555387922488</c:v>
                </c:pt>
                <c:pt idx="1473">
                  <c:v>0.92522815502221301</c:v>
                </c:pt>
                <c:pt idx="1474">
                  <c:v>0.92754638921275689</c:v>
                </c:pt>
                <c:pt idx="1475">
                  <c:v>0.94705657876127336</c:v>
                </c:pt>
                <c:pt idx="1476">
                  <c:v>0.96121866319444371</c:v>
                </c:pt>
                <c:pt idx="1477">
                  <c:v>0.98359897094711302</c:v>
                </c:pt>
                <c:pt idx="1478">
                  <c:v>0.99993329631885519</c:v>
                </c:pt>
                <c:pt idx="1479">
                  <c:v>1.0139117683590388</c:v>
                </c:pt>
                <c:pt idx="1480">
                  <c:v>1.0126190653639955</c:v>
                </c:pt>
                <c:pt idx="1481">
                  <c:v>1.0012964447970629</c:v>
                </c:pt>
                <c:pt idx="1482">
                  <c:v>0.98861967484385704</c:v>
                </c:pt>
                <c:pt idx="1483">
                  <c:v>0.97493433746657343</c:v>
                </c:pt>
                <c:pt idx="1484">
                  <c:v>0.96842303212515313</c:v>
                </c:pt>
                <c:pt idx="1485">
                  <c:v>0.95759947393140332</c:v>
                </c:pt>
                <c:pt idx="1486">
                  <c:v>0.94757002550197433</c:v>
                </c:pt>
                <c:pt idx="1487">
                  <c:v>0.92536771399972673</c:v>
                </c:pt>
                <c:pt idx="1488">
                  <c:v>0.91401382453765445</c:v>
                </c:pt>
                <c:pt idx="1489">
                  <c:v>0.91702243032772801</c:v>
                </c:pt>
                <c:pt idx="1490">
                  <c:v>0.95055882806800918</c:v>
                </c:pt>
                <c:pt idx="1491">
                  <c:v>0.98185646820567785</c:v>
                </c:pt>
                <c:pt idx="1492">
                  <c:v>1.0026273972873008</c:v>
                </c:pt>
                <c:pt idx="1493">
                  <c:v>0.99703467828386805</c:v>
                </c:pt>
                <c:pt idx="1494">
                  <c:v>0.98109198494280991</c:v>
                </c:pt>
                <c:pt idx="1495">
                  <c:v>0.96448169430151476</c:v>
                </c:pt>
                <c:pt idx="1496">
                  <c:v>0.95819516377440095</c:v>
                </c:pt>
                <c:pt idx="1497">
                  <c:v>0.95739458667635569</c:v>
                </c:pt>
                <c:pt idx="1498">
                  <c:v>0.97379641712509379</c:v>
                </c:pt>
                <c:pt idx="1499">
                  <c:v>0.9923773749718503</c:v>
                </c:pt>
                <c:pt idx="1500">
                  <c:v>1.0049952733358221</c:v>
                </c:pt>
                <c:pt idx="1501">
                  <c:v>0.98988744280830421</c:v>
                </c:pt>
                <c:pt idx="1502">
                  <c:v>0.97733801599769776</c:v>
                </c:pt>
                <c:pt idx="1503">
                  <c:v>0.96095359573305006</c:v>
                </c:pt>
                <c:pt idx="1504">
                  <c:v>0.9517688053484018</c:v>
                </c:pt>
                <c:pt idx="1505">
                  <c:v>0.95878486648058514</c:v>
                </c:pt>
                <c:pt idx="1506">
                  <c:v>0.96985807394301526</c:v>
                </c:pt>
                <c:pt idx="1507">
                  <c:v>0.97864227929128711</c:v>
                </c:pt>
                <c:pt idx="1508">
                  <c:v>0.98095576571976018</c:v>
                </c:pt>
                <c:pt idx="1509">
                  <c:v>0.99080090946038146</c:v>
                </c:pt>
                <c:pt idx="1510">
                  <c:v>0.9756151235677587</c:v>
                </c:pt>
                <c:pt idx="1511">
                  <c:v>0.95398448606583486</c:v>
                </c:pt>
                <c:pt idx="1512">
                  <c:v>0.89146776639263947</c:v>
                </c:pt>
                <c:pt idx="1513">
                  <c:v>0.82292841068007283</c:v>
                </c:pt>
                <c:pt idx="1514">
                  <c:v>0.75514599599193044</c:v>
                </c:pt>
                <c:pt idx="1515">
                  <c:v>0.71563605752308335</c:v>
                </c:pt>
                <c:pt idx="1516">
                  <c:v>0.75062862135561448</c:v>
                </c:pt>
                <c:pt idx="1517">
                  <c:v>0.81093900884194403</c:v>
                </c:pt>
                <c:pt idx="1518">
                  <c:v>0.88719947152001477</c:v>
                </c:pt>
                <c:pt idx="1519">
                  <c:v>0.93921103440746623</c:v>
                </c:pt>
                <c:pt idx="1520">
                  <c:v>0.98197047046609753</c:v>
                </c:pt>
                <c:pt idx="1521">
                  <c:v>0.9955169650969905</c:v>
                </c:pt>
                <c:pt idx="1522">
                  <c:v>1.0089490434894888</c:v>
                </c:pt>
                <c:pt idx="1523">
                  <c:v>1.0046716135969376</c:v>
                </c:pt>
                <c:pt idx="1524">
                  <c:v>0.99416083045054293</c:v>
                </c:pt>
                <c:pt idx="1525">
                  <c:v>0.98559119967839104</c:v>
                </c:pt>
                <c:pt idx="1526">
                  <c:v>0.95957086619404264</c:v>
                </c:pt>
                <c:pt idx="1527">
                  <c:v>0.95672275385166716</c:v>
                </c:pt>
                <c:pt idx="1528">
                  <c:v>0.98502601444849369</c:v>
                </c:pt>
                <c:pt idx="1529">
                  <c:v>1.0001613373591669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A4-4538-8056-008D892F9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6730480"/>
        <c:axId val="1690994656"/>
      </c:scatterChart>
      <c:valAx>
        <c:axId val="1626730480"/>
        <c:scaling>
          <c:orientation val="minMax"/>
          <c:max val="15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90994656"/>
        <c:crosses val="autoZero"/>
        <c:crossBetween val="midCat"/>
      </c:valAx>
      <c:valAx>
        <c:axId val="169099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26730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coeficientes cúbicos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'ster orden 1'!$M$4:$M$37</c:f>
              <c:numCache>
                <c:formatCode>General</c:formatCode>
                <c:ptCount val="34"/>
                <c:pt idx="0">
                  <c:v>5.5</c:v>
                </c:pt>
                <c:pt idx="1">
                  <c:v>44.5</c:v>
                </c:pt>
                <c:pt idx="2">
                  <c:v>57.5</c:v>
                </c:pt>
                <c:pt idx="3">
                  <c:v>77.5</c:v>
                </c:pt>
                <c:pt idx="4">
                  <c:v>99.5</c:v>
                </c:pt>
                <c:pt idx="5">
                  <c:v>156</c:v>
                </c:pt>
                <c:pt idx="6">
                  <c:v>198</c:v>
                </c:pt>
                <c:pt idx="7">
                  <c:v>283</c:v>
                </c:pt>
                <c:pt idx="8">
                  <c:v>402</c:v>
                </c:pt>
                <c:pt idx="9">
                  <c:v>451</c:v>
                </c:pt>
                <c:pt idx="10">
                  <c:v>466</c:v>
                </c:pt>
                <c:pt idx="11">
                  <c:v>520.5</c:v>
                </c:pt>
                <c:pt idx="12">
                  <c:v>579</c:v>
                </c:pt>
                <c:pt idx="13">
                  <c:v>610.5</c:v>
                </c:pt>
                <c:pt idx="14">
                  <c:v>669</c:v>
                </c:pt>
                <c:pt idx="15">
                  <c:v>696.5</c:v>
                </c:pt>
                <c:pt idx="16">
                  <c:v>716</c:v>
                </c:pt>
                <c:pt idx="17">
                  <c:v>821</c:v>
                </c:pt>
                <c:pt idx="18">
                  <c:v>858.5</c:v>
                </c:pt>
                <c:pt idx="19">
                  <c:v>897</c:v>
                </c:pt>
                <c:pt idx="20">
                  <c:v>912.5</c:v>
                </c:pt>
                <c:pt idx="21">
                  <c:v>921</c:v>
                </c:pt>
                <c:pt idx="22">
                  <c:v>937</c:v>
                </c:pt>
                <c:pt idx="23">
                  <c:v>987</c:v>
                </c:pt>
                <c:pt idx="24">
                  <c:v>1043</c:v>
                </c:pt>
                <c:pt idx="25">
                  <c:v>1114.5</c:v>
                </c:pt>
                <c:pt idx="26">
                  <c:v>1124.5</c:v>
                </c:pt>
                <c:pt idx="27">
                  <c:v>1181</c:v>
                </c:pt>
                <c:pt idx="28">
                  <c:v>1240</c:v>
                </c:pt>
                <c:pt idx="29">
                  <c:v>1255</c:v>
                </c:pt>
                <c:pt idx="30">
                  <c:v>1276.5</c:v>
                </c:pt>
                <c:pt idx="31">
                  <c:v>1339.5</c:v>
                </c:pt>
                <c:pt idx="32">
                  <c:v>1460.5</c:v>
                </c:pt>
                <c:pt idx="33">
                  <c:v>1515</c:v>
                </c:pt>
              </c:numCache>
            </c:numRef>
          </c:xVal>
          <c:yVal>
            <c:numRef>
              <c:f>'ster orden 1'!$N$4:$N$37</c:f>
              <c:numCache>
                <c:formatCode>General</c:formatCode>
                <c:ptCount val="34"/>
                <c:pt idx="0">
                  <c:v>8.8000000000000005E-3</c:v>
                </c:pt>
                <c:pt idx="1">
                  <c:v>7.0000000000000001E-3</c:v>
                </c:pt>
                <c:pt idx="2">
                  <c:v>-8.0000000000000004E-4</c:v>
                </c:pt>
                <c:pt idx="3">
                  <c:v>4.0000000000000002E-4</c:v>
                </c:pt>
                <c:pt idx="4">
                  <c:v>1.5E-3</c:v>
                </c:pt>
                <c:pt idx="5">
                  <c:v>3.3999999999999998E-3</c:v>
                </c:pt>
                <c:pt idx="6">
                  <c:v>6.7000000000000002E-3</c:v>
                </c:pt>
                <c:pt idx="7">
                  <c:v>4.0000000000000002E-4</c:v>
                </c:pt>
                <c:pt idx="8">
                  <c:v>-3.0000000000000001E-3</c:v>
                </c:pt>
                <c:pt idx="9">
                  <c:v>8.6E-3</c:v>
                </c:pt>
                <c:pt idx="10">
                  <c:v>3.3999999999999998E-3</c:v>
                </c:pt>
                <c:pt idx="11">
                  <c:v>4.7999999999999996E-3</c:v>
                </c:pt>
                <c:pt idx="12">
                  <c:v>5.7999999999999996E-3</c:v>
                </c:pt>
                <c:pt idx="13">
                  <c:v>5.9999999999999995E-4</c:v>
                </c:pt>
                <c:pt idx="14">
                  <c:v>2.8999999999999998E-3</c:v>
                </c:pt>
                <c:pt idx="15">
                  <c:v>-5.9999999999999995E-4</c:v>
                </c:pt>
                <c:pt idx="16">
                  <c:v>-1.6999999999999999E-3</c:v>
                </c:pt>
                <c:pt idx="17">
                  <c:v>-6.4999999999999997E-3</c:v>
                </c:pt>
                <c:pt idx="18">
                  <c:v>-6.9999999999999999E-4</c:v>
                </c:pt>
                <c:pt idx="19" formatCode="0.00E+00">
                  <c:v>5.0000000000000002E-5</c:v>
                </c:pt>
                <c:pt idx="20">
                  <c:v>2.3999999999999998E-3</c:v>
                </c:pt>
                <c:pt idx="21">
                  <c:v>-3.8999999999999998E-3</c:v>
                </c:pt>
                <c:pt idx="22">
                  <c:v>-3.0000000000000001E-3</c:v>
                </c:pt>
                <c:pt idx="23">
                  <c:v>-1.2999999999999999E-3</c:v>
                </c:pt>
                <c:pt idx="24">
                  <c:v>-4.0000000000000002E-4</c:v>
                </c:pt>
                <c:pt idx="25">
                  <c:v>-2.0000000000000001E-4</c:v>
                </c:pt>
                <c:pt idx="26">
                  <c:v>5.0000000000000001E-4</c:v>
                </c:pt>
                <c:pt idx="27">
                  <c:v>-4.4000000000000003E-3</c:v>
                </c:pt>
                <c:pt idx="28">
                  <c:v>3.0000000000000001E-3</c:v>
                </c:pt>
                <c:pt idx="29">
                  <c:v>-3.0999999999999999E-3</c:v>
                </c:pt>
                <c:pt idx="30" formatCode="0.00E+00">
                  <c:v>-6.9999999999999994E-5</c:v>
                </c:pt>
                <c:pt idx="31">
                  <c:v>-1.2999999999999999E-3</c:v>
                </c:pt>
                <c:pt idx="32">
                  <c:v>-2.9999999999999997E-4</c:v>
                </c:pt>
                <c:pt idx="33">
                  <c:v>2.3999999999999998E-3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39-48AA-95A3-0894B4398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179999"/>
        <c:axId val="452839007"/>
      </c:scatterChart>
      <c:valAx>
        <c:axId val="295179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52839007"/>
        <c:crosses val="autoZero"/>
        <c:crossBetween val="midCat"/>
      </c:valAx>
      <c:valAx>
        <c:axId val="45283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95179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velocidad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'ster orden 1'!$X$4:$X$37</c:f>
              <c:numCache>
                <c:formatCode>General</c:formatCode>
                <c:ptCount val="34"/>
                <c:pt idx="0">
                  <c:v>6490.1809999999996</c:v>
                </c:pt>
                <c:pt idx="1">
                  <c:v>6493.7809999999999</c:v>
                </c:pt>
                <c:pt idx="2">
                  <c:v>6494.98</c:v>
                </c:pt>
                <c:pt idx="3">
                  <c:v>6496.8990000000003</c:v>
                </c:pt>
                <c:pt idx="4">
                  <c:v>6498.9378999999999</c:v>
                </c:pt>
                <c:pt idx="5">
                  <c:v>6504.1652999999997</c:v>
                </c:pt>
                <c:pt idx="6">
                  <c:v>6508.1205</c:v>
                </c:pt>
                <c:pt idx="8">
                  <c:v>6526.9840000000004</c:v>
                </c:pt>
                <c:pt idx="9">
                  <c:v>6531.4206999999997</c:v>
                </c:pt>
                <c:pt idx="10">
                  <c:v>6532.8730999999998</c:v>
                </c:pt>
                <c:pt idx="11">
                  <c:v>6537.9210000000003</c:v>
                </c:pt>
                <c:pt idx="12">
                  <c:v>6543.5037000000002</c:v>
                </c:pt>
                <c:pt idx="13">
                  <c:v>6546.2529999999997</c:v>
                </c:pt>
                <c:pt idx="14">
                  <c:v>6551.6767</c:v>
                </c:pt>
                <c:pt idx="15">
                  <c:v>6554.223</c:v>
                </c:pt>
                <c:pt idx="16">
                  <c:v>6556.0618000000004</c:v>
                </c:pt>
                <c:pt idx="17">
                  <c:v>6565.8829999999998</c:v>
                </c:pt>
                <c:pt idx="18">
                  <c:v>6569.2145</c:v>
                </c:pt>
                <c:pt idx="19">
                  <c:v>6572.826</c:v>
                </c:pt>
                <c:pt idx="20">
                  <c:v>6574.2262000000001</c:v>
                </c:pt>
                <c:pt idx="22">
                  <c:v>6576.56</c:v>
                </c:pt>
                <c:pt idx="23">
                  <c:v>6581.2088000000003</c:v>
                </c:pt>
                <c:pt idx="24">
                  <c:v>6586.3099000000002</c:v>
                </c:pt>
                <c:pt idx="25">
                  <c:v>6592.9120000000003</c:v>
                </c:pt>
                <c:pt idx="26">
                  <c:v>6593.8690999999999</c:v>
                </c:pt>
                <c:pt idx="27">
                  <c:v>6599.1048000000001</c:v>
                </c:pt>
                <c:pt idx="28">
                  <c:v>6604.6009999999997</c:v>
                </c:pt>
                <c:pt idx="29">
                  <c:v>6605.9736999999996</c:v>
                </c:pt>
                <c:pt idx="30">
                  <c:v>6608.0245999999997</c:v>
                </c:pt>
                <c:pt idx="31">
                  <c:v>6613.8244999999997</c:v>
                </c:pt>
                <c:pt idx="32">
                  <c:v>6625.0210999999999</c:v>
                </c:pt>
                <c:pt idx="33">
                  <c:v>6630.01</c:v>
                </c:pt>
              </c:numCache>
            </c:numRef>
          </c:xVal>
          <c:yVal>
            <c:numRef>
              <c:f>'ster orden 1'!$Z$4:$Z$37</c:f>
              <c:numCache>
                <c:formatCode>General</c:formatCode>
                <c:ptCount val="34"/>
                <c:pt idx="0">
                  <c:v>30.219639007844634</c:v>
                </c:pt>
                <c:pt idx="1">
                  <c:v>29.863295117116273</c:v>
                </c:pt>
                <c:pt idx="3">
                  <c:v>28.832674728951346</c:v>
                </c:pt>
                <c:pt idx="4">
                  <c:v>29.187140431141678</c:v>
                </c:pt>
                <c:pt idx="5">
                  <c:v>28.560387729736902</c:v>
                </c:pt>
                <c:pt idx="6">
                  <c:v>28.114535294698761</c:v>
                </c:pt>
                <c:pt idx="8">
                  <c:v>30.810423031346623</c:v>
                </c:pt>
                <c:pt idx="9">
                  <c:v>30.887825264636071</c:v>
                </c:pt>
                <c:pt idx="10">
                  <c:v>29.32426904687091</c:v>
                </c:pt>
                <c:pt idx="11">
                  <c:v>29.031714874117043</c:v>
                </c:pt>
                <c:pt idx="13">
                  <c:v>28.67355659927906</c:v>
                </c:pt>
                <c:pt idx="14">
                  <c:v>27.612547184818759</c:v>
                </c:pt>
                <c:pt idx="15">
                  <c:v>29.457997321258311</c:v>
                </c:pt>
                <c:pt idx="16">
                  <c:v>28.503950733926864</c:v>
                </c:pt>
                <c:pt idx="17">
                  <c:v>24.88505264113261</c:v>
                </c:pt>
                <c:pt idx="18">
                  <c:v>30.272799159325459</c:v>
                </c:pt>
                <c:pt idx="19">
                  <c:v>27.84472040420205</c:v>
                </c:pt>
                <c:pt idx="20">
                  <c:v>29.517048214300345</c:v>
                </c:pt>
                <c:pt idx="22">
                  <c:v>27.222925929959452</c:v>
                </c:pt>
                <c:pt idx="23">
                  <c:v>26.447875722812597</c:v>
                </c:pt>
                <c:pt idx="24">
                  <c:v>28.273245435261884</c:v>
                </c:pt>
                <c:pt idx="25">
                  <c:v>28.792320620230072</c:v>
                </c:pt>
                <c:pt idx="26">
                  <c:v>29.084626449704665</c:v>
                </c:pt>
                <c:pt idx="27">
                  <c:v>26.88122565708273</c:v>
                </c:pt>
                <c:pt idx="28">
                  <c:v>28.022859449450266</c:v>
                </c:pt>
                <c:pt idx="29">
                  <c:v>28.120887025706587</c:v>
                </c:pt>
                <c:pt idx="30">
                  <c:v>25.348217097787007</c:v>
                </c:pt>
                <c:pt idx="31">
                  <c:v>26.544480431245354</c:v>
                </c:pt>
                <c:pt idx="32">
                  <c:v>26.794138851315985</c:v>
                </c:pt>
                <c:pt idx="33">
                  <c:v>29.12283357763279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4E-4C22-9B95-D955322EA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652559"/>
        <c:axId val="295672335"/>
      </c:scatterChart>
      <c:valAx>
        <c:axId val="203652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95672335"/>
        <c:crosses val="autoZero"/>
        <c:crossBetween val="midCat"/>
      </c:valAx>
      <c:valAx>
        <c:axId val="29567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3652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parábolas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'ster orden 1'!$X$41:$X$73</c:f>
              <c:numCache>
                <c:formatCode>General</c:formatCode>
                <c:ptCount val="33"/>
                <c:pt idx="0">
                  <c:v>6493.7809999999999</c:v>
                </c:pt>
                <c:pt idx="1">
                  <c:v>6494.98</c:v>
                </c:pt>
                <c:pt idx="2">
                  <c:v>6496.8990000000003</c:v>
                </c:pt>
                <c:pt idx="3">
                  <c:v>6498.9378999999999</c:v>
                </c:pt>
                <c:pt idx="4">
                  <c:v>6504.1652999999997</c:v>
                </c:pt>
                <c:pt idx="5">
                  <c:v>6508.1205</c:v>
                </c:pt>
                <c:pt idx="8">
                  <c:v>6531.4206999999997</c:v>
                </c:pt>
                <c:pt idx="9">
                  <c:v>6532.8730999999998</c:v>
                </c:pt>
                <c:pt idx="10">
                  <c:v>6537.9210000000003</c:v>
                </c:pt>
                <c:pt idx="11">
                  <c:v>6543.5037000000002</c:v>
                </c:pt>
                <c:pt idx="12">
                  <c:v>6546.2529999999997</c:v>
                </c:pt>
                <c:pt idx="13">
                  <c:v>6551.6767</c:v>
                </c:pt>
                <c:pt idx="14">
                  <c:v>6554.223</c:v>
                </c:pt>
                <c:pt idx="15">
                  <c:v>6556.0618000000004</c:v>
                </c:pt>
                <c:pt idx="16">
                  <c:v>6565.8829999999998</c:v>
                </c:pt>
                <c:pt idx="17">
                  <c:v>6569.2145</c:v>
                </c:pt>
                <c:pt idx="18">
                  <c:v>6572.826</c:v>
                </c:pt>
                <c:pt idx="19">
                  <c:v>6574.2262000000001</c:v>
                </c:pt>
                <c:pt idx="21">
                  <c:v>6576.56</c:v>
                </c:pt>
                <c:pt idx="22">
                  <c:v>6581.2088000000003</c:v>
                </c:pt>
                <c:pt idx="23">
                  <c:v>6586.3099000000002</c:v>
                </c:pt>
                <c:pt idx="24">
                  <c:v>6592.9120000000003</c:v>
                </c:pt>
                <c:pt idx="25">
                  <c:v>6593.8690999999999</c:v>
                </c:pt>
                <c:pt idx="26">
                  <c:v>6599.1048000000001</c:v>
                </c:pt>
                <c:pt idx="27">
                  <c:v>6604.6009999999997</c:v>
                </c:pt>
                <c:pt idx="28">
                  <c:v>6605.9736999999996</c:v>
                </c:pt>
                <c:pt idx="29">
                  <c:v>6608.0245999999997</c:v>
                </c:pt>
                <c:pt idx="30">
                  <c:v>6613.8244999999997</c:v>
                </c:pt>
                <c:pt idx="32">
                  <c:v>6630.01</c:v>
                </c:pt>
              </c:numCache>
            </c:numRef>
          </c:xVal>
          <c:yVal>
            <c:numRef>
              <c:f>'ster orden 1'!$Z$41:$Z$73</c:f>
              <c:numCache>
                <c:formatCode>General</c:formatCode>
                <c:ptCount val="33"/>
                <c:pt idx="0">
                  <c:v>31.211686428322949</c:v>
                </c:pt>
                <c:pt idx="2">
                  <c:v>28.980963041513874</c:v>
                </c:pt>
                <c:pt idx="3">
                  <c:v>29.518953439078288</c:v>
                </c:pt>
                <c:pt idx="4">
                  <c:v>28.844391587368179</c:v>
                </c:pt>
                <c:pt idx="5">
                  <c:v>28.594912529822381</c:v>
                </c:pt>
                <c:pt idx="8">
                  <c:v>32.445676357495401</c:v>
                </c:pt>
                <c:pt idx="9">
                  <c:v>29.81544644589107</c:v>
                </c:pt>
                <c:pt idx="10">
                  <c:v>29.802426284608607</c:v>
                </c:pt>
                <c:pt idx="12">
                  <c:v>28.794506170770617</c:v>
                </c:pt>
                <c:pt idx="13">
                  <c:v>28.290296968447315</c:v>
                </c:pt>
                <c:pt idx="14">
                  <c:v>29.315814545238794</c:v>
                </c:pt>
                <c:pt idx="15">
                  <c:v>28.250228724990833</c:v>
                </c:pt>
                <c:pt idx="16">
                  <c:v>23.931864744120013</c:v>
                </c:pt>
                <c:pt idx="17">
                  <c:v>30.056301899539228</c:v>
                </c:pt>
                <c:pt idx="18">
                  <c:v>27.853374095432315</c:v>
                </c:pt>
                <c:pt idx="19">
                  <c:v>29.971713620557949</c:v>
                </c:pt>
                <c:pt idx="21">
                  <c:v>26.799306830826986</c:v>
                </c:pt>
                <c:pt idx="22">
                  <c:v>26.180393054531237</c:v>
                </c:pt>
                <c:pt idx="23">
                  <c:v>28.233537540889309</c:v>
                </c:pt>
                <c:pt idx="24">
                  <c:v>28.747006237850314</c:v>
                </c:pt>
                <c:pt idx="25">
                  <c:v>29.18762349279902</c:v>
                </c:pt>
                <c:pt idx="26">
                  <c:v>26.431361127121633</c:v>
                </c:pt>
                <c:pt idx="27">
                  <c:v>28.228570364485783</c:v>
                </c:pt>
                <c:pt idx="28">
                  <c:v>27.79631734250998</c:v>
                </c:pt>
                <c:pt idx="29">
                  <c:v>25.335353742872435</c:v>
                </c:pt>
                <c:pt idx="30">
                  <c:v>26.336442156371653</c:v>
                </c:pt>
                <c:pt idx="32">
                  <c:v>29.284769023352197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4F-454A-A5A5-70CFB6D99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652559"/>
        <c:axId val="295672335"/>
      </c:scatterChart>
      <c:valAx>
        <c:axId val="203652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95672335"/>
        <c:crosses val="autoZero"/>
        <c:crossBetween val="midCat"/>
      </c:valAx>
      <c:valAx>
        <c:axId val="29567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3652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'ster orden 1'!$Z$4:$Z$37</c:f>
              <c:numCache>
                <c:formatCode>General</c:formatCode>
                <c:ptCount val="34"/>
                <c:pt idx="0">
                  <c:v>30.219639007844634</c:v>
                </c:pt>
                <c:pt idx="1">
                  <c:v>29.863295117116273</c:v>
                </c:pt>
                <c:pt idx="3">
                  <c:v>28.832674728951346</c:v>
                </c:pt>
                <c:pt idx="4">
                  <c:v>29.187140431141678</c:v>
                </c:pt>
                <c:pt idx="5">
                  <c:v>28.560387729736902</c:v>
                </c:pt>
                <c:pt idx="6">
                  <c:v>28.114535294698761</c:v>
                </c:pt>
                <c:pt idx="8">
                  <c:v>30.810423031346623</c:v>
                </c:pt>
                <c:pt idx="9">
                  <c:v>30.887825264636071</c:v>
                </c:pt>
                <c:pt idx="10">
                  <c:v>29.32426904687091</c:v>
                </c:pt>
                <c:pt idx="11">
                  <c:v>29.031714874117043</c:v>
                </c:pt>
                <c:pt idx="13">
                  <c:v>28.67355659927906</c:v>
                </c:pt>
                <c:pt idx="14">
                  <c:v>27.612547184818759</c:v>
                </c:pt>
                <c:pt idx="15">
                  <c:v>29.457997321258311</c:v>
                </c:pt>
                <c:pt idx="16">
                  <c:v>28.503950733926864</c:v>
                </c:pt>
                <c:pt idx="17">
                  <c:v>24.88505264113261</c:v>
                </c:pt>
                <c:pt idx="18">
                  <c:v>30.272799159325459</c:v>
                </c:pt>
                <c:pt idx="19">
                  <c:v>27.84472040420205</c:v>
                </c:pt>
                <c:pt idx="20">
                  <c:v>29.517048214300345</c:v>
                </c:pt>
                <c:pt idx="22">
                  <c:v>27.222925929959452</c:v>
                </c:pt>
                <c:pt idx="23">
                  <c:v>26.447875722812597</c:v>
                </c:pt>
                <c:pt idx="24">
                  <c:v>28.273245435261884</c:v>
                </c:pt>
                <c:pt idx="25">
                  <c:v>28.792320620230072</c:v>
                </c:pt>
                <c:pt idx="26">
                  <c:v>29.084626449704665</c:v>
                </c:pt>
                <c:pt idx="27">
                  <c:v>26.88122565708273</c:v>
                </c:pt>
                <c:pt idx="28">
                  <c:v>28.022859449450266</c:v>
                </c:pt>
                <c:pt idx="29">
                  <c:v>28.120887025706587</c:v>
                </c:pt>
                <c:pt idx="30">
                  <c:v>25.348217097787007</c:v>
                </c:pt>
                <c:pt idx="31">
                  <c:v>26.544480431245354</c:v>
                </c:pt>
                <c:pt idx="32">
                  <c:v>26.794138851315985</c:v>
                </c:pt>
                <c:pt idx="33">
                  <c:v>29.12283357763279</c:v>
                </c:pt>
              </c:numCache>
            </c:numRef>
          </c:xVal>
          <c:yVal>
            <c:numRef>
              <c:f>'ster orden 1'!$U$4:$U$37</c:f>
              <c:numCache>
                <c:formatCode>General</c:formatCode>
                <c:ptCount val="34"/>
                <c:pt idx="0">
                  <c:v>0.76437176701906562</c:v>
                </c:pt>
                <c:pt idx="1">
                  <c:v>0.65142435029008516</c:v>
                </c:pt>
                <c:pt idx="2">
                  <c:v>0.47191604382019658</c:v>
                </c:pt>
                <c:pt idx="3">
                  <c:v>0.4013630750800472</c:v>
                </c:pt>
                <c:pt idx="4">
                  <c:v>0.51212692540398308</c:v>
                </c:pt>
                <c:pt idx="5">
                  <c:v>0.7848672501005084</c:v>
                </c:pt>
                <c:pt idx="6">
                  <c:v>0.71745006981632065</c:v>
                </c:pt>
                <c:pt idx="7">
                  <c:v>0.64495118786961303</c:v>
                </c:pt>
                <c:pt idx="8">
                  <c:v>0.69904664710087672</c:v>
                </c:pt>
                <c:pt idx="9">
                  <c:v>0.69031511546779623</c:v>
                </c:pt>
                <c:pt idx="10">
                  <c:v>0.73681550741059088</c:v>
                </c:pt>
                <c:pt idx="11">
                  <c:v>0.73862522968753508</c:v>
                </c:pt>
                <c:pt idx="12">
                  <c:v>0.67050694412628609</c:v>
                </c:pt>
                <c:pt idx="13">
                  <c:v>0.56132655335203219</c:v>
                </c:pt>
                <c:pt idx="14">
                  <c:v>0.61779570130517236</c:v>
                </c:pt>
                <c:pt idx="15">
                  <c:v>0.61771925280083773</c:v>
                </c:pt>
                <c:pt idx="16">
                  <c:v>0.52483824686505698</c:v>
                </c:pt>
                <c:pt idx="17">
                  <c:v>0.79521609955188777</c:v>
                </c:pt>
                <c:pt idx="18">
                  <c:v>0.70939781239973165</c:v>
                </c:pt>
                <c:pt idx="19">
                  <c:v>0.51480286174374079</c:v>
                </c:pt>
                <c:pt idx="20">
                  <c:v>0.53429365293433273</c:v>
                </c:pt>
                <c:pt idx="21">
                  <c:v>0.65520319276680961</c:v>
                </c:pt>
                <c:pt idx="22">
                  <c:v>0.81035473913360934</c:v>
                </c:pt>
                <c:pt idx="23">
                  <c:v>0.60595887619842215</c:v>
                </c:pt>
                <c:pt idx="24">
                  <c:v>0.72928806664161527</c:v>
                </c:pt>
                <c:pt idx="25">
                  <c:v>0.58645957239548485</c:v>
                </c:pt>
                <c:pt idx="26">
                  <c:v>0.59815948582917766</c:v>
                </c:pt>
                <c:pt idx="27">
                  <c:v>0.5779789142659657</c:v>
                </c:pt>
                <c:pt idx="28">
                  <c:v>0.79361253937373955</c:v>
                </c:pt>
                <c:pt idx="29">
                  <c:v>0.75504971318847647</c:v>
                </c:pt>
                <c:pt idx="30">
                  <c:v>0.73098819080749355</c:v>
                </c:pt>
                <c:pt idx="31">
                  <c:v>0.6490459585047168</c:v>
                </c:pt>
                <c:pt idx="32">
                  <c:v>0.5911880464753676</c:v>
                </c:pt>
                <c:pt idx="33">
                  <c:v>0.72146178171518949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5A-42BE-A1C4-3615760AF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41887"/>
        <c:axId val="50883727"/>
      </c:scatterChart>
      <c:valAx>
        <c:axId val="50941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883727"/>
        <c:crosses val="autoZero"/>
        <c:crossBetween val="midCat"/>
      </c:valAx>
      <c:valAx>
        <c:axId val="5088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941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1"/>
            <c:trendlineLbl>
              <c:layout>
                <c:manualLayout>
                  <c:x val="2.3820355788859725E-2"/>
                  <c:y val="0.58140109068352452"/>
                </c:manualLayout>
              </c:layout>
              <c:numFmt formatCode="0.0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'ster orden 1'!$F$785:$F$798</c:f>
              <c:numCache>
                <c:formatCode>General</c:formatCode>
                <c:ptCount val="14"/>
                <c:pt idx="0">
                  <c:v>-0.46299296507913823</c:v>
                </c:pt>
                <c:pt idx="1">
                  <c:v>-0.37039451793407352</c:v>
                </c:pt>
                <c:pt idx="2">
                  <c:v>-0.2777959980412561</c:v>
                </c:pt>
                <c:pt idx="3">
                  <c:v>-0.18519740521151107</c:v>
                </c:pt>
                <c:pt idx="4">
                  <c:v>-9.2598739258392015E-2</c:v>
                </c:pt>
                <c:pt idx="5">
                  <c:v>0</c:v>
                </c:pt>
                <c:pt idx="6">
                  <c:v>9.2598812743744929E-2</c:v>
                </c:pt>
                <c:pt idx="7">
                  <c:v>0.18519769915110373</c:v>
                </c:pt>
                <c:pt idx="8">
                  <c:v>0.2777966593966994</c:v>
                </c:pt>
                <c:pt idx="9">
                  <c:v>0.37039569365242642</c:v>
                </c:pt>
                <c:pt idx="10">
                  <c:v>0.46299480208563182</c:v>
                </c:pt>
                <c:pt idx="11">
                  <c:v>0.55559398486457212</c:v>
                </c:pt>
                <c:pt idx="12">
                  <c:v>0.64819324215022789</c:v>
                </c:pt>
                <c:pt idx="13">
                  <c:v>0.74079257410539867</c:v>
                </c:pt>
              </c:numCache>
            </c:numRef>
          </c:xVal>
          <c:yVal>
            <c:numRef>
              <c:f>'ster orden 1'!$G$785:$G$798</c:f>
              <c:numCache>
                <c:formatCode>General</c:formatCode>
                <c:ptCount val="14"/>
                <c:pt idx="0">
                  <c:v>0.35473008221530022</c:v>
                </c:pt>
                <c:pt idx="1">
                  <c:v>0.27895667967440163</c:v>
                </c:pt>
                <c:pt idx="2">
                  <c:v>0.2250196742375534</c:v>
                </c:pt>
                <c:pt idx="3">
                  <c:v>0.19617395472687085</c:v>
                </c:pt>
                <c:pt idx="4">
                  <c:v>0.17987640225140128</c:v>
                </c:pt>
                <c:pt idx="5">
                  <c:v>0.17756260677377647</c:v>
                </c:pt>
                <c:pt idx="6">
                  <c:v>0.18059376108162817</c:v>
                </c:pt>
                <c:pt idx="7">
                  <c:v>0.19072450165858651</c:v>
                </c:pt>
                <c:pt idx="8">
                  <c:v>0.20763680848552121</c:v>
                </c:pt>
                <c:pt idx="9">
                  <c:v>0.22572672459025786</c:v>
                </c:pt>
                <c:pt idx="10">
                  <c:v>0.24668210509910671</c:v>
                </c:pt>
                <c:pt idx="11">
                  <c:v>0.26924018842284486</c:v>
                </c:pt>
                <c:pt idx="12">
                  <c:v>0.30041303686254445</c:v>
                </c:pt>
                <c:pt idx="13">
                  <c:v>0.33709181278038364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1E-431C-B4CB-FC99F1B83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236576"/>
        <c:axId val="1614237056"/>
      </c:scatterChart>
      <c:valAx>
        <c:axId val="1614236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14237056"/>
        <c:crosses val="autoZero"/>
        <c:crossBetween val="midCat"/>
      </c:valAx>
      <c:valAx>
        <c:axId val="161423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14236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'ster parábolas'!$A$1:$A$1530</c:f>
              <c:numCache>
                <c:formatCode>General</c:formatCode>
                <c:ptCount val="15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</c:numCache>
            </c:numRef>
          </c:xVal>
          <c:yVal>
            <c:numRef>
              <c:f>'ster parábolas'!$D$1:$D$1530</c:f>
              <c:numCache>
                <c:formatCode>General</c:formatCode>
                <c:ptCount val="1530"/>
                <c:pt idx="0">
                  <c:v>0.99172753678043291</c:v>
                </c:pt>
                <c:pt idx="1">
                  <c:v>0.9917919976743097</c:v>
                </c:pt>
                <c:pt idx="2">
                  <c:v>0.96253369813034695</c:v>
                </c:pt>
                <c:pt idx="3">
                  <c:v>0.89262861671117966</c:v>
                </c:pt>
                <c:pt idx="4">
                  <c:v>0.81773753305607222</c:v>
                </c:pt>
                <c:pt idx="5">
                  <c:v>0.76945199202503034</c:v>
                </c:pt>
                <c:pt idx="6">
                  <c:v>0.77256345178659935</c:v>
                </c:pt>
                <c:pt idx="7">
                  <c:v>0.8110042700837452</c:v>
                </c:pt>
                <c:pt idx="8">
                  <c:v>0.8648706182970598</c:v>
                </c:pt>
                <c:pt idx="9">
                  <c:v>0.90157460835057179</c:v>
                </c:pt>
                <c:pt idx="10">
                  <c:v>0.93941184011389178</c:v>
                </c:pt>
                <c:pt idx="11">
                  <c:v>0.96298129614805272</c:v>
                </c:pt>
                <c:pt idx="12">
                  <c:v>0.98283933500680376</c:v>
                </c:pt>
                <c:pt idx="13">
                  <c:v>1.0060981591704432</c:v>
                </c:pt>
                <c:pt idx="14">
                  <c:v>1.0246096844771317</c:v>
                </c:pt>
                <c:pt idx="15">
                  <c:v>1.0449178360546501</c:v>
                </c:pt>
                <c:pt idx="16">
                  <c:v>1.0400629997466009</c:v>
                </c:pt>
                <c:pt idx="17">
                  <c:v>1.0241819663216554</c:v>
                </c:pt>
                <c:pt idx="18">
                  <c:v>0.9708810909939356</c:v>
                </c:pt>
                <c:pt idx="19">
                  <c:v>0.91586062617657815</c:v>
                </c:pt>
                <c:pt idx="20">
                  <c:v>0.87544602584358144</c:v>
                </c:pt>
                <c:pt idx="21">
                  <c:v>0.86247624829420522</c:v>
                </c:pt>
                <c:pt idx="22">
                  <c:v>0.88536338433939898</c:v>
                </c:pt>
                <c:pt idx="23">
                  <c:v>0.91111270077475082</c:v>
                </c:pt>
                <c:pt idx="24">
                  <c:v>0.94497655278413806</c:v>
                </c:pt>
                <c:pt idx="25">
                  <c:v>0.95761269368433788</c:v>
                </c:pt>
                <c:pt idx="26">
                  <c:v>0.94160790663989546</c:v>
                </c:pt>
                <c:pt idx="27">
                  <c:v>0.92135838276199744</c:v>
                </c:pt>
                <c:pt idx="28">
                  <c:v>0.89691409464597882</c:v>
                </c:pt>
                <c:pt idx="29">
                  <c:v>0.90055678606536316</c:v>
                </c:pt>
                <c:pt idx="30">
                  <c:v>0.92734450818788838</c:v>
                </c:pt>
                <c:pt idx="31">
                  <c:v>0.94761839811343485</c:v>
                </c:pt>
                <c:pt idx="32">
                  <c:v>0.96404907516727978</c:v>
                </c:pt>
                <c:pt idx="33">
                  <c:v>0.99486765805088939</c:v>
                </c:pt>
                <c:pt idx="34">
                  <c:v>1.0126636147670049</c:v>
                </c:pt>
                <c:pt idx="35">
                  <c:v>1.0130034771220067</c:v>
                </c:pt>
                <c:pt idx="36">
                  <c:v>1.0058055647156801</c:v>
                </c:pt>
                <c:pt idx="37">
                  <c:v>0.98907148867825034</c:v>
                </c:pt>
                <c:pt idx="38">
                  <c:v>0.96850485541496445</c:v>
                </c:pt>
                <c:pt idx="39">
                  <c:v>0.94535170866050888</c:v>
                </c:pt>
                <c:pt idx="40">
                  <c:v>0.90176162214117994</c:v>
                </c:pt>
                <c:pt idx="41">
                  <c:v>0.8361472349351764</c:v>
                </c:pt>
                <c:pt idx="42">
                  <c:v>0.75336778642921365</c:v>
                </c:pt>
                <c:pt idx="43">
                  <c:v>0.68168246664534338</c:v>
                </c:pt>
                <c:pt idx="44">
                  <c:v>0.649072901553992</c:v>
                </c:pt>
                <c:pt idx="45">
                  <c:v>0.66092423372604359</c:v>
                </c:pt>
                <c:pt idx="46">
                  <c:v>0.70153695827315565</c:v>
                </c:pt>
                <c:pt idx="47">
                  <c:v>0.74478136764515135</c:v>
                </c:pt>
                <c:pt idx="48">
                  <c:v>0.77428253568124805</c:v>
                </c:pt>
                <c:pt idx="49">
                  <c:v>0.80434246914752072</c:v>
                </c:pt>
                <c:pt idx="50">
                  <c:v>0.80510358823157235</c:v>
                </c:pt>
                <c:pt idx="51">
                  <c:v>0.78544585851089455</c:v>
                </c:pt>
                <c:pt idx="52">
                  <c:v>0.75745266151500179</c:v>
                </c:pt>
                <c:pt idx="53">
                  <c:v>0.69688898272930555</c:v>
                </c:pt>
                <c:pt idx="54">
                  <c:v>0.63347185830094888</c:v>
                </c:pt>
                <c:pt idx="55">
                  <c:v>0.56475081311319741</c:v>
                </c:pt>
                <c:pt idx="56">
                  <c:v>0.51138764831947936</c:v>
                </c:pt>
                <c:pt idx="57">
                  <c:v>0.48151801471294725</c:v>
                </c:pt>
                <c:pt idx="58">
                  <c:v>0.4710421677972908</c:v>
                </c:pt>
                <c:pt idx="59">
                  <c:v>0.48904981118181956</c:v>
                </c:pt>
                <c:pt idx="60">
                  <c:v>0.53730476640325009</c:v>
                </c:pt>
                <c:pt idx="61">
                  <c:v>0.60811517200691934</c:v>
                </c:pt>
                <c:pt idx="62">
                  <c:v>0.6742422196631298</c:v>
                </c:pt>
                <c:pt idx="63">
                  <c:v>0.72161899993535894</c:v>
                </c:pt>
                <c:pt idx="64">
                  <c:v>0.75065851456073895</c:v>
                </c:pt>
                <c:pt idx="65">
                  <c:v>0.78727906743154918</c:v>
                </c:pt>
                <c:pt idx="66">
                  <c:v>0.83769188805829287</c:v>
                </c:pt>
                <c:pt idx="67">
                  <c:v>0.87370617543858442</c:v>
                </c:pt>
                <c:pt idx="68">
                  <c:v>0.89711280510435698</c:v>
                </c:pt>
                <c:pt idx="69">
                  <c:v>0.89219046719774797</c:v>
                </c:pt>
                <c:pt idx="70">
                  <c:v>0.86444654569608093</c:v>
                </c:pt>
                <c:pt idx="71">
                  <c:v>0.80205662711567649</c:v>
                </c:pt>
                <c:pt idx="72">
                  <c:v>0.73651606796287739</c:v>
                </c:pt>
                <c:pt idx="73">
                  <c:v>0.6721030086265215</c:v>
                </c:pt>
                <c:pt idx="74">
                  <c:v>0.59002304713349274</c:v>
                </c:pt>
                <c:pt idx="75">
                  <c:v>0.51088937822558234</c:v>
                </c:pt>
                <c:pt idx="76">
                  <c:v>0.44355889253158542</c:v>
                </c:pt>
                <c:pt idx="77">
                  <c:v>0.40760231653329076</c:v>
                </c:pt>
                <c:pt idx="78">
                  <c:v>0.40350313372316904</c:v>
                </c:pt>
                <c:pt idx="79">
                  <c:v>0.43896121497238738</c:v>
                </c:pt>
                <c:pt idx="80">
                  <c:v>0.49797323831544027</c:v>
                </c:pt>
                <c:pt idx="81">
                  <c:v>0.56874320870299311</c:v>
                </c:pt>
                <c:pt idx="82">
                  <c:v>0.62826155107167891</c:v>
                </c:pt>
                <c:pt idx="83">
                  <c:v>0.66418960076309363</c:v>
                </c:pt>
                <c:pt idx="84">
                  <c:v>0.67187292167235979</c:v>
                </c:pt>
                <c:pt idx="85">
                  <c:v>0.67069238021599231</c:v>
                </c:pt>
                <c:pt idx="86">
                  <c:v>0.68890929691816416</c:v>
                </c:pt>
                <c:pt idx="87">
                  <c:v>0.74815364468232126</c:v>
                </c:pt>
                <c:pt idx="88">
                  <c:v>0.8164460764066459</c:v>
                </c:pt>
                <c:pt idx="89">
                  <c:v>0.87482377185429494</c:v>
                </c:pt>
                <c:pt idx="90">
                  <c:v>0.91394300515424309</c:v>
                </c:pt>
                <c:pt idx="91">
                  <c:v>0.92117242134790445</c:v>
                </c:pt>
                <c:pt idx="92">
                  <c:v>0.90712464497292022</c:v>
                </c:pt>
                <c:pt idx="93">
                  <c:v>0.88300506470070239</c:v>
                </c:pt>
                <c:pt idx="94">
                  <c:v>0.85077559020217985</c:v>
                </c:pt>
                <c:pt idx="95">
                  <c:v>0.81606813051963667</c:v>
                </c:pt>
                <c:pt idx="96">
                  <c:v>0.74467857930207904</c:v>
                </c:pt>
                <c:pt idx="97">
                  <c:v>0.65375229274709779</c:v>
                </c:pt>
                <c:pt idx="98">
                  <c:v>0.57279429005717275</c:v>
                </c:pt>
                <c:pt idx="99">
                  <c:v>0.51858829487372193</c:v>
                </c:pt>
                <c:pt idx="100">
                  <c:v>0.51322385653949176</c:v>
                </c:pt>
                <c:pt idx="101">
                  <c:v>0.55528792732536703</c:v>
                </c:pt>
                <c:pt idx="102">
                  <c:v>0.61846290893600875</c:v>
                </c:pt>
                <c:pt idx="103">
                  <c:v>0.67543286490504384</c:v>
                </c:pt>
                <c:pt idx="104">
                  <c:v>0.70014484971282998</c:v>
                </c:pt>
                <c:pt idx="105">
                  <c:v>0.69643703840826587</c:v>
                </c:pt>
                <c:pt idx="106">
                  <c:v>0.67469643897225917</c:v>
                </c:pt>
                <c:pt idx="107">
                  <c:v>0.68178241456236843</c:v>
                </c:pt>
                <c:pt idx="108">
                  <c:v>0.71092332290192528</c:v>
                </c:pt>
                <c:pt idx="109">
                  <c:v>0.7737341272248317</c:v>
                </c:pt>
                <c:pt idx="110">
                  <c:v>0.84704810195958713</c:v>
                </c:pt>
                <c:pt idx="111">
                  <c:v>0.90289886086452453</c:v>
                </c:pt>
                <c:pt idx="112">
                  <c:v>0.94299536051543942</c:v>
                </c:pt>
                <c:pt idx="113">
                  <c:v>0.95109006547924124</c:v>
                </c:pt>
                <c:pt idx="114">
                  <c:v>0.94922407993714242</c:v>
                </c:pt>
                <c:pt idx="115">
                  <c:v>0.95501939785957013</c:v>
                </c:pt>
                <c:pt idx="116">
                  <c:v>0.96679105747636596</c:v>
                </c:pt>
                <c:pt idx="117">
                  <c:v>0.97105860990570159</c:v>
                </c:pt>
                <c:pt idx="118">
                  <c:v>0.9530770022728392</c:v>
                </c:pt>
                <c:pt idx="119">
                  <c:v>0.93430593309074672</c:v>
                </c:pt>
                <c:pt idx="120">
                  <c:v>0.89769228222418873</c:v>
                </c:pt>
                <c:pt idx="121">
                  <c:v>0.84753341489154876</c:v>
                </c:pt>
                <c:pt idx="122">
                  <c:v>0.79472496347819488</c:v>
                </c:pt>
                <c:pt idx="123">
                  <c:v>0.75467153093513406</c:v>
                </c:pt>
                <c:pt idx="124">
                  <c:v>0.73690418670878655</c:v>
                </c:pt>
                <c:pt idx="125">
                  <c:v>0.75675522825145014</c:v>
                </c:pt>
                <c:pt idx="126">
                  <c:v>0.78769932956387367</c:v>
                </c:pt>
                <c:pt idx="127">
                  <c:v>0.80639546298316234</c:v>
                </c:pt>
                <c:pt idx="128">
                  <c:v>0.82033998197431335</c:v>
                </c:pt>
                <c:pt idx="129">
                  <c:v>0.83378013869980439</c:v>
                </c:pt>
                <c:pt idx="130">
                  <c:v>0.85700094950211836</c:v>
                </c:pt>
                <c:pt idx="131">
                  <c:v>0.89248088245717061</c:v>
                </c:pt>
                <c:pt idx="132">
                  <c:v>0.90648526164919441</c:v>
                </c:pt>
                <c:pt idx="133">
                  <c:v>0.9030830357390589</c:v>
                </c:pt>
                <c:pt idx="134">
                  <c:v>0.89984542233051856</c:v>
                </c:pt>
                <c:pt idx="135">
                  <c:v>0.89186885359610357</c:v>
                </c:pt>
                <c:pt idx="136">
                  <c:v>0.89739708200810853</c:v>
                </c:pt>
                <c:pt idx="137">
                  <c:v>0.9047629627542918</c:v>
                </c:pt>
                <c:pt idx="138">
                  <c:v>0.92519268651132658</c:v>
                </c:pt>
                <c:pt idx="139">
                  <c:v>0.92799834450633034</c:v>
                </c:pt>
                <c:pt idx="140">
                  <c:v>0.92695425499539352</c:v>
                </c:pt>
                <c:pt idx="141">
                  <c:v>0.92611084114623721</c:v>
                </c:pt>
                <c:pt idx="142">
                  <c:v>0.92606763987265517</c:v>
                </c:pt>
                <c:pt idx="143">
                  <c:v>0.92326582577351524</c:v>
                </c:pt>
                <c:pt idx="144">
                  <c:v>0.91950848446917388</c:v>
                </c:pt>
                <c:pt idx="145">
                  <c:v>0.90952916179383725</c:v>
                </c:pt>
                <c:pt idx="146">
                  <c:v>0.91308387521055878</c:v>
                </c:pt>
                <c:pt idx="147">
                  <c:v>0.91328484076278005</c:v>
                </c:pt>
                <c:pt idx="148">
                  <c:v>0.91225002521358145</c:v>
                </c:pt>
                <c:pt idx="149">
                  <c:v>0.91742490795326437</c:v>
                </c:pt>
                <c:pt idx="150">
                  <c:v>0.93277388035716824</c:v>
                </c:pt>
                <c:pt idx="151">
                  <c:v>0.94702752257208844</c:v>
                </c:pt>
                <c:pt idx="152">
                  <c:v>0.93373576501224687</c:v>
                </c:pt>
                <c:pt idx="153">
                  <c:v>0.90041812983505476</c:v>
                </c:pt>
                <c:pt idx="154">
                  <c:v>0.84211914853327818</c:v>
                </c:pt>
                <c:pt idx="155">
                  <c:v>0.79694091430863845</c:v>
                </c:pt>
                <c:pt idx="156">
                  <c:v>0.78572906918210594</c:v>
                </c:pt>
                <c:pt idx="157">
                  <c:v>0.8062355410032136</c:v>
                </c:pt>
                <c:pt idx="158">
                  <c:v>0.85032517455280732</c:v>
                </c:pt>
                <c:pt idx="159">
                  <c:v>0.88933290537776011</c:v>
                </c:pt>
                <c:pt idx="160">
                  <c:v>0.93144509661780539</c:v>
                </c:pt>
                <c:pt idx="161">
                  <c:v>0.95889419619170568</c:v>
                </c:pt>
                <c:pt idx="162">
                  <c:v>0.97817930485299942</c:v>
                </c:pt>
                <c:pt idx="163">
                  <c:v>0.98636153912933811</c:v>
                </c:pt>
                <c:pt idx="164">
                  <c:v>1.0012666266538159</c:v>
                </c:pt>
                <c:pt idx="165">
                  <c:v>1.011387820385115</c:v>
                </c:pt>
                <c:pt idx="166">
                  <c:v>1.0111108975193186</c:v>
                </c:pt>
                <c:pt idx="167">
                  <c:v>0.98379327033561337</c:v>
                </c:pt>
                <c:pt idx="168">
                  <c:v>0.95325350870050285</c:v>
                </c:pt>
                <c:pt idx="169">
                  <c:v>0.93166529028362355</c:v>
                </c:pt>
                <c:pt idx="170">
                  <c:v>0.93807088881411294</c:v>
                </c:pt>
                <c:pt idx="171">
                  <c:v>0.96461203095268</c:v>
                </c:pt>
                <c:pt idx="172">
                  <c:v>0.99401359833644976</c:v>
                </c:pt>
                <c:pt idx="173">
                  <c:v>1.0173461298246353</c:v>
                </c:pt>
                <c:pt idx="174">
                  <c:v>1.028677618815425</c:v>
                </c:pt>
                <c:pt idx="175">
                  <c:v>1.0334658315345833</c:v>
                </c:pt>
                <c:pt idx="176">
                  <c:v>1.0208281132353167</c:v>
                </c:pt>
                <c:pt idx="177">
                  <c:v>0.99325994340940882</c:v>
                </c:pt>
                <c:pt idx="178">
                  <c:v>0.95847590722692488</c:v>
                </c:pt>
                <c:pt idx="179">
                  <c:v>0.9309113044646955</c:v>
                </c:pt>
                <c:pt idx="180">
                  <c:v>0.9252724676099946</c:v>
                </c:pt>
                <c:pt idx="181">
                  <c:v>0.94120190514549429</c:v>
                </c:pt>
                <c:pt idx="182">
                  <c:v>0.9718871570225931</c:v>
                </c:pt>
                <c:pt idx="183">
                  <c:v>0.99355138848173341</c:v>
                </c:pt>
                <c:pt idx="184">
                  <c:v>0.98660116517583074</c:v>
                </c:pt>
                <c:pt idx="185">
                  <c:v>0.9724029769356517</c:v>
                </c:pt>
                <c:pt idx="186">
                  <c:v>0.9580304196541316</c:v>
                </c:pt>
                <c:pt idx="187">
                  <c:v>0.94224373671941963</c:v>
                </c:pt>
                <c:pt idx="188">
                  <c:v>0.9400334885648397</c:v>
                </c:pt>
                <c:pt idx="189">
                  <c:v>0.94483076777846398</c:v>
                </c:pt>
                <c:pt idx="190">
                  <c:v>0.95267617337586596</c:v>
                </c:pt>
                <c:pt idx="191">
                  <c:v>0.94891642541382204</c:v>
                </c:pt>
                <c:pt idx="192">
                  <c:v>0.95377367722597395</c:v>
                </c:pt>
                <c:pt idx="193">
                  <c:v>0.95819930973085865</c:v>
                </c:pt>
                <c:pt idx="194">
                  <c:v>0.95124180506069222</c:v>
                </c:pt>
                <c:pt idx="195">
                  <c:v>0.90806815717221068</c:v>
                </c:pt>
                <c:pt idx="196">
                  <c:v>0.83379939730883901</c:v>
                </c:pt>
                <c:pt idx="197">
                  <c:v>0.7597113497195046</c:v>
                </c:pt>
                <c:pt idx="198">
                  <c:v>0.71649238958965011</c:v>
                </c:pt>
                <c:pt idx="199">
                  <c:v>0.72148662530610874</c:v>
                </c:pt>
                <c:pt idx="200">
                  <c:v>0.75807955614794986</c:v>
                </c:pt>
                <c:pt idx="201">
                  <c:v>0.79734588317292665</c:v>
                </c:pt>
                <c:pt idx="202">
                  <c:v>0.83045958874746661</c:v>
                </c:pt>
                <c:pt idx="203">
                  <c:v>0.84214276741239913</c:v>
                </c:pt>
                <c:pt idx="204">
                  <c:v>0.83607842043367897</c:v>
                </c:pt>
                <c:pt idx="205">
                  <c:v>0.81708737012911559</c:v>
                </c:pt>
                <c:pt idx="206">
                  <c:v>0.80290299756613692</c:v>
                </c:pt>
                <c:pt idx="207">
                  <c:v>0.81101815512090492</c:v>
                </c:pt>
                <c:pt idx="208">
                  <c:v>0.83332829464547009</c:v>
                </c:pt>
                <c:pt idx="209">
                  <c:v>0.85457684815300128</c:v>
                </c:pt>
                <c:pt idx="210">
                  <c:v>0.86885493659984114</c:v>
                </c:pt>
                <c:pt idx="211">
                  <c:v>0.88738132668506353</c:v>
                </c:pt>
                <c:pt idx="212">
                  <c:v>0.90409195176075974</c:v>
                </c:pt>
                <c:pt idx="213">
                  <c:v>0.90589913437487635</c:v>
                </c:pt>
                <c:pt idx="214">
                  <c:v>0.90523177070311067</c:v>
                </c:pt>
                <c:pt idx="215">
                  <c:v>0.89757257781705058</c:v>
                </c:pt>
                <c:pt idx="216">
                  <c:v>0.8982410041477884</c:v>
                </c:pt>
                <c:pt idx="217">
                  <c:v>0.90608120475861398</c:v>
                </c:pt>
                <c:pt idx="218">
                  <c:v>0.91322785651826932</c:v>
                </c:pt>
                <c:pt idx="219">
                  <c:v>0.93438701923422396</c:v>
                </c:pt>
                <c:pt idx="220">
                  <c:v>0.94722285238280457</c:v>
                </c:pt>
                <c:pt idx="221">
                  <c:v>0.95852707899409706</c:v>
                </c:pt>
                <c:pt idx="222">
                  <c:v>0.94825833782109314</c:v>
                </c:pt>
                <c:pt idx="223">
                  <c:v>0.94178316963001363</c:v>
                </c:pt>
                <c:pt idx="224">
                  <c:v>0.94067997226577449</c:v>
                </c:pt>
                <c:pt idx="225">
                  <c:v>0.95686400118834558</c:v>
                </c:pt>
                <c:pt idx="226">
                  <c:v>0.97430809518370243</c:v>
                </c:pt>
                <c:pt idx="227">
                  <c:v>0.98720545456321496</c:v>
                </c:pt>
                <c:pt idx="228">
                  <c:v>0.98776908494291338</c:v>
                </c:pt>
                <c:pt idx="229">
                  <c:v>0.98054097917231375</c:v>
                </c:pt>
                <c:pt idx="230">
                  <c:v>0.96057242391499342</c:v>
                </c:pt>
                <c:pt idx="231">
                  <c:v>0.94623171141464835</c:v>
                </c:pt>
                <c:pt idx="232">
                  <c:v>0.94257791832623972</c:v>
                </c:pt>
                <c:pt idx="233">
                  <c:v>0.94328325865405538</c:v>
                </c:pt>
                <c:pt idx="234">
                  <c:v>0.94361265920566884</c:v>
                </c:pt>
                <c:pt idx="235">
                  <c:v>0.94690291415460504</c:v>
                </c:pt>
                <c:pt idx="236">
                  <c:v>0.95187440133845935</c:v>
                </c:pt>
                <c:pt idx="237">
                  <c:v>0.93408052881890413</c:v>
                </c:pt>
                <c:pt idx="238">
                  <c:v>0.9285056272799862</c:v>
                </c:pt>
                <c:pt idx="239">
                  <c:v>0.9267887353229769</c:v>
                </c:pt>
                <c:pt idx="240">
                  <c:v>0.91849976263690281</c:v>
                </c:pt>
                <c:pt idx="241">
                  <c:v>0.91548580284233538</c:v>
                </c:pt>
                <c:pt idx="242">
                  <c:v>0.91374448851461987</c:v>
                </c:pt>
                <c:pt idx="243">
                  <c:v>0.9233014205913046</c:v>
                </c:pt>
                <c:pt idx="244">
                  <c:v>0.91276556706320611</c:v>
                </c:pt>
                <c:pt idx="245">
                  <c:v>0.90607878761721516</c:v>
                </c:pt>
                <c:pt idx="246">
                  <c:v>0.89017474244096972</c:v>
                </c:pt>
                <c:pt idx="247">
                  <c:v>0.88823441269616388</c:v>
                </c:pt>
                <c:pt idx="248">
                  <c:v>0.90554245133817424</c:v>
                </c:pt>
                <c:pt idx="249">
                  <c:v>0.92033976630218972</c:v>
                </c:pt>
                <c:pt idx="250">
                  <c:v>0.92843877112669759</c:v>
                </c:pt>
                <c:pt idx="251">
                  <c:v>0.93433950680883338</c:v>
                </c:pt>
                <c:pt idx="252">
                  <c:v>0.93912097584118548</c:v>
                </c:pt>
                <c:pt idx="253">
                  <c:v>0.94578476547260215</c:v>
                </c:pt>
                <c:pt idx="254">
                  <c:v>0.9580644803693229</c:v>
                </c:pt>
                <c:pt idx="255">
                  <c:v>0.9658166080518773</c:v>
                </c:pt>
                <c:pt idx="256">
                  <c:v>0.97414994334623073</c:v>
                </c:pt>
                <c:pt idx="257">
                  <c:v>0.97124589681157358</c:v>
                </c:pt>
                <c:pt idx="258">
                  <c:v>0.96967464564888095</c:v>
                </c:pt>
                <c:pt idx="259">
                  <c:v>0.96290572940940367</c:v>
                </c:pt>
                <c:pt idx="260">
                  <c:v>0.95124438888305984</c:v>
                </c:pt>
                <c:pt idx="261">
                  <c:v>0.91123896235522706</c:v>
                </c:pt>
                <c:pt idx="262">
                  <c:v>0.84971837838802677</c:v>
                </c:pt>
                <c:pt idx="263">
                  <c:v>0.81549866622145706</c:v>
                </c:pt>
                <c:pt idx="264">
                  <c:v>0.8275660295252294</c:v>
                </c:pt>
                <c:pt idx="265">
                  <c:v>0.87403704848425823</c:v>
                </c:pt>
                <c:pt idx="266">
                  <c:v>0.88810614565291901</c:v>
                </c:pt>
                <c:pt idx="267">
                  <c:v>0.8854286900267957</c:v>
                </c:pt>
                <c:pt idx="268">
                  <c:v>0.87487308746473891</c:v>
                </c:pt>
                <c:pt idx="269">
                  <c:v>0.84828493412863393</c:v>
                </c:pt>
                <c:pt idx="270">
                  <c:v>0.82458793221971249</c:v>
                </c:pt>
                <c:pt idx="271">
                  <c:v>0.8020201077150293</c:v>
                </c:pt>
                <c:pt idx="272">
                  <c:v>0.79538784030024134</c:v>
                </c:pt>
                <c:pt idx="273">
                  <c:v>0.79581697804580065</c:v>
                </c:pt>
                <c:pt idx="274">
                  <c:v>0.80121221375053886</c:v>
                </c:pt>
                <c:pt idx="275">
                  <c:v>0.8197017243859589</c:v>
                </c:pt>
                <c:pt idx="276">
                  <c:v>0.85359392499593401</c:v>
                </c:pt>
                <c:pt idx="277">
                  <c:v>0.88751530104088805</c:v>
                </c:pt>
                <c:pt idx="278">
                  <c:v>0.89895732292872033</c:v>
                </c:pt>
                <c:pt idx="279">
                  <c:v>0.88588915717542849</c:v>
                </c:pt>
                <c:pt idx="280">
                  <c:v>0.84508481162956062</c:v>
                </c:pt>
                <c:pt idx="281">
                  <c:v>0.77463519471868414</c:v>
                </c:pt>
                <c:pt idx="282">
                  <c:v>0.69243442859234627</c:v>
                </c:pt>
                <c:pt idx="283">
                  <c:v>0.64301366323810494</c:v>
                </c:pt>
                <c:pt idx="284">
                  <c:v>0.65787338497511549</c:v>
                </c:pt>
                <c:pt idx="285">
                  <c:v>0.71981234465341004</c:v>
                </c:pt>
                <c:pt idx="286">
                  <c:v>0.78460705850135293</c:v>
                </c:pt>
                <c:pt idx="287">
                  <c:v>0.82288537121426131</c:v>
                </c:pt>
                <c:pt idx="288">
                  <c:v>0.84338331982889547</c:v>
                </c:pt>
                <c:pt idx="289">
                  <c:v>0.86801445816592326</c:v>
                </c:pt>
                <c:pt idx="290">
                  <c:v>0.8942771765691484</c:v>
                </c:pt>
                <c:pt idx="291">
                  <c:v>0.90497617431855981</c:v>
                </c:pt>
                <c:pt idx="292">
                  <c:v>0.89840864573349499</c:v>
                </c:pt>
                <c:pt idx="293">
                  <c:v>0.88456345676536774</c:v>
                </c:pt>
                <c:pt idx="294">
                  <c:v>0.86918629500434108</c:v>
                </c:pt>
                <c:pt idx="295">
                  <c:v>0.87205862441223447</c:v>
                </c:pt>
                <c:pt idx="296">
                  <c:v>0.87762819435807049</c:v>
                </c:pt>
                <c:pt idx="297">
                  <c:v>0.8777222106185536</c:v>
                </c:pt>
                <c:pt idx="298">
                  <c:v>0.88367793599947564</c:v>
                </c:pt>
                <c:pt idx="299">
                  <c:v>0.89023769545731568</c:v>
                </c:pt>
                <c:pt idx="300">
                  <c:v>0.89779541747679603</c:v>
                </c:pt>
                <c:pt idx="301">
                  <c:v>0.90215002950981593</c:v>
                </c:pt>
                <c:pt idx="302">
                  <c:v>0.89929031336859688</c:v>
                </c:pt>
                <c:pt idx="303">
                  <c:v>0.88994671421979032</c:v>
                </c:pt>
                <c:pt idx="304">
                  <c:v>0.88731443326373094</c:v>
                </c:pt>
                <c:pt idx="305">
                  <c:v>0.86950633616411033</c:v>
                </c:pt>
                <c:pt idx="306">
                  <c:v>0.83393881532825909</c:v>
                </c:pt>
                <c:pt idx="307">
                  <c:v>0.77485223271874348</c:v>
                </c:pt>
                <c:pt idx="308">
                  <c:v>0.71101518583681278</c:v>
                </c:pt>
                <c:pt idx="309">
                  <c:v>0.66868520028932799</c:v>
                </c:pt>
                <c:pt idx="310">
                  <c:v>0.65992153093170247</c:v>
                </c:pt>
                <c:pt idx="311">
                  <c:v>0.6827003681201701</c:v>
                </c:pt>
                <c:pt idx="312">
                  <c:v>0.69878580025282067</c:v>
                </c:pt>
                <c:pt idx="313">
                  <c:v>0.7011008069430803</c:v>
                </c:pt>
                <c:pt idx="314">
                  <c:v>0.70857602327051028</c:v>
                </c:pt>
                <c:pt idx="315">
                  <c:v>0.74518396349714455</c:v>
                </c:pt>
                <c:pt idx="316">
                  <c:v>0.80319048991390207</c:v>
                </c:pt>
                <c:pt idx="317">
                  <c:v>0.84790689179585388</c:v>
                </c:pt>
                <c:pt idx="318">
                  <c:v>0.87197003993161837</c:v>
                </c:pt>
                <c:pt idx="319">
                  <c:v>0.88315551675393189</c:v>
                </c:pt>
                <c:pt idx="320">
                  <c:v>0.88936190195830012</c:v>
                </c:pt>
                <c:pt idx="321">
                  <c:v>0.88648576695319381</c:v>
                </c:pt>
                <c:pt idx="322">
                  <c:v>0.88226749068293164</c:v>
                </c:pt>
                <c:pt idx="323">
                  <c:v>0.88131275517756713</c:v>
                </c:pt>
                <c:pt idx="324">
                  <c:v>0.87820124684337586</c:v>
                </c:pt>
                <c:pt idx="325">
                  <c:v>0.88329947170085255</c:v>
                </c:pt>
                <c:pt idx="326">
                  <c:v>0.8903010994781313</c:v>
                </c:pt>
                <c:pt idx="327">
                  <c:v>0.89870819761417586</c:v>
                </c:pt>
                <c:pt idx="328">
                  <c:v>0.90297552706084405</c:v>
                </c:pt>
                <c:pt idx="329">
                  <c:v>0.91256639726616628</c:v>
                </c:pt>
                <c:pt idx="330">
                  <c:v>0.9331838845503192</c:v>
                </c:pt>
                <c:pt idx="331">
                  <c:v>0.93820110625572217</c:v>
                </c:pt>
                <c:pt idx="332">
                  <c:v>0.93659178382510022</c:v>
                </c:pt>
                <c:pt idx="333">
                  <c:v>0.92315800807431336</c:v>
                </c:pt>
                <c:pt idx="334">
                  <c:v>0.91332919108073307</c:v>
                </c:pt>
                <c:pt idx="335">
                  <c:v>0.90147355210754077</c:v>
                </c:pt>
                <c:pt idx="336">
                  <c:v>0.89131928436552232</c:v>
                </c:pt>
                <c:pt idx="337">
                  <c:v>0.88468951583793742</c:v>
                </c:pt>
                <c:pt idx="338">
                  <c:v>0.88378921749911654</c:v>
                </c:pt>
                <c:pt idx="339">
                  <c:v>0.88794194313620789</c:v>
                </c:pt>
                <c:pt idx="340">
                  <c:v>0.89969807302176485</c:v>
                </c:pt>
                <c:pt idx="341">
                  <c:v>0.91476999638170264</c:v>
                </c:pt>
                <c:pt idx="342">
                  <c:v>0.92138651629040103</c:v>
                </c:pt>
                <c:pt idx="343">
                  <c:v>0.92351683936263829</c:v>
                </c:pt>
                <c:pt idx="344">
                  <c:v>0.92400178091063889</c:v>
                </c:pt>
                <c:pt idx="345">
                  <c:v>0.93018498281688444</c:v>
                </c:pt>
                <c:pt idx="346">
                  <c:v>0.93199505311773245</c:v>
                </c:pt>
                <c:pt idx="347">
                  <c:v>0.9279031629427853</c:v>
                </c:pt>
                <c:pt idx="348">
                  <c:v>0.93526297236174027</c:v>
                </c:pt>
                <c:pt idx="349">
                  <c:v>0.93480302059191378</c:v>
                </c:pt>
                <c:pt idx="350">
                  <c:v>0.9397474329859421</c:v>
                </c:pt>
                <c:pt idx="351">
                  <c:v>0.92702468162138374</c:v>
                </c:pt>
                <c:pt idx="352">
                  <c:v>0.91884356957825364</c:v>
                </c:pt>
                <c:pt idx="353">
                  <c:v>0.90879352600489205</c:v>
                </c:pt>
                <c:pt idx="354">
                  <c:v>0.89520828106060035</c:v>
                </c:pt>
                <c:pt idx="355">
                  <c:v>0.86443325443648855</c:v>
                </c:pt>
                <c:pt idx="356">
                  <c:v>0.83616002019539459</c:v>
                </c:pt>
                <c:pt idx="357">
                  <c:v>0.81718959937511282</c:v>
                </c:pt>
                <c:pt idx="358">
                  <c:v>0.8046609170919764</c:v>
                </c:pt>
                <c:pt idx="359">
                  <c:v>0.78895620486626239</c:v>
                </c:pt>
                <c:pt idx="360">
                  <c:v>0.7752455120482773</c:v>
                </c:pt>
                <c:pt idx="361">
                  <c:v>0.77495811949416693</c:v>
                </c:pt>
                <c:pt idx="362">
                  <c:v>0.80860472203002276</c:v>
                </c:pt>
                <c:pt idx="363">
                  <c:v>0.85450069435473042</c:v>
                </c:pt>
                <c:pt idx="364">
                  <c:v>0.88931414122693997</c:v>
                </c:pt>
                <c:pt idx="365">
                  <c:v>0.90379888939766584</c:v>
                </c:pt>
                <c:pt idx="366">
                  <c:v>0.90327427865831056</c:v>
                </c:pt>
                <c:pt idx="367">
                  <c:v>0.88949127922586058</c:v>
                </c:pt>
                <c:pt idx="368">
                  <c:v>0.8841107829421162</c:v>
                </c:pt>
                <c:pt idx="369">
                  <c:v>0.89708798380087995</c:v>
                </c:pt>
                <c:pt idx="370">
                  <c:v>0.91598211540417229</c:v>
                </c:pt>
                <c:pt idx="371">
                  <c:v>0.93520167627646489</c:v>
                </c:pt>
                <c:pt idx="372">
                  <c:v>0.95274877038043637</c:v>
                </c:pt>
                <c:pt idx="373">
                  <c:v>0.96549388007535331</c:v>
                </c:pt>
                <c:pt idx="374">
                  <c:v>0.96818117920327662</c:v>
                </c:pt>
                <c:pt idx="375">
                  <c:v>0.96938829712760466</c:v>
                </c:pt>
                <c:pt idx="376">
                  <c:v>0.96355032063903978</c:v>
                </c:pt>
                <c:pt idx="377">
                  <c:v>0.95067837558530766</c:v>
                </c:pt>
                <c:pt idx="378">
                  <c:v>0.94297058671823031</c:v>
                </c:pt>
                <c:pt idx="379">
                  <c:v>0.93245846552884737</c:v>
                </c:pt>
                <c:pt idx="380">
                  <c:v>0.92857721105337554</c:v>
                </c:pt>
                <c:pt idx="381">
                  <c:v>0.91801731428981215</c:v>
                </c:pt>
                <c:pt idx="382">
                  <c:v>0.92566071631171776</c:v>
                </c:pt>
                <c:pt idx="383">
                  <c:v>0.9356257404484053</c:v>
                </c:pt>
                <c:pt idx="384">
                  <c:v>0.95276849971567457</c:v>
                </c:pt>
                <c:pt idx="385">
                  <c:v>0.97355481706345026</c:v>
                </c:pt>
                <c:pt idx="386">
                  <c:v>0.98625271380358936</c:v>
                </c:pt>
                <c:pt idx="387">
                  <c:v>0.986603360505802</c:v>
                </c:pt>
                <c:pt idx="388">
                  <c:v>0.97346446590050417</c:v>
                </c:pt>
                <c:pt idx="389">
                  <c:v>0.94996292697244056</c:v>
                </c:pt>
                <c:pt idx="390">
                  <c:v>0.92259693321174741</c:v>
                </c:pt>
                <c:pt idx="391">
                  <c:v>0.90368279308462618</c:v>
                </c:pt>
                <c:pt idx="392">
                  <c:v>0.89661606367839464</c:v>
                </c:pt>
                <c:pt idx="393">
                  <c:v>0.90342287949833755</c:v>
                </c:pt>
                <c:pt idx="394">
                  <c:v>0.91679572399664577</c:v>
                </c:pt>
                <c:pt idx="395">
                  <c:v>0.91722389749444067</c:v>
                </c:pt>
                <c:pt idx="396">
                  <c:v>0.90612140288476373</c:v>
                </c:pt>
                <c:pt idx="397">
                  <c:v>0.88330137359786065</c:v>
                </c:pt>
                <c:pt idx="398">
                  <c:v>0.86227216982161792</c:v>
                </c:pt>
                <c:pt idx="399">
                  <c:v>0.81307323020543631</c:v>
                </c:pt>
                <c:pt idx="400">
                  <c:v>0.7699326909177463</c:v>
                </c:pt>
                <c:pt idx="401">
                  <c:v>0.72676754806400001</c:v>
                </c:pt>
                <c:pt idx="402">
                  <c:v>0.7008409271192908</c:v>
                </c:pt>
                <c:pt idx="403">
                  <c:v>0.69287334371077991</c:v>
                </c:pt>
                <c:pt idx="404">
                  <c:v>0.7195091510344972</c:v>
                </c:pt>
                <c:pt idx="405">
                  <c:v>0.7464250300598676</c:v>
                </c:pt>
                <c:pt idx="406">
                  <c:v>0.78414821574973925</c:v>
                </c:pt>
                <c:pt idx="407">
                  <c:v>0.81618596934345355</c:v>
                </c:pt>
                <c:pt idx="408">
                  <c:v>0.84812659678259883</c:v>
                </c:pt>
                <c:pt idx="409">
                  <c:v>0.87050578441012116</c:v>
                </c:pt>
                <c:pt idx="410">
                  <c:v>0.89563540525962049</c:v>
                </c:pt>
                <c:pt idx="411">
                  <c:v>0.90314827424194155</c:v>
                </c:pt>
                <c:pt idx="412">
                  <c:v>0.9082587865450128</c:v>
                </c:pt>
                <c:pt idx="413">
                  <c:v>0.90722539863731522</c:v>
                </c:pt>
                <c:pt idx="414">
                  <c:v>0.91465864897804616</c:v>
                </c:pt>
                <c:pt idx="415">
                  <c:v>0.92296265071478523</c:v>
                </c:pt>
                <c:pt idx="416">
                  <c:v>0.92880079306066221</c:v>
                </c:pt>
                <c:pt idx="417">
                  <c:v>0.91756129285538779</c:v>
                </c:pt>
                <c:pt idx="418">
                  <c:v>0.90663643584638465</c:v>
                </c:pt>
                <c:pt idx="419">
                  <c:v>0.89111361808036893</c:v>
                </c:pt>
                <c:pt idx="420">
                  <c:v>0.90271154697724076</c:v>
                </c:pt>
                <c:pt idx="421">
                  <c:v>0.91628342586594713</c:v>
                </c:pt>
                <c:pt idx="422">
                  <c:v>0.93152423231100057</c:v>
                </c:pt>
                <c:pt idx="423">
                  <c:v>0.93063250753237869</c:v>
                </c:pt>
                <c:pt idx="424">
                  <c:v>0.92695678493266698</c:v>
                </c:pt>
                <c:pt idx="425">
                  <c:v>0.90882427402462085</c:v>
                </c:pt>
                <c:pt idx="426">
                  <c:v>0.89195028201140603</c:v>
                </c:pt>
                <c:pt idx="427">
                  <c:v>0.87733874925780431</c:v>
                </c:pt>
                <c:pt idx="428">
                  <c:v>0.87376579905256879</c:v>
                </c:pt>
                <c:pt idx="429">
                  <c:v>0.8778003713910385</c:v>
                </c:pt>
                <c:pt idx="430">
                  <c:v>0.89609468559706207</c:v>
                </c:pt>
                <c:pt idx="431">
                  <c:v>0.91721870980243314</c:v>
                </c:pt>
                <c:pt idx="432">
                  <c:v>0.93330818438134711</c:v>
                </c:pt>
                <c:pt idx="433">
                  <c:v>0.93206573286100747</c:v>
                </c:pt>
                <c:pt idx="434">
                  <c:v>0.92133437576986899</c:v>
                </c:pt>
                <c:pt idx="435">
                  <c:v>0.91435518551178008</c:v>
                </c:pt>
                <c:pt idx="436">
                  <c:v>0.92658358383717287</c:v>
                </c:pt>
                <c:pt idx="437">
                  <c:v>0.93075897125760454</c:v>
                </c:pt>
                <c:pt idx="438">
                  <c:v>0.93493221663288939</c:v>
                </c:pt>
                <c:pt idx="439">
                  <c:v>0.94720711492930898</c:v>
                </c:pt>
                <c:pt idx="440">
                  <c:v>0.96744005550541623</c:v>
                </c:pt>
                <c:pt idx="441">
                  <c:v>0.99275545217489369</c:v>
                </c:pt>
                <c:pt idx="442">
                  <c:v>1.0167188143113934</c:v>
                </c:pt>
                <c:pt idx="443">
                  <c:v>1.0294440260551154</c:v>
                </c:pt>
                <c:pt idx="444">
                  <c:v>1.0143391105101291</c:v>
                </c:pt>
                <c:pt idx="445">
                  <c:v>0.98121869566959208</c:v>
                </c:pt>
                <c:pt idx="446">
                  <c:v>0.93771959215511858</c:v>
                </c:pt>
                <c:pt idx="447">
                  <c:v>0.87933414457236614</c:v>
                </c:pt>
                <c:pt idx="448">
                  <c:v>0.80671170403955395</c:v>
                </c:pt>
                <c:pt idx="449">
                  <c:v>0.73265543943312628</c:v>
                </c:pt>
                <c:pt idx="450">
                  <c:v>0.69278707986407428</c:v>
                </c:pt>
                <c:pt idx="451">
                  <c:v>0.69237415823722637</c:v>
                </c:pt>
                <c:pt idx="452">
                  <c:v>0.70612633326582563</c:v>
                </c:pt>
                <c:pt idx="453">
                  <c:v>0.72875462861776319</c:v>
                </c:pt>
                <c:pt idx="454">
                  <c:v>0.77244533942038696</c:v>
                </c:pt>
                <c:pt idx="455">
                  <c:v>0.83455616302788682</c:v>
                </c:pt>
                <c:pt idx="456">
                  <c:v>0.87668244614378354</c:v>
                </c:pt>
                <c:pt idx="457">
                  <c:v>0.90613105287825424</c:v>
                </c:pt>
                <c:pt idx="458">
                  <c:v>0.923049468574627</c:v>
                </c:pt>
                <c:pt idx="459">
                  <c:v>0.92159763289798369</c:v>
                </c:pt>
                <c:pt idx="460">
                  <c:v>0.90930292557094827</c:v>
                </c:pt>
                <c:pt idx="461">
                  <c:v>0.89077225863012366</c:v>
                </c:pt>
                <c:pt idx="462">
                  <c:v>0.86472421511820274</c:v>
                </c:pt>
                <c:pt idx="463">
                  <c:v>0.82495819884542132</c:v>
                </c:pt>
                <c:pt idx="464">
                  <c:v>0.78783210382799485</c:v>
                </c:pt>
                <c:pt idx="465">
                  <c:v>0.74641225533027666</c:v>
                </c:pt>
                <c:pt idx="466">
                  <c:v>0.74042305738356518</c:v>
                </c:pt>
                <c:pt idx="467">
                  <c:v>0.74822415151623667</c:v>
                </c:pt>
                <c:pt idx="468">
                  <c:v>0.78209599864011781</c:v>
                </c:pt>
                <c:pt idx="469">
                  <c:v>0.81660292259197143</c:v>
                </c:pt>
                <c:pt idx="470">
                  <c:v>0.83573527190604968</c:v>
                </c:pt>
                <c:pt idx="471">
                  <c:v>0.85083760934449415</c:v>
                </c:pt>
                <c:pt idx="472">
                  <c:v>0.87264519902463178</c:v>
                </c:pt>
                <c:pt idx="473">
                  <c:v>0.89460281535686181</c:v>
                </c:pt>
                <c:pt idx="474">
                  <c:v>0.89651449225574043</c:v>
                </c:pt>
                <c:pt idx="475">
                  <c:v>0.88441921127760992</c:v>
                </c:pt>
                <c:pt idx="476">
                  <c:v>0.85695161540395348</c:v>
                </c:pt>
                <c:pt idx="477">
                  <c:v>0.83568227230705838</c:v>
                </c:pt>
                <c:pt idx="478">
                  <c:v>0.83614020460842553</c:v>
                </c:pt>
                <c:pt idx="479">
                  <c:v>0.85754704944392468</c:v>
                </c:pt>
                <c:pt idx="480">
                  <c:v>0.89055922196201931</c:v>
                </c:pt>
                <c:pt idx="481">
                  <c:v>0.91780788192884089</c:v>
                </c:pt>
                <c:pt idx="482">
                  <c:v>0.93123066480074312</c:v>
                </c:pt>
                <c:pt idx="483">
                  <c:v>0.94589164369373502</c:v>
                </c:pt>
                <c:pt idx="484">
                  <c:v>0.95638151017389961</c:v>
                </c:pt>
                <c:pt idx="485">
                  <c:v>0.95421847292259521</c:v>
                </c:pt>
                <c:pt idx="486">
                  <c:v>0.95192754836344184</c:v>
                </c:pt>
                <c:pt idx="487">
                  <c:v>0.94017715746686126</c:v>
                </c:pt>
                <c:pt idx="488">
                  <c:v>0.94650428283584909</c:v>
                </c:pt>
                <c:pt idx="489">
                  <c:v>0.96133619296938089</c:v>
                </c:pt>
                <c:pt idx="490">
                  <c:v>0.97697759197166034</c:v>
                </c:pt>
                <c:pt idx="491">
                  <c:v>0.99663225505118835</c:v>
                </c:pt>
                <c:pt idx="492">
                  <c:v>1.01356252656909</c:v>
                </c:pt>
                <c:pt idx="493">
                  <c:v>1.0123474402729082</c:v>
                </c:pt>
                <c:pt idx="494">
                  <c:v>1.0053202386084399</c:v>
                </c:pt>
                <c:pt idx="495">
                  <c:v>0.99464188705524992</c:v>
                </c:pt>
                <c:pt idx="496">
                  <c:v>0.99507171640308811</c:v>
                </c:pt>
                <c:pt idx="497">
                  <c:v>1.0003656645936663</c:v>
                </c:pt>
                <c:pt idx="498">
                  <c:v>0.99893729551827914</c:v>
                </c:pt>
                <c:pt idx="499">
                  <c:v>0.98694453696202111</c:v>
                </c:pt>
                <c:pt idx="500">
                  <c:v>0.96935320367203137</c:v>
                </c:pt>
                <c:pt idx="501">
                  <c:v>0.95193762042522878</c:v>
                </c:pt>
                <c:pt idx="502">
                  <c:v>0.9418333745881301</c:v>
                </c:pt>
                <c:pt idx="503">
                  <c:v>0.92906604404743043</c:v>
                </c:pt>
                <c:pt idx="504">
                  <c:v>0.91373572775864276</c:v>
                </c:pt>
                <c:pt idx="505">
                  <c:v>0.90342971976658459</c:v>
                </c:pt>
                <c:pt idx="506">
                  <c:v>0.90292729555843054</c:v>
                </c:pt>
                <c:pt idx="507">
                  <c:v>0.91758762075405165</c:v>
                </c:pt>
                <c:pt idx="508">
                  <c:v>0.93119999564800338</c:v>
                </c:pt>
                <c:pt idx="509">
                  <c:v>0.94080662253749869</c:v>
                </c:pt>
                <c:pt idx="510">
                  <c:v>0.93844745285897124</c:v>
                </c:pt>
                <c:pt idx="511">
                  <c:v>0.92393814254828288</c:v>
                </c:pt>
                <c:pt idx="512">
                  <c:v>0.9175604659839941</c:v>
                </c:pt>
                <c:pt idx="513">
                  <c:v>0.91463066528473302</c:v>
                </c:pt>
                <c:pt idx="514">
                  <c:v>0.91644439936775501</c:v>
                </c:pt>
                <c:pt idx="515">
                  <c:v>0.91887545392171832</c:v>
                </c:pt>
                <c:pt idx="516">
                  <c:v>0.91244838793973593</c:v>
                </c:pt>
                <c:pt idx="517">
                  <c:v>0.88711459118157066</c:v>
                </c:pt>
                <c:pt idx="518">
                  <c:v>0.83312852845056373</c:v>
                </c:pt>
                <c:pt idx="519">
                  <c:v>0.77628877475968339</c:v>
                </c:pt>
                <c:pt idx="520">
                  <c:v>0.73769763689813583</c:v>
                </c:pt>
                <c:pt idx="521">
                  <c:v>0.74468793771055797</c:v>
                </c:pt>
                <c:pt idx="522">
                  <c:v>0.7783362272505413</c:v>
                </c:pt>
                <c:pt idx="523">
                  <c:v>0.8210355352068206</c:v>
                </c:pt>
                <c:pt idx="524">
                  <c:v>0.85445351542928449</c:v>
                </c:pt>
                <c:pt idx="525">
                  <c:v>0.87675288506986704</c:v>
                </c:pt>
                <c:pt idx="526">
                  <c:v>0.88920471725382833</c:v>
                </c:pt>
                <c:pt idx="527">
                  <c:v>0.90776592317543625</c:v>
                </c:pt>
                <c:pt idx="528">
                  <c:v>0.93265817065913326</c:v>
                </c:pt>
                <c:pt idx="529">
                  <c:v>0.96277727125350987</c:v>
                </c:pt>
                <c:pt idx="530">
                  <c:v>0.97937043870254903</c:v>
                </c:pt>
                <c:pt idx="531">
                  <c:v>0.99734655023535379</c:v>
                </c:pt>
                <c:pt idx="532">
                  <c:v>1.0036840557944853</c:v>
                </c:pt>
                <c:pt idx="533">
                  <c:v>1.0039799432614933</c:v>
                </c:pt>
                <c:pt idx="534">
                  <c:v>0.99894923350525289</c:v>
                </c:pt>
                <c:pt idx="535">
                  <c:v>0.99537572991599665</c:v>
                </c:pt>
                <c:pt idx="536">
                  <c:v>1.004167936073834</c:v>
                </c:pt>
                <c:pt idx="537">
                  <c:v>1.0156683177738697</c:v>
                </c:pt>
                <c:pt idx="538">
                  <c:v>1.0193900601537216</c:v>
                </c:pt>
                <c:pt idx="539">
                  <c:v>1.0169837733722529</c:v>
                </c:pt>
                <c:pt idx="540">
                  <c:v>1.0037782346921451</c:v>
                </c:pt>
                <c:pt idx="541">
                  <c:v>0.98638991902249118</c:v>
                </c:pt>
                <c:pt idx="542">
                  <c:v>0.97287933950821348</c:v>
                </c:pt>
                <c:pt idx="543">
                  <c:v>0.97142834668522993</c:v>
                </c:pt>
                <c:pt idx="544">
                  <c:v>0.97629413460452275</c:v>
                </c:pt>
                <c:pt idx="545">
                  <c:v>0.98892173049456189</c:v>
                </c:pt>
                <c:pt idx="546">
                  <c:v>0.99062934213463494</c:v>
                </c:pt>
                <c:pt idx="547">
                  <c:v>1.0045394797886777</c:v>
                </c:pt>
                <c:pt idx="548">
                  <c:v>1.0172222198950085</c:v>
                </c:pt>
                <c:pt idx="549">
                  <c:v>1.0339236993101977</c:v>
                </c:pt>
                <c:pt idx="550">
                  <c:v>1.0483034020692124</c:v>
                </c:pt>
                <c:pt idx="551">
                  <c:v>1.0539298696325698</c:v>
                </c:pt>
                <c:pt idx="552">
                  <c:v>1.0382670506724789</c:v>
                </c:pt>
                <c:pt idx="553">
                  <c:v>1.0114563427297674</c:v>
                </c:pt>
                <c:pt idx="554">
                  <c:v>0.97443692107630575</c:v>
                </c:pt>
                <c:pt idx="555">
                  <c:v>0.93303203009211622</c:v>
                </c:pt>
                <c:pt idx="556">
                  <c:v>0.90600891922296767</c:v>
                </c:pt>
                <c:pt idx="557">
                  <c:v>0.89014601337044463</c:v>
                </c:pt>
                <c:pt idx="558">
                  <c:v>0.88055437432099171</c:v>
                </c:pt>
                <c:pt idx="559">
                  <c:v>0.87732645963135802</c:v>
                </c:pt>
                <c:pt idx="560">
                  <c:v>0.88077946375645444</c:v>
                </c:pt>
                <c:pt idx="561">
                  <c:v>0.88911186683249166</c:v>
                </c:pt>
                <c:pt idx="562">
                  <c:v>0.91541468866295139</c:v>
                </c:pt>
                <c:pt idx="563">
                  <c:v>0.93635060885532451</c:v>
                </c:pt>
                <c:pt idx="564">
                  <c:v>0.951473739508225</c:v>
                </c:pt>
                <c:pt idx="565">
                  <c:v>0.95379529815962238</c:v>
                </c:pt>
                <c:pt idx="566">
                  <c:v>0.95566888926902094</c:v>
                </c:pt>
                <c:pt idx="567">
                  <c:v>0.95561990761425475</c:v>
                </c:pt>
                <c:pt idx="568">
                  <c:v>0.95977222016665054</c:v>
                </c:pt>
                <c:pt idx="569">
                  <c:v>0.95898909146086064</c:v>
                </c:pt>
                <c:pt idx="570">
                  <c:v>0.94689626035905894</c:v>
                </c:pt>
                <c:pt idx="571">
                  <c:v>0.92446092402696312</c:v>
                </c:pt>
                <c:pt idx="572">
                  <c:v>0.89879992648338114</c:v>
                </c:pt>
                <c:pt idx="573">
                  <c:v>0.87869051146838684</c:v>
                </c:pt>
                <c:pt idx="574">
                  <c:v>0.85878190057664439</c:v>
                </c:pt>
                <c:pt idx="575">
                  <c:v>0.82719550614905979</c:v>
                </c:pt>
                <c:pt idx="576">
                  <c:v>0.78390506734165077</c:v>
                </c:pt>
                <c:pt idx="577">
                  <c:v>0.72990841015153296</c:v>
                </c:pt>
                <c:pt idx="578">
                  <c:v>0.68121116739363208</c:v>
                </c:pt>
                <c:pt idx="579">
                  <c:v>0.67124638793048341</c:v>
                </c:pt>
                <c:pt idx="580">
                  <c:v>0.68924627886815359</c:v>
                </c:pt>
                <c:pt idx="581">
                  <c:v>0.72480213448409114</c:v>
                </c:pt>
                <c:pt idx="582">
                  <c:v>0.77656267641745891</c:v>
                </c:pt>
                <c:pt idx="583">
                  <c:v>0.81343989627392865</c:v>
                </c:pt>
                <c:pt idx="584">
                  <c:v>0.84711037226727881</c:v>
                </c:pt>
                <c:pt idx="585">
                  <c:v>0.8683694175193285</c:v>
                </c:pt>
                <c:pt idx="586">
                  <c:v>0.8860122084008295</c:v>
                </c:pt>
                <c:pt idx="587">
                  <c:v>0.89745192373799298</c:v>
                </c:pt>
                <c:pt idx="588">
                  <c:v>0.91125462007775793</c:v>
                </c:pt>
                <c:pt idx="589">
                  <c:v>0.92138118874007457</c:v>
                </c:pt>
                <c:pt idx="590">
                  <c:v>0.92368058494041883</c:v>
                </c:pt>
                <c:pt idx="591">
                  <c:v>0.92543823103992096</c:v>
                </c:pt>
                <c:pt idx="592">
                  <c:v>0.910207900270259</c:v>
                </c:pt>
                <c:pt idx="593">
                  <c:v>0.89242903541509899</c:v>
                </c:pt>
                <c:pt idx="594">
                  <c:v>0.88037149647352397</c:v>
                </c:pt>
                <c:pt idx="595">
                  <c:v>0.87598022273504317</c:v>
                </c:pt>
                <c:pt idx="596">
                  <c:v>0.87408146238518114</c:v>
                </c:pt>
                <c:pt idx="597">
                  <c:v>0.87984436632406471</c:v>
                </c:pt>
                <c:pt idx="598">
                  <c:v>0.88040623052338862</c:v>
                </c:pt>
                <c:pt idx="599">
                  <c:v>0.88183121025325018</c:v>
                </c:pt>
                <c:pt idx="600">
                  <c:v>0.89404073642942472</c:v>
                </c:pt>
                <c:pt idx="601">
                  <c:v>0.88659943726146562</c:v>
                </c:pt>
                <c:pt idx="602">
                  <c:v>0.88027799284788488</c:v>
                </c:pt>
                <c:pt idx="603">
                  <c:v>0.86831494302294265</c:v>
                </c:pt>
                <c:pt idx="604">
                  <c:v>0.84934093594954074</c:v>
                </c:pt>
                <c:pt idx="605">
                  <c:v>0.82960758623832631</c:v>
                </c:pt>
                <c:pt idx="606">
                  <c:v>0.79945499496472761</c:v>
                </c:pt>
                <c:pt idx="607">
                  <c:v>0.73736870393655995</c:v>
                </c:pt>
                <c:pt idx="608">
                  <c:v>0.66337565727248782</c:v>
                </c:pt>
                <c:pt idx="609">
                  <c:v>0.59736686452621424</c:v>
                </c:pt>
                <c:pt idx="610">
                  <c:v>0.56340009884785702</c:v>
                </c:pt>
                <c:pt idx="611">
                  <c:v>0.56579935538698256</c:v>
                </c:pt>
                <c:pt idx="612">
                  <c:v>0.62293863490460932</c:v>
                </c:pt>
                <c:pt idx="613">
                  <c:v>0.69048650000303957</c:v>
                </c:pt>
                <c:pt idx="614">
                  <c:v>0.75923397638344992</c:v>
                </c:pt>
                <c:pt idx="615">
                  <c:v>0.81844649724151997</c:v>
                </c:pt>
                <c:pt idx="616">
                  <c:v>0.85427182997405893</c:v>
                </c:pt>
                <c:pt idx="617">
                  <c:v>0.86146129721579445</c:v>
                </c:pt>
                <c:pt idx="618">
                  <c:v>0.85451190572866609</c:v>
                </c:pt>
                <c:pt idx="619">
                  <c:v>0.84154706498294707</c:v>
                </c:pt>
                <c:pt idx="620">
                  <c:v>0.83855208531724768</c:v>
                </c:pt>
                <c:pt idx="621">
                  <c:v>0.83775611828626473</c:v>
                </c:pt>
                <c:pt idx="622">
                  <c:v>0.82152165113617115</c:v>
                </c:pt>
                <c:pt idx="623">
                  <c:v>0.80936592297404497</c:v>
                </c:pt>
                <c:pt idx="624">
                  <c:v>0.78944675726556923</c:v>
                </c:pt>
                <c:pt idx="625">
                  <c:v>0.78700612688595495</c:v>
                </c:pt>
                <c:pt idx="626">
                  <c:v>0.78902322399041824</c:v>
                </c:pt>
                <c:pt idx="627">
                  <c:v>0.79155088702747523</c:v>
                </c:pt>
                <c:pt idx="628">
                  <c:v>0.77667267404767737</c:v>
                </c:pt>
                <c:pt idx="629">
                  <c:v>0.76609371650339042</c:v>
                </c:pt>
                <c:pt idx="630">
                  <c:v>0.77664559571331804</c:v>
                </c:pt>
                <c:pt idx="631">
                  <c:v>0.80953380841394396</c:v>
                </c:pt>
                <c:pt idx="632">
                  <c:v>0.83367076717695332</c:v>
                </c:pt>
                <c:pt idx="633">
                  <c:v>0.86754208460852411</c:v>
                </c:pt>
                <c:pt idx="634">
                  <c:v>0.89336319986617307</c:v>
                </c:pt>
                <c:pt idx="635">
                  <c:v>0.91845202836461026</c:v>
                </c:pt>
                <c:pt idx="636">
                  <c:v>0.93988233463053161</c:v>
                </c:pt>
                <c:pt idx="637">
                  <c:v>0.9441998036773297</c:v>
                </c:pt>
                <c:pt idx="638">
                  <c:v>0.953926074745163</c:v>
                </c:pt>
                <c:pt idx="639">
                  <c:v>0.95382554722736546</c:v>
                </c:pt>
                <c:pt idx="640">
                  <c:v>0.95344076717659632</c:v>
                </c:pt>
                <c:pt idx="641">
                  <c:v>0.95064092445942372</c:v>
                </c:pt>
                <c:pt idx="642">
                  <c:v>0.941387328927343</c:v>
                </c:pt>
                <c:pt idx="643">
                  <c:v>0.91133803723914208</c:v>
                </c:pt>
                <c:pt idx="644">
                  <c:v>0.87887555414651086</c:v>
                </c:pt>
                <c:pt idx="645">
                  <c:v>0.83783071126184527</c:v>
                </c:pt>
                <c:pt idx="646">
                  <c:v>0.81548754287303982</c:v>
                </c:pt>
                <c:pt idx="647">
                  <c:v>0.80500790410477219</c:v>
                </c:pt>
                <c:pt idx="648">
                  <c:v>0.80756746275675217</c:v>
                </c:pt>
                <c:pt idx="649">
                  <c:v>0.8204944920755608</c:v>
                </c:pt>
                <c:pt idx="650">
                  <c:v>0.82731783775021295</c:v>
                </c:pt>
                <c:pt idx="651">
                  <c:v>0.82396791273046066</c:v>
                </c:pt>
                <c:pt idx="652">
                  <c:v>0.82052440747748401</c:v>
                </c:pt>
                <c:pt idx="653">
                  <c:v>0.82286948587156461</c:v>
                </c:pt>
                <c:pt idx="654">
                  <c:v>0.82629728821048509</c:v>
                </c:pt>
                <c:pt idx="655">
                  <c:v>0.83777095516016287</c:v>
                </c:pt>
                <c:pt idx="656">
                  <c:v>0.85474682588713968</c:v>
                </c:pt>
                <c:pt idx="657">
                  <c:v>0.87213774951417511</c:v>
                </c:pt>
                <c:pt idx="658">
                  <c:v>0.88428431343174507</c:v>
                </c:pt>
                <c:pt idx="659">
                  <c:v>0.88873835207187235</c:v>
                </c:pt>
                <c:pt idx="660">
                  <c:v>0.87926793949430293</c:v>
                </c:pt>
                <c:pt idx="661">
                  <c:v>0.8681458858260247</c:v>
                </c:pt>
                <c:pt idx="662">
                  <c:v>0.85807473338389195</c:v>
                </c:pt>
                <c:pt idx="663">
                  <c:v>0.83550925945153265</c:v>
                </c:pt>
                <c:pt idx="664">
                  <c:v>0.80369215092853641</c:v>
                </c:pt>
                <c:pt idx="665">
                  <c:v>0.75546847250937543</c:v>
                </c:pt>
                <c:pt idx="666">
                  <c:v>0.70120320404729997</c:v>
                </c:pt>
                <c:pt idx="667">
                  <c:v>0.64989461355973499</c:v>
                </c:pt>
                <c:pt idx="668">
                  <c:v>0.62078097682764077</c:v>
                </c:pt>
                <c:pt idx="669">
                  <c:v>0.61802934990241831</c:v>
                </c:pt>
                <c:pt idx="670">
                  <c:v>0.63458187808071864</c:v>
                </c:pt>
                <c:pt idx="671">
                  <c:v>0.66338024066582391</c:v>
                </c:pt>
                <c:pt idx="672">
                  <c:v>0.69214989019790507</c:v>
                </c:pt>
                <c:pt idx="673">
                  <c:v>0.74604761235014161</c:v>
                </c:pt>
                <c:pt idx="674">
                  <c:v>0.80573897412001116</c:v>
                </c:pt>
                <c:pt idx="675">
                  <c:v>0.84587571915289639</c:v>
                </c:pt>
                <c:pt idx="676">
                  <c:v>0.87418506018639708</c:v>
                </c:pt>
                <c:pt idx="677">
                  <c:v>0.88468582701994913</c:v>
                </c:pt>
                <c:pt idx="678">
                  <c:v>0.88097039675319289</c:v>
                </c:pt>
                <c:pt idx="679">
                  <c:v>0.8777972892639051</c:v>
                </c:pt>
                <c:pt idx="680">
                  <c:v>0.86893127506697887</c:v>
                </c:pt>
                <c:pt idx="681">
                  <c:v>0.86922874163621111</c:v>
                </c:pt>
                <c:pt idx="682">
                  <c:v>0.85807435821086975</c:v>
                </c:pt>
                <c:pt idx="683">
                  <c:v>0.8525841468806018</c:v>
                </c:pt>
                <c:pt idx="684">
                  <c:v>0.84699968007209447</c:v>
                </c:pt>
                <c:pt idx="685">
                  <c:v>0.85093091161166967</c:v>
                </c:pt>
                <c:pt idx="686">
                  <c:v>0.86765730099310312</c:v>
                </c:pt>
                <c:pt idx="687">
                  <c:v>0.87999570753251455</c:v>
                </c:pt>
                <c:pt idx="688">
                  <c:v>0.88966405739516397</c:v>
                </c:pt>
                <c:pt idx="689">
                  <c:v>0.87963324693820644</c:v>
                </c:pt>
                <c:pt idx="690">
                  <c:v>0.86384145719715133</c:v>
                </c:pt>
                <c:pt idx="691">
                  <c:v>0.84852680567675554</c:v>
                </c:pt>
                <c:pt idx="692">
                  <c:v>0.8116269493246917</c:v>
                </c:pt>
                <c:pt idx="693">
                  <c:v>0.76838752709977776</c:v>
                </c:pt>
                <c:pt idx="694">
                  <c:v>0.71406255553006848</c:v>
                </c:pt>
                <c:pt idx="695">
                  <c:v>0.66011273545197369</c:v>
                </c:pt>
                <c:pt idx="696">
                  <c:v>0.62010418414586255</c:v>
                </c:pt>
                <c:pt idx="697">
                  <c:v>0.62149353751960879</c:v>
                </c:pt>
                <c:pt idx="698">
                  <c:v>0.65413059072382007</c:v>
                </c:pt>
                <c:pt idx="699">
                  <c:v>0.71171645498667024</c:v>
                </c:pt>
                <c:pt idx="700">
                  <c:v>0.77530315896906399</c:v>
                </c:pt>
                <c:pt idx="701">
                  <c:v>0.81548603521027663</c:v>
                </c:pt>
                <c:pt idx="702">
                  <c:v>0.84640601232957091</c:v>
                </c:pt>
                <c:pt idx="703">
                  <c:v>0.86777388008665757</c:v>
                </c:pt>
                <c:pt idx="704">
                  <c:v>0.86731741680733965</c:v>
                </c:pt>
                <c:pt idx="705">
                  <c:v>0.87530886345037207</c:v>
                </c:pt>
                <c:pt idx="706">
                  <c:v>0.88263440518846215</c:v>
                </c:pt>
                <c:pt idx="707">
                  <c:v>0.87048533090239177</c:v>
                </c:pt>
                <c:pt idx="708">
                  <c:v>0.86570034926726691</c:v>
                </c:pt>
                <c:pt idx="709">
                  <c:v>0.85233889847988931</c:v>
                </c:pt>
                <c:pt idx="710">
                  <c:v>0.82976030229474307</c:v>
                </c:pt>
                <c:pt idx="711">
                  <c:v>0.79907759648693488</c:v>
                </c:pt>
                <c:pt idx="712">
                  <c:v>0.7516757439863393</c:v>
                </c:pt>
                <c:pt idx="713">
                  <c:v>0.69211040628962006</c:v>
                </c:pt>
                <c:pt idx="714">
                  <c:v>0.61240086707942643</c:v>
                </c:pt>
                <c:pt idx="715">
                  <c:v>0.55255210851672454</c:v>
                </c:pt>
                <c:pt idx="716">
                  <c:v>0.52581450003738828</c:v>
                </c:pt>
                <c:pt idx="717">
                  <c:v>0.53765783126058209</c:v>
                </c:pt>
                <c:pt idx="718">
                  <c:v>0.59432120374333952</c:v>
                </c:pt>
                <c:pt idx="719">
                  <c:v>0.66942082224031196</c:v>
                </c:pt>
                <c:pt idx="720">
                  <c:v>0.74201925658412993</c:v>
                </c:pt>
                <c:pt idx="721">
                  <c:v>0.7922537490187308</c:v>
                </c:pt>
                <c:pt idx="722">
                  <c:v>0.83595643832609157</c:v>
                </c:pt>
                <c:pt idx="723">
                  <c:v>0.86830173295369606</c:v>
                </c:pt>
                <c:pt idx="724">
                  <c:v>0.88078742628065909</c:v>
                </c:pt>
                <c:pt idx="725">
                  <c:v>0.88519500880515389</c:v>
                </c:pt>
                <c:pt idx="726">
                  <c:v>0.88462070757245437</c:v>
                </c:pt>
                <c:pt idx="727">
                  <c:v>0.87839118310169406</c:v>
                </c:pt>
                <c:pt idx="728">
                  <c:v>0.86522529643377166</c:v>
                </c:pt>
                <c:pt idx="729">
                  <c:v>0.84377711876701444</c:v>
                </c:pt>
                <c:pt idx="730">
                  <c:v>0.82811158731558676</c:v>
                </c:pt>
                <c:pt idx="731">
                  <c:v>0.82747339219377969</c:v>
                </c:pt>
                <c:pt idx="732">
                  <c:v>0.8298113340864125</c:v>
                </c:pt>
                <c:pt idx="733">
                  <c:v>0.83621449588461916</c:v>
                </c:pt>
                <c:pt idx="734">
                  <c:v>0.83823818342963541</c:v>
                </c:pt>
                <c:pt idx="735">
                  <c:v>0.8277841922724154</c:v>
                </c:pt>
                <c:pt idx="736">
                  <c:v>0.80529436579424396</c:v>
                </c:pt>
                <c:pt idx="737">
                  <c:v>0.78673605573814187</c:v>
                </c:pt>
                <c:pt idx="738">
                  <c:v>0.785365989821878</c:v>
                </c:pt>
                <c:pt idx="739">
                  <c:v>0.80558001773407162</c:v>
                </c:pt>
                <c:pt idx="740">
                  <c:v>0.83675629284668207</c:v>
                </c:pt>
                <c:pt idx="741">
                  <c:v>0.86823366047171369</c:v>
                </c:pt>
                <c:pt idx="742">
                  <c:v>0.88678030180629552</c:v>
                </c:pt>
                <c:pt idx="743">
                  <c:v>0.90238739858372807</c:v>
                </c:pt>
                <c:pt idx="744">
                  <c:v>0.90938043349254238</c:v>
                </c:pt>
                <c:pt idx="745">
                  <c:v>0.91977602056604912</c:v>
                </c:pt>
                <c:pt idx="746">
                  <c:v>0.93216535914316723</c:v>
                </c:pt>
                <c:pt idx="747">
                  <c:v>0.94080929774726541</c:v>
                </c:pt>
                <c:pt idx="748">
                  <c:v>0.96110185321789643</c:v>
                </c:pt>
                <c:pt idx="749">
                  <c:v>0.9724856694524644</c:v>
                </c:pt>
                <c:pt idx="750">
                  <c:v>0.96799255467862333</c:v>
                </c:pt>
                <c:pt idx="751">
                  <c:v>0.94953873982015158</c:v>
                </c:pt>
                <c:pt idx="752">
                  <c:v>0.92459521130011113</c:v>
                </c:pt>
                <c:pt idx="753">
                  <c:v>0.88535583887615754</c:v>
                </c:pt>
                <c:pt idx="754">
                  <c:v>0.86148478862903521</c:v>
                </c:pt>
                <c:pt idx="755">
                  <c:v>0.84794848226071451</c:v>
                </c:pt>
                <c:pt idx="756">
                  <c:v>0.8426007571467955</c:v>
                </c:pt>
                <c:pt idx="757">
                  <c:v>0.85531189300356003</c:v>
                </c:pt>
                <c:pt idx="758">
                  <c:v>0.87432988969577519</c:v>
                </c:pt>
                <c:pt idx="759">
                  <c:v>0.883263497474856</c:v>
                </c:pt>
                <c:pt idx="760">
                  <c:v>0.88577188018445263</c:v>
                </c:pt>
                <c:pt idx="761">
                  <c:v>0.88828324212892262</c:v>
                </c:pt>
                <c:pt idx="762">
                  <c:v>0.88883527855946476</c:v>
                </c:pt>
                <c:pt idx="763">
                  <c:v>0.88922856202752576</c:v>
                </c:pt>
                <c:pt idx="764">
                  <c:v>0.88984919212761926</c:v>
                </c:pt>
                <c:pt idx="765">
                  <c:v>0.89868073581017183</c:v>
                </c:pt>
                <c:pt idx="766">
                  <c:v>0.91350720010016384</c:v>
                </c:pt>
                <c:pt idx="767">
                  <c:v>0.93401078587392483</c:v>
                </c:pt>
                <c:pt idx="768">
                  <c:v>0.95191667062099272</c:v>
                </c:pt>
                <c:pt idx="769">
                  <c:v>0.97647067913020114</c:v>
                </c:pt>
                <c:pt idx="770">
                  <c:v>0.99836348484923987</c:v>
                </c:pt>
                <c:pt idx="771">
                  <c:v>1.0139505237353483</c:v>
                </c:pt>
                <c:pt idx="772">
                  <c:v>1.0226791393115677</c:v>
                </c:pt>
                <c:pt idx="773">
                  <c:v>1.0327043213298963</c:v>
                </c:pt>
                <c:pt idx="774">
                  <c:v>1.0470273561808507</c:v>
                </c:pt>
                <c:pt idx="775">
                  <c:v>1.0399976891823981</c:v>
                </c:pt>
                <c:pt idx="776">
                  <c:v>1.0268340021848585</c:v>
                </c:pt>
                <c:pt idx="777">
                  <c:v>0.99581193221904907</c:v>
                </c:pt>
                <c:pt idx="778">
                  <c:v>0.94604565001701857</c:v>
                </c:pt>
                <c:pt idx="779">
                  <c:v>0.87564681251067855</c:v>
                </c:pt>
                <c:pt idx="780">
                  <c:v>0.7864728919082612</c:v>
                </c:pt>
                <c:pt idx="781">
                  <c:v>0.68377657645048273</c:v>
                </c:pt>
                <c:pt idx="782">
                  <c:v>0.56602708397688639</c:v>
                </c:pt>
                <c:pt idx="783">
                  <c:v>0.45762566225187334</c:v>
                </c:pt>
                <c:pt idx="784">
                  <c:v>0.35473008221530022</c:v>
                </c:pt>
                <c:pt idx="785">
                  <c:v>0.27895667967440163</c:v>
                </c:pt>
                <c:pt idx="786">
                  <c:v>0.2250196742375534</c:v>
                </c:pt>
                <c:pt idx="787">
                  <c:v>0.19617395472687085</c:v>
                </c:pt>
                <c:pt idx="788">
                  <c:v>0.17987640225140128</c:v>
                </c:pt>
                <c:pt idx="789">
                  <c:v>0.17756260677377647</c:v>
                </c:pt>
                <c:pt idx="790">
                  <c:v>0.18059376108162817</c:v>
                </c:pt>
                <c:pt idx="791">
                  <c:v>0.19072450165858651</c:v>
                </c:pt>
                <c:pt idx="792">
                  <c:v>0.20763680848552121</c:v>
                </c:pt>
                <c:pt idx="793">
                  <c:v>0.22572672459025786</c:v>
                </c:pt>
                <c:pt idx="794">
                  <c:v>0.24668210509910671</c:v>
                </c:pt>
                <c:pt idx="795">
                  <c:v>0.26924018842284486</c:v>
                </c:pt>
                <c:pt idx="796">
                  <c:v>0.30041303686254445</c:v>
                </c:pt>
                <c:pt idx="797">
                  <c:v>0.33709181278038364</c:v>
                </c:pt>
                <c:pt idx="798">
                  <c:v>0.39019346669658517</c:v>
                </c:pt>
                <c:pt idx="799">
                  <c:v>0.45872613705942833</c:v>
                </c:pt>
                <c:pt idx="800">
                  <c:v>0.53461297546448372</c:v>
                </c:pt>
                <c:pt idx="801">
                  <c:v>0.60934480899582277</c:v>
                </c:pt>
                <c:pt idx="802">
                  <c:v>0.67430445516524495</c:v>
                </c:pt>
                <c:pt idx="803">
                  <c:v>0.73244305118615549</c:v>
                </c:pt>
                <c:pt idx="804">
                  <c:v>0.77809334021784338</c:v>
                </c:pt>
                <c:pt idx="805">
                  <c:v>0.8244575332877434</c:v>
                </c:pt>
                <c:pt idx="806">
                  <c:v>0.85646295325751354</c:v>
                </c:pt>
                <c:pt idx="807">
                  <c:v>0.88060944333649849</c:v>
                </c:pt>
                <c:pt idx="808">
                  <c:v>0.89933288987407645</c:v>
                </c:pt>
                <c:pt idx="809">
                  <c:v>0.91200897530752034</c:v>
                </c:pt>
                <c:pt idx="810">
                  <c:v>0.9215331578007262</c:v>
                </c:pt>
                <c:pt idx="811">
                  <c:v>0.93086985810557077</c:v>
                </c:pt>
                <c:pt idx="812">
                  <c:v>0.93966012386616393</c:v>
                </c:pt>
                <c:pt idx="813">
                  <c:v>0.94881713701371795</c:v>
                </c:pt>
                <c:pt idx="814">
                  <c:v>0.95589315804121711</c:v>
                </c:pt>
                <c:pt idx="815">
                  <c:v>0.94815137534791971</c:v>
                </c:pt>
                <c:pt idx="816">
                  <c:v>0.92217959561148943</c:v>
                </c:pt>
                <c:pt idx="817">
                  <c:v>0.89710688278220518</c:v>
                </c:pt>
                <c:pt idx="818">
                  <c:v>0.86025152143653127</c:v>
                </c:pt>
                <c:pt idx="819">
                  <c:v>0.83076220330229666</c:v>
                </c:pt>
                <c:pt idx="820">
                  <c:v>0.80998751284514148</c:v>
                </c:pt>
                <c:pt idx="821">
                  <c:v>0.79476251250442287</c:v>
                </c:pt>
                <c:pt idx="822">
                  <c:v>0.79759684023681443</c:v>
                </c:pt>
                <c:pt idx="823">
                  <c:v>0.82247174869336903</c:v>
                </c:pt>
                <c:pt idx="824">
                  <c:v>0.85820836887055041</c:v>
                </c:pt>
                <c:pt idx="825">
                  <c:v>0.88692734953136698</c:v>
                </c:pt>
                <c:pt idx="826">
                  <c:v>0.91809461822170146</c:v>
                </c:pt>
                <c:pt idx="827">
                  <c:v>0.93151335195024554</c:v>
                </c:pt>
                <c:pt idx="828">
                  <c:v>0.93513550707013704</c:v>
                </c:pt>
                <c:pt idx="829">
                  <c:v>0.92278094168512137</c:v>
                </c:pt>
                <c:pt idx="830">
                  <c:v>0.90782570701322152</c:v>
                </c:pt>
                <c:pt idx="831">
                  <c:v>0.87808307190668189</c:v>
                </c:pt>
                <c:pt idx="832">
                  <c:v>0.86596179766486014</c:v>
                </c:pt>
                <c:pt idx="833">
                  <c:v>0.87404514573207215</c:v>
                </c:pt>
                <c:pt idx="834">
                  <c:v>0.88045965521000968</c:v>
                </c:pt>
                <c:pt idx="835">
                  <c:v>0.89832659963580686</c:v>
                </c:pt>
                <c:pt idx="836">
                  <c:v>0.90521957017748078</c:v>
                </c:pt>
                <c:pt idx="837">
                  <c:v>0.90981562199497978</c:v>
                </c:pt>
                <c:pt idx="838">
                  <c:v>0.90740337837265317</c:v>
                </c:pt>
                <c:pt idx="839">
                  <c:v>0.91586166735663177</c:v>
                </c:pt>
                <c:pt idx="840">
                  <c:v>0.92360346440393826</c:v>
                </c:pt>
                <c:pt idx="841">
                  <c:v>0.92670488541450147</c:v>
                </c:pt>
                <c:pt idx="842">
                  <c:v>0.93492257885764685</c:v>
                </c:pt>
                <c:pt idx="843">
                  <c:v>0.94473240523112811</c:v>
                </c:pt>
                <c:pt idx="844">
                  <c:v>0.9473565658432852</c:v>
                </c:pt>
                <c:pt idx="845">
                  <c:v>0.94354586602131751</c:v>
                </c:pt>
                <c:pt idx="846">
                  <c:v>0.94283912665350889</c:v>
                </c:pt>
                <c:pt idx="847">
                  <c:v>0.94484356332030595</c:v>
                </c:pt>
                <c:pt idx="848">
                  <c:v>0.95088492791217583</c:v>
                </c:pt>
                <c:pt idx="849">
                  <c:v>0.95203822087313383</c:v>
                </c:pt>
                <c:pt idx="850">
                  <c:v>0.94214305225608364</c:v>
                </c:pt>
                <c:pt idx="851">
                  <c:v>0.92558811518521655</c:v>
                </c:pt>
                <c:pt idx="852">
                  <c:v>0.89352312191500372</c:v>
                </c:pt>
                <c:pt idx="853">
                  <c:v>0.86239370748333188</c:v>
                </c:pt>
                <c:pt idx="854">
                  <c:v>0.83153799495953318</c:v>
                </c:pt>
                <c:pt idx="855">
                  <c:v>0.79797195582571667</c:v>
                </c:pt>
                <c:pt idx="856">
                  <c:v>0.76869117983003765</c:v>
                </c:pt>
                <c:pt idx="857">
                  <c:v>0.7337783451559633</c:v>
                </c:pt>
                <c:pt idx="858">
                  <c:v>0.71417546610574778</c:v>
                </c:pt>
                <c:pt idx="859">
                  <c:v>0.71026766320819568</c:v>
                </c:pt>
                <c:pt idx="860">
                  <c:v>0.7260961507433823</c:v>
                </c:pt>
                <c:pt idx="861">
                  <c:v>0.76032389906488629</c:v>
                </c:pt>
                <c:pt idx="862">
                  <c:v>0.79953885091426169</c:v>
                </c:pt>
                <c:pt idx="863">
                  <c:v>0.83483056297371105</c:v>
                </c:pt>
                <c:pt idx="864">
                  <c:v>0.86276532988553489</c:v>
                </c:pt>
                <c:pt idx="865">
                  <c:v>0.87077817681267078</c:v>
                </c:pt>
                <c:pt idx="866">
                  <c:v>0.87653431505292256</c:v>
                </c:pt>
                <c:pt idx="867">
                  <c:v>0.87483074327505372</c:v>
                </c:pt>
                <c:pt idx="868">
                  <c:v>0.88173124348983956</c:v>
                </c:pt>
                <c:pt idx="869">
                  <c:v>0.89097523086566544</c:v>
                </c:pt>
                <c:pt idx="870">
                  <c:v>0.90186501214064096</c:v>
                </c:pt>
                <c:pt idx="871">
                  <c:v>0.9114308222783114</c:v>
                </c:pt>
                <c:pt idx="872">
                  <c:v>0.91118480032177862</c:v>
                </c:pt>
                <c:pt idx="873">
                  <c:v>0.90081247328148728</c:v>
                </c:pt>
                <c:pt idx="874">
                  <c:v>0.89668569921086827</c:v>
                </c:pt>
                <c:pt idx="875">
                  <c:v>0.88228562490004414</c:v>
                </c:pt>
                <c:pt idx="876">
                  <c:v>0.87145527272486856</c:v>
                </c:pt>
                <c:pt idx="877">
                  <c:v>0.85780336314744132</c:v>
                </c:pt>
                <c:pt idx="878">
                  <c:v>0.85231519928651311</c:v>
                </c:pt>
                <c:pt idx="879">
                  <c:v>0.8427675060319294</c:v>
                </c:pt>
                <c:pt idx="880">
                  <c:v>0.83676716110849525</c:v>
                </c:pt>
                <c:pt idx="881">
                  <c:v>0.8319705617536447</c:v>
                </c:pt>
                <c:pt idx="882">
                  <c:v>0.8412698743183914</c:v>
                </c:pt>
                <c:pt idx="883">
                  <c:v>0.86602908232007036</c:v>
                </c:pt>
                <c:pt idx="884">
                  <c:v>0.90600212357663723</c:v>
                </c:pt>
                <c:pt idx="885">
                  <c:v>0.94204920376084944</c:v>
                </c:pt>
                <c:pt idx="886">
                  <c:v>0.97258390123139959</c:v>
                </c:pt>
                <c:pt idx="887">
                  <c:v>0.98383476380604373</c:v>
                </c:pt>
                <c:pt idx="888">
                  <c:v>0.98610929777324918</c:v>
                </c:pt>
                <c:pt idx="889">
                  <c:v>0.97349919973152166</c:v>
                </c:pt>
                <c:pt idx="890">
                  <c:v>0.94915002925484027</c:v>
                </c:pt>
                <c:pt idx="891">
                  <c:v>0.90488392947442875</c:v>
                </c:pt>
                <c:pt idx="892">
                  <c:v>0.85460348751560311</c:v>
                </c:pt>
                <c:pt idx="893">
                  <c:v>0.77919489219090565</c:v>
                </c:pt>
                <c:pt idx="894">
                  <c:v>0.68763604705870018</c:v>
                </c:pt>
                <c:pt idx="895">
                  <c:v>0.60794559054755126</c:v>
                </c:pt>
                <c:pt idx="896">
                  <c:v>0.5422372821580087</c:v>
                </c:pt>
                <c:pt idx="897">
                  <c:v>0.51464805399918545</c:v>
                </c:pt>
                <c:pt idx="898">
                  <c:v>0.5334940518429081</c:v>
                </c:pt>
                <c:pt idx="899">
                  <c:v>0.59258411262277111</c:v>
                </c:pt>
                <c:pt idx="900">
                  <c:v>0.67826193599471607</c:v>
                </c:pt>
                <c:pt idx="901">
                  <c:v>0.7770801747062297</c:v>
                </c:pt>
                <c:pt idx="902">
                  <c:v>0.86267694053230626</c:v>
                </c:pt>
                <c:pt idx="903">
                  <c:v>0.92648147864640296</c:v>
                </c:pt>
                <c:pt idx="904">
                  <c:v>0.95691721128840979</c:v>
                </c:pt>
                <c:pt idx="905">
                  <c:v>0.95899182757775681</c:v>
                </c:pt>
                <c:pt idx="906">
                  <c:v>0.93983041678535018</c:v>
                </c:pt>
                <c:pt idx="907">
                  <c:v>0.9066071278615806</c:v>
                </c:pt>
                <c:pt idx="908">
                  <c:v>0.85405978043235187</c:v>
                </c:pt>
                <c:pt idx="909">
                  <c:v>0.78300763337583001</c:v>
                </c:pt>
                <c:pt idx="910">
                  <c:v>0.69311354728833163</c:v>
                </c:pt>
                <c:pt idx="911">
                  <c:v>0.60056660352800184</c:v>
                </c:pt>
                <c:pt idx="912">
                  <c:v>0.54365103907535839</c:v>
                </c:pt>
                <c:pt idx="913">
                  <c:v>0.53692395778181989</c:v>
                </c:pt>
                <c:pt idx="914">
                  <c:v>0.57865951880128064</c:v>
                </c:pt>
                <c:pt idx="915">
                  <c:v>0.64762770608787712</c:v>
                </c:pt>
                <c:pt idx="916">
                  <c:v>0.71366702888969158</c:v>
                </c:pt>
                <c:pt idx="917">
                  <c:v>0.75061723930826019</c:v>
                </c:pt>
                <c:pt idx="918">
                  <c:v>0.74454037863923006</c:v>
                </c:pt>
                <c:pt idx="919">
                  <c:v>0.7157299282382279</c:v>
                </c:pt>
                <c:pt idx="920">
                  <c:v>0.67788077572614014</c:v>
                </c:pt>
                <c:pt idx="921">
                  <c:v>0.65458797660515078</c:v>
                </c:pt>
                <c:pt idx="922">
                  <c:v>0.66103144364152566</c:v>
                </c:pt>
                <c:pt idx="923">
                  <c:v>0.69945795354433238</c:v>
                </c:pt>
                <c:pt idx="924">
                  <c:v>0.76501407976742009</c:v>
                </c:pt>
                <c:pt idx="925">
                  <c:v>0.8317121200924753</c:v>
                </c:pt>
                <c:pt idx="926">
                  <c:v>0.89278413608986562</c:v>
                </c:pt>
                <c:pt idx="927">
                  <c:v>0.93642591955558607</c:v>
                </c:pt>
                <c:pt idx="928">
                  <c:v>0.96305449278953081</c:v>
                </c:pt>
                <c:pt idx="929">
                  <c:v>0.9607282652523399</c:v>
                </c:pt>
                <c:pt idx="930">
                  <c:v>0.95268274454962465</c:v>
                </c:pt>
                <c:pt idx="931">
                  <c:v>0.93783925427940829</c:v>
                </c:pt>
                <c:pt idx="932">
                  <c:v>0.9231178136479804</c:v>
                </c:pt>
                <c:pt idx="933">
                  <c:v>0.89978777812612332</c:v>
                </c:pt>
                <c:pt idx="934">
                  <c:v>0.87225341022855074</c:v>
                </c:pt>
                <c:pt idx="935">
                  <c:v>0.84703702885589538</c:v>
                </c:pt>
                <c:pt idx="936">
                  <c:v>0.82486866630945088</c:v>
                </c:pt>
                <c:pt idx="937">
                  <c:v>0.80776005359153835</c:v>
                </c:pt>
                <c:pt idx="938">
                  <c:v>0.8164535184941567</c:v>
                </c:pt>
                <c:pt idx="939">
                  <c:v>0.83786975492332538</c:v>
                </c:pt>
                <c:pt idx="940">
                  <c:v>0.86510106514052043</c:v>
                </c:pt>
                <c:pt idx="941">
                  <c:v>0.8940664216377886</c:v>
                </c:pt>
                <c:pt idx="942">
                  <c:v>0.92639997002707575</c:v>
                </c:pt>
                <c:pt idx="943">
                  <c:v>0.95571973937525423</c:v>
                </c:pt>
                <c:pt idx="944">
                  <c:v>0.97920628312059776</c:v>
                </c:pt>
                <c:pt idx="945">
                  <c:v>0.99285118413337237</c:v>
                </c:pt>
                <c:pt idx="946">
                  <c:v>0.99587088524532841</c:v>
                </c:pt>
                <c:pt idx="947">
                  <c:v>0.97933516865888459</c:v>
                </c:pt>
                <c:pt idx="948">
                  <c:v>0.9653925075184937</c:v>
                </c:pt>
                <c:pt idx="949">
                  <c:v>0.94359277945883857</c:v>
                </c:pt>
                <c:pt idx="950">
                  <c:v>0.9309384487194402</c:v>
                </c:pt>
                <c:pt idx="951">
                  <c:v>0.91771139554592995</c:v>
                </c:pt>
                <c:pt idx="952">
                  <c:v>0.91717860899932724</c:v>
                </c:pt>
                <c:pt idx="953">
                  <c:v>0.91832378495527078</c:v>
                </c:pt>
                <c:pt idx="954">
                  <c:v>0.92429662630365039</c:v>
                </c:pt>
                <c:pt idx="955">
                  <c:v>0.93234276346266132</c:v>
                </c:pt>
                <c:pt idx="956">
                  <c:v>0.94295632179498623</c:v>
                </c:pt>
                <c:pt idx="957">
                  <c:v>0.93649124807065875</c:v>
                </c:pt>
                <c:pt idx="958">
                  <c:v>0.93022970203123301</c:v>
                </c:pt>
                <c:pt idx="959">
                  <c:v>0.91831464005489849</c:v>
                </c:pt>
                <c:pt idx="960">
                  <c:v>0.89375058598269574</c:v>
                </c:pt>
                <c:pt idx="961">
                  <c:v>0.86213181220734625</c:v>
                </c:pt>
                <c:pt idx="962">
                  <c:v>0.8453737167465506</c:v>
                </c:pt>
                <c:pt idx="963">
                  <c:v>0.82289796394790138</c:v>
                </c:pt>
                <c:pt idx="964">
                  <c:v>0.82601209300734357</c:v>
                </c:pt>
                <c:pt idx="965">
                  <c:v>0.82620905287146407</c:v>
                </c:pt>
                <c:pt idx="966">
                  <c:v>0.84406128515762024</c:v>
                </c:pt>
                <c:pt idx="967">
                  <c:v>0.86486540299464942</c:v>
                </c:pt>
                <c:pt idx="968">
                  <c:v>0.87786581675889119</c:v>
                </c:pt>
                <c:pt idx="969">
                  <c:v>0.89886473735264627</c:v>
                </c:pt>
                <c:pt idx="970">
                  <c:v>0.90826939495400927</c:v>
                </c:pt>
                <c:pt idx="971">
                  <c:v>0.92058744929491232</c:v>
                </c:pt>
                <c:pt idx="972">
                  <c:v>0.92386658973609814</c:v>
                </c:pt>
                <c:pt idx="973">
                  <c:v>0.92343434206283992</c:v>
                </c:pt>
                <c:pt idx="974">
                  <c:v>0.91326036044030401</c:v>
                </c:pt>
                <c:pt idx="975">
                  <c:v>0.89991869862041174</c:v>
                </c:pt>
                <c:pt idx="976">
                  <c:v>0.88499920898171625</c:v>
                </c:pt>
                <c:pt idx="977">
                  <c:v>0.8755277685120908</c:v>
                </c:pt>
                <c:pt idx="978">
                  <c:v>0.88483773950246625</c:v>
                </c:pt>
                <c:pt idx="979">
                  <c:v>0.89277560922643417</c:v>
                </c:pt>
                <c:pt idx="980">
                  <c:v>0.88742089225203857</c:v>
                </c:pt>
                <c:pt idx="981">
                  <c:v>0.86746416124379933</c:v>
                </c:pt>
                <c:pt idx="982">
                  <c:v>0.8304521917120713</c:v>
                </c:pt>
                <c:pt idx="983">
                  <c:v>0.78208855797536103</c:v>
                </c:pt>
                <c:pt idx="984">
                  <c:v>0.72245609158554291</c:v>
                </c:pt>
                <c:pt idx="985">
                  <c:v>0.66420425862714882</c:v>
                </c:pt>
                <c:pt idx="986">
                  <c:v>0.62555577664756357</c:v>
                </c:pt>
                <c:pt idx="987">
                  <c:v>0.60598017982377805</c:v>
                </c:pt>
                <c:pt idx="988">
                  <c:v>0.61167166866710065</c:v>
                </c:pt>
                <c:pt idx="989">
                  <c:v>0.64454609760148229</c:v>
                </c:pt>
                <c:pt idx="990">
                  <c:v>0.70648923364641469</c:v>
                </c:pt>
                <c:pt idx="991">
                  <c:v>0.76963401786217112</c:v>
                </c:pt>
                <c:pt idx="992">
                  <c:v>0.8226812958817139</c:v>
                </c:pt>
                <c:pt idx="993">
                  <c:v>0.86858958677377085</c:v>
                </c:pt>
                <c:pt idx="994">
                  <c:v>0.89810917692190939</c:v>
                </c:pt>
                <c:pt idx="995">
                  <c:v>0.91738920503936794</c:v>
                </c:pt>
                <c:pt idx="996">
                  <c:v>0.93040159388967414</c:v>
                </c:pt>
                <c:pt idx="997">
                  <c:v>0.93904120586314688</c:v>
                </c:pt>
                <c:pt idx="998">
                  <c:v>0.94686610224352585</c:v>
                </c:pt>
                <c:pt idx="999">
                  <c:v>0.95383845420070235</c:v>
                </c:pt>
                <c:pt idx="1000">
                  <c:v>0.95558952020224774</c:v>
                </c:pt>
                <c:pt idx="1001">
                  <c:v>0.95665842631468012</c:v>
                </c:pt>
                <c:pt idx="1002">
                  <c:v>0.93929719793997057</c:v>
                </c:pt>
                <c:pt idx="1003">
                  <c:v>0.92701159553240675</c:v>
                </c:pt>
                <c:pt idx="1004">
                  <c:v>0.91253722305816709</c:v>
                </c:pt>
                <c:pt idx="1005">
                  <c:v>0.901085435038111</c:v>
                </c:pt>
                <c:pt idx="1006">
                  <c:v>0.90154464779551502</c:v>
                </c:pt>
                <c:pt idx="1007">
                  <c:v>0.8989221890180108</c:v>
                </c:pt>
                <c:pt idx="1008">
                  <c:v>0.89709586314414602</c:v>
                </c:pt>
                <c:pt idx="1009">
                  <c:v>0.90424259637477367</c:v>
                </c:pt>
                <c:pt idx="1010">
                  <c:v>0.91147424154006818</c:v>
                </c:pt>
                <c:pt idx="1011">
                  <c:v>0.91795406714319594</c:v>
                </c:pt>
                <c:pt idx="1012">
                  <c:v>0.92276995323071775</c:v>
                </c:pt>
                <c:pt idx="1013">
                  <c:v>0.9270478923716301</c:v>
                </c:pt>
                <c:pt idx="1014">
                  <c:v>0.93541871098568452</c:v>
                </c:pt>
                <c:pt idx="1015">
                  <c:v>0.94059169132489862</c:v>
                </c:pt>
                <c:pt idx="1016">
                  <c:v>0.95023056520497717</c:v>
                </c:pt>
                <c:pt idx="1017">
                  <c:v>0.96006850746820693</c:v>
                </c:pt>
                <c:pt idx="1018">
                  <c:v>0.97230115833989339</c:v>
                </c:pt>
                <c:pt idx="1019">
                  <c:v>0.97800029175563008</c:v>
                </c:pt>
                <c:pt idx="1020">
                  <c:v>0.98132793644936223</c:v>
                </c:pt>
                <c:pt idx="1021">
                  <c:v>0.96724329822292709</c:v>
                </c:pt>
                <c:pt idx="1022">
                  <c:v>0.94990837080142632</c:v>
                </c:pt>
                <c:pt idx="1023">
                  <c:v>0.93122532865933072</c:v>
                </c:pt>
                <c:pt idx="1024">
                  <c:v>0.92056416254951212</c:v>
                </c:pt>
                <c:pt idx="1025">
                  <c:v>0.92232144146427841</c:v>
                </c:pt>
                <c:pt idx="1026">
                  <c:v>0.92330966056276742</c:v>
                </c:pt>
                <c:pt idx="1027">
                  <c:v>0.92791157763718779</c:v>
                </c:pt>
                <c:pt idx="1028">
                  <c:v>0.93012525908121002</c:v>
                </c:pt>
                <c:pt idx="1029">
                  <c:v>0.93156877761881118</c:v>
                </c:pt>
                <c:pt idx="1030">
                  <c:v>0.92935946892640708</c:v>
                </c:pt>
                <c:pt idx="1031">
                  <c:v>0.9178701362547248</c:v>
                </c:pt>
                <c:pt idx="1032">
                  <c:v>0.91194953109738564</c:v>
                </c:pt>
                <c:pt idx="1033">
                  <c:v>0.91027824944403501</c:v>
                </c:pt>
                <c:pt idx="1034">
                  <c:v>0.90593771493831687</c:v>
                </c:pt>
                <c:pt idx="1035">
                  <c:v>0.90248136465240847</c:v>
                </c:pt>
                <c:pt idx="1036">
                  <c:v>0.90365972266065597</c:v>
                </c:pt>
                <c:pt idx="1037">
                  <c:v>0.89057829044477432</c:v>
                </c:pt>
                <c:pt idx="1038">
                  <c:v>0.8723839644861614</c:v>
                </c:pt>
                <c:pt idx="1039">
                  <c:v>0.8528589191041317</c:v>
                </c:pt>
                <c:pt idx="1040">
                  <c:v>0.81598906449273534</c:v>
                </c:pt>
                <c:pt idx="1041">
                  <c:v>0.78144465888284564</c:v>
                </c:pt>
                <c:pt idx="1042">
                  <c:v>0.73867664617085727</c:v>
                </c:pt>
                <c:pt idx="1043">
                  <c:v>0.73148571094740378</c:v>
                </c:pt>
                <c:pt idx="1044">
                  <c:v>0.75189089028510303</c:v>
                </c:pt>
                <c:pt idx="1045">
                  <c:v>0.80388665376036539</c:v>
                </c:pt>
                <c:pt idx="1046">
                  <c:v>0.86176993707587646</c:v>
                </c:pt>
                <c:pt idx="1047">
                  <c:v>0.91357145579449395</c:v>
                </c:pt>
                <c:pt idx="1048">
                  <c:v>0.95369135712437803</c:v>
                </c:pt>
                <c:pt idx="1049">
                  <c:v>0.96263101501896753</c:v>
                </c:pt>
                <c:pt idx="1050">
                  <c:v>0.96118696188128216</c:v>
                </c:pt>
                <c:pt idx="1051">
                  <c:v>0.95985441867673216</c:v>
                </c:pt>
                <c:pt idx="1052">
                  <c:v>0.96058928299975577</c:v>
                </c:pt>
                <c:pt idx="1053">
                  <c:v>0.96930627551343895</c:v>
                </c:pt>
                <c:pt idx="1054">
                  <c:v>0.98075162217809486</c:v>
                </c:pt>
                <c:pt idx="1055">
                  <c:v>0.99840106919583083</c:v>
                </c:pt>
                <c:pt idx="1056">
                  <c:v>1.0111006245279441</c:v>
                </c:pt>
                <c:pt idx="1057">
                  <c:v>1.0104531052190413</c:v>
                </c:pt>
                <c:pt idx="1058">
                  <c:v>1.009011893359731</c:v>
                </c:pt>
                <c:pt idx="1059">
                  <c:v>1.0095367486494236</c:v>
                </c:pt>
                <c:pt idx="1060">
                  <c:v>1.0037401713178182</c:v>
                </c:pt>
                <c:pt idx="1061">
                  <c:v>1.0052112636929722</c:v>
                </c:pt>
                <c:pt idx="1062">
                  <c:v>1.0175343275060056</c:v>
                </c:pt>
                <c:pt idx="1063">
                  <c:v>1.0207306504096978</c:v>
                </c:pt>
                <c:pt idx="1064">
                  <c:v>1.0198680727207048</c:v>
                </c:pt>
                <c:pt idx="1065">
                  <c:v>1.0119696989545783</c:v>
                </c:pt>
                <c:pt idx="1066">
                  <c:v>1.0015466048258919</c:v>
                </c:pt>
                <c:pt idx="1067">
                  <c:v>0.98802070193645586</c:v>
                </c:pt>
                <c:pt idx="1068">
                  <c:v>0.97439602215441889</c:v>
                </c:pt>
                <c:pt idx="1069">
                  <c:v>0.96902990546369705</c:v>
                </c:pt>
                <c:pt idx="1070">
                  <c:v>0.96522151422577007</c:v>
                </c:pt>
                <c:pt idx="1071">
                  <c:v>0.95303514372199383</c:v>
                </c:pt>
                <c:pt idx="1072">
                  <c:v>0.93558621584561952</c:v>
                </c:pt>
                <c:pt idx="1073">
                  <c:v>0.91795429432082032</c:v>
                </c:pt>
                <c:pt idx="1074">
                  <c:v>0.90592688486815887</c:v>
                </c:pt>
                <c:pt idx="1075">
                  <c:v>0.90162896221449207</c:v>
                </c:pt>
                <c:pt idx="1076">
                  <c:v>0.91521864355498372</c:v>
                </c:pt>
                <c:pt idx="1077">
                  <c:v>0.93029404060473464</c:v>
                </c:pt>
                <c:pt idx="1078">
                  <c:v>0.93966559901456326</c:v>
                </c:pt>
                <c:pt idx="1079">
                  <c:v>0.94882392896581813</c:v>
                </c:pt>
                <c:pt idx="1080">
                  <c:v>0.95198787791439321</c:v>
                </c:pt>
                <c:pt idx="1081">
                  <c:v>0.95924715620560175</c:v>
                </c:pt>
                <c:pt idx="1082">
                  <c:v>0.96459018406677333</c:v>
                </c:pt>
                <c:pt idx="1083">
                  <c:v>0.97392395530263465</c:v>
                </c:pt>
                <c:pt idx="1084">
                  <c:v>0.99615493644992492</c:v>
                </c:pt>
                <c:pt idx="1085">
                  <c:v>1.0082847815414644</c:v>
                </c:pt>
                <c:pt idx="1086">
                  <c:v>1.0174541832140966</c:v>
                </c:pt>
                <c:pt idx="1087">
                  <c:v>1.011399920372964</c:v>
                </c:pt>
                <c:pt idx="1088">
                  <c:v>1.0035500275513489</c:v>
                </c:pt>
                <c:pt idx="1089">
                  <c:v>0.98383661611274587</c:v>
                </c:pt>
                <c:pt idx="1090">
                  <c:v>0.97349913021462398</c:v>
                </c:pt>
                <c:pt idx="1091">
                  <c:v>0.96049678093035296</c:v>
                </c:pt>
                <c:pt idx="1092">
                  <c:v>0.95873094366698697</c:v>
                </c:pt>
                <c:pt idx="1093">
                  <c:v>0.94982650904057686</c:v>
                </c:pt>
                <c:pt idx="1094">
                  <c:v>0.94551233454783257</c:v>
                </c:pt>
                <c:pt idx="1095">
                  <c:v>0.93021293109328484</c:v>
                </c:pt>
                <c:pt idx="1096">
                  <c:v>0.90581384181369162</c:v>
                </c:pt>
                <c:pt idx="1097">
                  <c:v>0.87737795020787523</c:v>
                </c:pt>
                <c:pt idx="1098">
                  <c:v>0.85778318428120137</c:v>
                </c:pt>
                <c:pt idx="1099">
                  <c:v>0.85772030289773926</c:v>
                </c:pt>
                <c:pt idx="1100">
                  <c:v>0.87618422758465231</c:v>
                </c:pt>
                <c:pt idx="1101">
                  <c:v>0.89625497759649275</c:v>
                </c:pt>
                <c:pt idx="1102">
                  <c:v>0.90409511338854154</c:v>
                </c:pt>
                <c:pt idx="1103">
                  <c:v>0.90923488590268831</c:v>
                </c:pt>
                <c:pt idx="1104">
                  <c:v>0.9085936486099031</c:v>
                </c:pt>
                <c:pt idx="1105">
                  <c:v>0.9168643151717224</c:v>
                </c:pt>
                <c:pt idx="1106">
                  <c:v>0.91528332966780823</c:v>
                </c:pt>
                <c:pt idx="1107">
                  <c:v>0.90097803389490627</c:v>
                </c:pt>
                <c:pt idx="1108">
                  <c:v>0.8588052151235247</c:v>
                </c:pt>
                <c:pt idx="1109">
                  <c:v>0.82189695449127664</c:v>
                </c:pt>
                <c:pt idx="1110">
                  <c:v>0.76922869257800408</c:v>
                </c:pt>
                <c:pt idx="1111">
                  <c:v>0.7139620757035714</c:v>
                </c:pt>
                <c:pt idx="1112">
                  <c:v>0.65783623388367085</c:v>
                </c:pt>
                <c:pt idx="1113">
                  <c:v>0.61026599841244478</c:v>
                </c:pt>
                <c:pt idx="1114">
                  <c:v>0.58463994350344817</c:v>
                </c:pt>
                <c:pt idx="1115">
                  <c:v>0.59483605941317019</c:v>
                </c:pt>
                <c:pt idx="1116">
                  <c:v>0.63505978812456143</c:v>
                </c:pt>
                <c:pt idx="1117">
                  <c:v>0.69518638113823084</c:v>
                </c:pt>
                <c:pt idx="1118">
                  <c:v>0.75175624281577857</c:v>
                </c:pt>
                <c:pt idx="1119">
                  <c:v>0.78697422941419204</c:v>
                </c:pt>
                <c:pt idx="1120">
                  <c:v>0.79805805949778352</c:v>
                </c:pt>
                <c:pt idx="1121">
                  <c:v>0.7695206836814884</c:v>
                </c:pt>
                <c:pt idx="1122">
                  <c:v>0.7145139108090689</c:v>
                </c:pt>
                <c:pt idx="1123">
                  <c:v>0.64672207750265998</c:v>
                </c:pt>
                <c:pt idx="1124">
                  <c:v>0.60654963211328505</c:v>
                </c:pt>
                <c:pt idx="1125">
                  <c:v>0.59890141975757805</c:v>
                </c:pt>
                <c:pt idx="1126">
                  <c:v>0.63349010984363763</c:v>
                </c:pt>
                <c:pt idx="1127">
                  <c:v>0.69166995525648056</c:v>
                </c:pt>
                <c:pt idx="1128">
                  <c:v>0.75327065256915882</c:v>
                </c:pt>
                <c:pt idx="1129">
                  <c:v>0.82492115249782028</c:v>
                </c:pt>
                <c:pt idx="1130">
                  <c:v>0.87707998383565</c:v>
                </c:pt>
                <c:pt idx="1131">
                  <c:v>0.91373333658969813</c:v>
                </c:pt>
                <c:pt idx="1132">
                  <c:v>0.933661449963608</c:v>
                </c:pt>
                <c:pt idx="1133">
                  <c:v>0.94836229418121365</c:v>
                </c:pt>
                <c:pt idx="1134">
                  <c:v>0.95295336725462365</c:v>
                </c:pt>
                <c:pt idx="1135">
                  <c:v>0.94155837850282065</c:v>
                </c:pt>
                <c:pt idx="1136">
                  <c:v>0.93233578625253932</c:v>
                </c:pt>
                <c:pt idx="1137">
                  <c:v>0.92887183846995558</c:v>
                </c:pt>
                <c:pt idx="1138">
                  <c:v>0.91856057509512701</c:v>
                </c:pt>
                <c:pt idx="1139">
                  <c:v>0.91303898939606098</c:v>
                </c:pt>
                <c:pt idx="1140">
                  <c:v>0.9089757240283497</c:v>
                </c:pt>
                <c:pt idx="1141">
                  <c:v>0.93496484859788542</c:v>
                </c:pt>
                <c:pt idx="1142">
                  <c:v>0.94698367522933469</c:v>
                </c:pt>
                <c:pt idx="1143">
                  <c:v>0.95567138406251806</c:v>
                </c:pt>
                <c:pt idx="1144">
                  <c:v>0.94778594306803887</c:v>
                </c:pt>
                <c:pt idx="1145">
                  <c:v>0.93233976120329831</c:v>
                </c:pt>
                <c:pt idx="1146">
                  <c:v>0.91345580066292786</c:v>
                </c:pt>
                <c:pt idx="1147">
                  <c:v>0.90534080219726976</c:v>
                </c:pt>
                <c:pt idx="1148">
                  <c:v>0.91296331338211256</c:v>
                </c:pt>
                <c:pt idx="1149">
                  <c:v>0.92817770077493389</c:v>
                </c:pt>
                <c:pt idx="1150">
                  <c:v>0.9436707652180264</c:v>
                </c:pt>
                <c:pt idx="1151">
                  <c:v>0.95832941749991896</c:v>
                </c:pt>
                <c:pt idx="1152">
                  <c:v>0.97120122535922626</c:v>
                </c:pt>
                <c:pt idx="1153">
                  <c:v>0.9812058365590286</c:v>
                </c:pt>
                <c:pt idx="1154">
                  <c:v>0.98026456416748142</c:v>
                </c:pt>
                <c:pt idx="1155">
                  <c:v>0.9832987255120097</c:v>
                </c:pt>
                <c:pt idx="1156">
                  <c:v>0.98339522647613753</c:v>
                </c:pt>
                <c:pt idx="1157">
                  <c:v>0.97992233221368763</c:v>
                </c:pt>
                <c:pt idx="1158">
                  <c:v>0.9727443522655741</c:v>
                </c:pt>
                <c:pt idx="1159">
                  <c:v>0.96080989232599479</c:v>
                </c:pt>
                <c:pt idx="1160">
                  <c:v>0.94801837321483751</c:v>
                </c:pt>
                <c:pt idx="1161">
                  <c:v>0.93124088656550552</c:v>
                </c:pt>
                <c:pt idx="1162">
                  <c:v>0.91797574710757124</c:v>
                </c:pt>
                <c:pt idx="1163">
                  <c:v>0.89340570686277587</c:v>
                </c:pt>
                <c:pt idx="1164">
                  <c:v>0.88350307818561946</c:v>
                </c:pt>
                <c:pt idx="1165">
                  <c:v>0.89383855401362611</c:v>
                </c:pt>
                <c:pt idx="1166">
                  <c:v>0.91756182117907847</c:v>
                </c:pt>
                <c:pt idx="1167">
                  <c:v>0.94687130774412764</c:v>
                </c:pt>
                <c:pt idx="1168">
                  <c:v>0.96990215374212507</c:v>
                </c:pt>
                <c:pt idx="1169">
                  <c:v>0.98444909209345632</c:v>
                </c:pt>
                <c:pt idx="1170">
                  <c:v>1.0061794570722487</c:v>
                </c:pt>
                <c:pt idx="1171">
                  <c:v>1.0024314944653105</c:v>
                </c:pt>
                <c:pt idx="1172">
                  <c:v>0.99551369205424345</c:v>
                </c:pt>
                <c:pt idx="1173">
                  <c:v>0.96232860758699512</c:v>
                </c:pt>
                <c:pt idx="1174">
                  <c:v>0.92032787310428632</c:v>
                </c:pt>
                <c:pt idx="1175">
                  <c:v>0.86804554875323781</c:v>
                </c:pt>
                <c:pt idx="1176">
                  <c:v>0.80333205297153354</c:v>
                </c:pt>
                <c:pt idx="1177">
                  <c:v>0.74916330959088517</c:v>
                </c:pt>
                <c:pt idx="1178">
                  <c:v>0.68138744668736129</c:v>
                </c:pt>
                <c:pt idx="1179">
                  <c:v>0.62786741163877313</c:v>
                </c:pt>
                <c:pt idx="1180">
                  <c:v>0.58388620016952553</c:v>
                </c:pt>
                <c:pt idx="1181">
                  <c:v>0.57829075903011495</c:v>
                </c:pt>
                <c:pt idx="1182">
                  <c:v>0.62096108350740931</c:v>
                </c:pt>
                <c:pt idx="1183">
                  <c:v>0.70693237508185447</c:v>
                </c:pt>
                <c:pt idx="1184">
                  <c:v>0.80320684696880595</c:v>
                </c:pt>
                <c:pt idx="1185">
                  <c:v>0.88972657204884398</c:v>
                </c:pt>
                <c:pt idx="1186">
                  <c:v>0.95447856158899946</c:v>
                </c:pt>
                <c:pt idx="1187">
                  <c:v>0.98873986023609184</c:v>
                </c:pt>
                <c:pt idx="1188">
                  <c:v>0.99631510076922492</c:v>
                </c:pt>
                <c:pt idx="1189">
                  <c:v>0.98918179499162229</c:v>
                </c:pt>
                <c:pt idx="1190">
                  <c:v>0.99337878884502007</c:v>
                </c:pt>
                <c:pt idx="1191">
                  <c:v>0.99190597415181148</c:v>
                </c:pt>
                <c:pt idx="1192">
                  <c:v>0.99516748172799852</c:v>
                </c:pt>
                <c:pt idx="1193">
                  <c:v>0.99015811259025088</c:v>
                </c:pt>
                <c:pt idx="1194">
                  <c:v>0.98962665709514475</c:v>
                </c:pt>
                <c:pt idx="1195">
                  <c:v>0.98481655899316389</c:v>
                </c:pt>
                <c:pt idx="1196">
                  <c:v>0.98592180651824901</c:v>
                </c:pt>
                <c:pt idx="1197">
                  <c:v>0.98209318010089153</c:v>
                </c:pt>
                <c:pt idx="1198">
                  <c:v>0.98332784151188279</c:v>
                </c:pt>
                <c:pt idx="1199">
                  <c:v>0.98313311990202901</c:v>
                </c:pt>
                <c:pt idx="1200">
                  <c:v>0.9863697439150465</c:v>
                </c:pt>
                <c:pt idx="1201">
                  <c:v>0.99278793170538204</c:v>
                </c:pt>
                <c:pt idx="1202">
                  <c:v>0.99573714075605069</c:v>
                </c:pt>
                <c:pt idx="1203">
                  <c:v>0.99337558977653351</c:v>
                </c:pt>
                <c:pt idx="1204">
                  <c:v>0.98193377618527855</c:v>
                </c:pt>
                <c:pt idx="1205">
                  <c:v>0.96837042013135555</c:v>
                </c:pt>
                <c:pt idx="1206">
                  <c:v>0.96395961119381834</c:v>
                </c:pt>
                <c:pt idx="1207">
                  <c:v>0.97472812581140889</c:v>
                </c:pt>
                <c:pt idx="1208">
                  <c:v>0.995993051307976</c:v>
                </c:pt>
                <c:pt idx="1209">
                  <c:v>1.0079603265849906</c:v>
                </c:pt>
                <c:pt idx="1210">
                  <c:v>1.0190313400748421</c:v>
                </c:pt>
                <c:pt idx="1211">
                  <c:v>1.0121010357870104</c:v>
                </c:pt>
                <c:pt idx="1212">
                  <c:v>1.0141338602175849</c:v>
                </c:pt>
                <c:pt idx="1213">
                  <c:v>0.99718076711655845</c:v>
                </c:pt>
                <c:pt idx="1214">
                  <c:v>0.98702712056488495</c:v>
                </c:pt>
                <c:pt idx="1215">
                  <c:v>0.96342705643574233</c:v>
                </c:pt>
                <c:pt idx="1216">
                  <c:v>0.94980960550924853</c:v>
                </c:pt>
                <c:pt idx="1217">
                  <c:v>0.95235910972340798</c:v>
                </c:pt>
                <c:pt idx="1218">
                  <c:v>0.96346449130039924</c:v>
                </c:pt>
                <c:pt idx="1219">
                  <c:v>0.9724207992096956</c:v>
                </c:pt>
                <c:pt idx="1220">
                  <c:v>0.9843714232988523</c:v>
                </c:pt>
                <c:pt idx="1221">
                  <c:v>0.98905829245688925</c:v>
                </c:pt>
                <c:pt idx="1222">
                  <c:v>0.98716929902587369</c:v>
                </c:pt>
                <c:pt idx="1223">
                  <c:v>0.97520784741242428</c:v>
                </c:pt>
                <c:pt idx="1224">
                  <c:v>0.94654005014722853</c:v>
                </c:pt>
                <c:pt idx="1225">
                  <c:v>0.92124621971391596</c:v>
                </c:pt>
                <c:pt idx="1226">
                  <c:v>0.90608675832688512</c:v>
                </c:pt>
                <c:pt idx="1227">
                  <c:v>0.91062629642478399</c:v>
                </c:pt>
                <c:pt idx="1228">
                  <c:v>0.93784212970896141</c:v>
                </c:pt>
                <c:pt idx="1229">
                  <c:v>0.95744943379006309</c:v>
                </c:pt>
                <c:pt idx="1230">
                  <c:v>0.98266689221134929</c:v>
                </c:pt>
                <c:pt idx="1231">
                  <c:v>1.0016926032881308</c:v>
                </c:pt>
                <c:pt idx="1232">
                  <c:v>1.0145508457765893</c:v>
                </c:pt>
                <c:pt idx="1233">
                  <c:v>1.0244642367184122</c:v>
                </c:pt>
                <c:pt idx="1234">
                  <c:v>1.0246585845494118</c:v>
                </c:pt>
                <c:pt idx="1235">
                  <c:v>1.0034989070781972</c:v>
                </c:pt>
                <c:pt idx="1236">
                  <c:v>0.97158000108377995</c:v>
                </c:pt>
                <c:pt idx="1237">
                  <c:v>0.92533663021042778</c:v>
                </c:pt>
                <c:pt idx="1238">
                  <c:v>0.87717752925942727</c:v>
                </c:pt>
                <c:pt idx="1239">
                  <c:v>0.82188135942915852</c:v>
                </c:pt>
                <c:pt idx="1240">
                  <c:v>0.79510738535155123</c:v>
                </c:pt>
                <c:pt idx="1241">
                  <c:v>0.80145090233852501</c:v>
                </c:pt>
                <c:pt idx="1242">
                  <c:v>0.84179667446166007</c:v>
                </c:pt>
                <c:pt idx="1243">
                  <c:v>0.88072913504498662</c:v>
                </c:pt>
                <c:pt idx="1244">
                  <c:v>0.9252205603516892</c:v>
                </c:pt>
                <c:pt idx="1245">
                  <c:v>0.96565673309349898</c:v>
                </c:pt>
                <c:pt idx="1246">
                  <c:v>0.98780982426073549</c:v>
                </c:pt>
                <c:pt idx="1247">
                  <c:v>0.99056578974446918</c:v>
                </c:pt>
                <c:pt idx="1248">
                  <c:v>0.9829748358955207</c:v>
                </c:pt>
                <c:pt idx="1249">
                  <c:v>0.95468388756808931</c:v>
                </c:pt>
                <c:pt idx="1250">
                  <c:v>0.93794387279433178</c:v>
                </c:pt>
                <c:pt idx="1251">
                  <c:v>0.90075846800655535</c:v>
                </c:pt>
                <c:pt idx="1252">
                  <c:v>0.86666359890607347</c:v>
                </c:pt>
                <c:pt idx="1253">
                  <c:v>0.81438762791165542</c:v>
                </c:pt>
                <c:pt idx="1254">
                  <c:v>0.77416815837949893</c:v>
                </c:pt>
                <c:pt idx="1255">
                  <c:v>0.75467966588852675</c:v>
                </c:pt>
                <c:pt idx="1256">
                  <c:v>0.76851824239664257</c:v>
                </c:pt>
                <c:pt idx="1257">
                  <c:v>0.81214105405020942</c:v>
                </c:pt>
                <c:pt idx="1258">
                  <c:v>0.85975292693705352</c:v>
                </c:pt>
                <c:pt idx="1259">
                  <c:v>0.89680465322314251</c:v>
                </c:pt>
                <c:pt idx="1260">
                  <c:v>0.9126743044910689</c:v>
                </c:pt>
                <c:pt idx="1261">
                  <c:v>0.92816063061571918</c:v>
                </c:pt>
                <c:pt idx="1262">
                  <c:v>0.92274038836856165</c:v>
                </c:pt>
                <c:pt idx="1263">
                  <c:v>0.91870465408143109</c:v>
                </c:pt>
                <c:pt idx="1264">
                  <c:v>0.90262577513180575</c:v>
                </c:pt>
                <c:pt idx="1265">
                  <c:v>0.89449413112220422</c:v>
                </c:pt>
                <c:pt idx="1266">
                  <c:v>0.8848006076940137</c:v>
                </c:pt>
                <c:pt idx="1267">
                  <c:v>0.89736033001107129</c:v>
                </c:pt>
                <c:pt idx="1268">
                  <c:v>0.90465335704658711</c:v>
                </c:pt>
                <c:pt idx="1269">
                  <c:v>0.91482312549185296</c:v>
                </c:pt>
                <c:pt idx="1270">
                  <c:v>0.91895744726305806</c:v>
                </c:pt>
                <c:pt idx="1271">
                  <c:v>0.92695502173140654</c:v>
                </c:pt>
                <c:pt idx="1272">
                  <c:v>0.91275558815818381</c:v>
                </c:pt>
                <c:pt idx="1273">
                  <c:v>0.88028867127198074</c:v>
                </c:pt>
                <c:pt idx="1274">
                  <c:v>0.82694504915992495</c:v>
                </c:pt>
                <c:pt idx="1275">
                  <c:v>0.77017394644180148</c:v>
                </c:pt>
                <c:pt idx="1276">
                  <c:v>0.74036322050375214</c:v>
                </c:pt>
                <c:pt idx="1277">
                  <c:v>0.73149898410841951</c:v>
                </c:pt>
                <c:pt idx="1278">
                  <c:v>0.76326970228706092</c:v>
                </c:pt>
                <c:pt idx="1279">
                  <c:v>0.81498813230428646</c:v>
                </c:pt>
                <c:pt idx="1280">
                  <c:v>0.86891247017897655</c:v>
                </c:pt>
                <c:pt idx="1281">
                  <c:v>0.91611141129776996</c:v>
                </c:pt>
                <c:pt idx="1282">
                  <c:v>0.95046913031866409</c:v>
                </c:pt>
                <c:pt idx="1283">
                  <c:v>0.96069554789712985</c:v>
                </c:pt>
                <c:pt idx="1284">
                  <c:v>0.95042967957672597</c:v>
                </c:pt>
                <c:pt idx="1285">
                  <c:v>0.92113018571887018</c:v>
                </c:pt>
                <c:pt idx="1286">
                  <c:v>0.86058720438574032</c:v>
                </c:pt>
                <c:pt idx="1287">
                  <c:v>0.78951804467581332</c:v>
                </c:pt>
                <c:pt idx="1288">
                  <c:v>0.71426106935736522</c:v>
                </c:pt>
                <c:pt idx="1289">
                  <c:v>0.67937426543606194</c:v>
                </c:pt>
                <c:pt idx="1290">
                  <c:v>0.67534053376606118</c:v>
                </c:pt>
                <c:pt idx="1291">
                  <c:v>0.69404193897482414</c:v>
                </c:pt>
                <c:pt idx="1292">
                  <c:v>0.69776456080945182</c:v>
                </c:pt>
                <c:pt idx="1293">
                  <c:v>0.68852985914891751</c:v>
                </c:pt>
                <c:pt idx="1294">
                  <c:v>0.66349525774848417</c:v>
                </c:pt>
                <c:pt idx="1295">
                  <c:v>0.65912594543706615</c:v>
                </c:pt>
                <c:pt idx="1296">
                  <c:v>0.68390682334160358</c:v>
                </c:pt>
                <c:pt idx="1297">
                  <c:v>0.73677490059639072</c:v>
                </c:pt>
                <c:pt idx="1298">
                  <c:v>0.81331771650367424</c:v>
                </c:pt>
                <c:pt idx="1299">
                  <c:v>0.88066735225627046</c:v>
                </c:pt>
                <c:pt idx="1300">
                  <c:v>0.92460713799884631</c:v>
                </c:pt>
                <c:pt idx="1301">
                  <c:v>0.95463826406786378</c:v>
                </c:pt>
                <c:pt idx="1302">
                  <c:v>0.95917404817989238</c:v>
                </c:pt>
                <c:pt idx="1303">
                  <c:v>0.95938032092653658</c:v>
                </c:pt>
                <c:pt idx="1304">
                  <c:v>0.96461180189189422</c:v>
                </c:pt>
                <c:pt idx="1305">
                  <c:v>0.95705371378327542</c:v>
                </c:pt>
                <c:pt idx="1306">
                  <c:v>0.96776904736000091</c:v>
                </c:pt>
                <c:pt idx="1307">
                  <c:v>0.97938830733035809</c:v>
                </c:pt>
                <c:pt idx="1308">
                  <c:v>0.99201252091522996</c:v>
                </c:pt>
                <c:pt idx="1309">
                  <c:v>1.0085404361368833</c:v>
                </c:pt>
                <c:pt idx="1310">
                  <c:v>1.0127230360017352</c:v>
                </c:pt>
                <c:pt idx="1311">
                  <c:v>1.007076152874206</c:v>
                </c:pt>
                <c:pt idx="1312">
                  <c:v>1.0094902802473567</c:v>
                </c:pt>
                <c:pt idx="1313">
                  <c:v>1.0143728520558133</c:v>
                </c:pt>
                <c:pt idx="1314">
                  <c:v>1.0157605891494379</c:v>
                </c:pt>
                <c:pt idx="1315">
                  <c:v>1.0254994299643005</c:v>
                </c:pt>
                <c:pt idx="1316">
                  <c:v>1.0180946498203083</c:v>
                </c:pt>
                <c:pt idx="1317">
                  <c:v>1.0141871250593997</c:v>
                </c:pt>
                <c:pt idx="1318">
                  <c:v>0.98582891043183818</c:v>
                </c:pt>
                <c:pt idx="1319">
                  <c:v>0.95844735667370662</c:v>
                </c:pt>
                <c:pt idx="1320">
                  <c:v>0.94575902877532492</c:v>
                </c:pt>
                <c:pt idx="1321">
                  <c:v>1.0086963565976685</c:v>
                </c:pt>
                <c:pt idx="1322">
                  <c:v>0.96839496458183238</c:v>
                </c:pt>
                <c:pt idx="1323">
                  <c:v>0.98867167885978768</c:v>
                </c:pt>
                <c:pt idx="1324">
                  <c:v>1.0192229503641095</c:v>
                </c:pt>
                <c:pt idx="1325">
                  <c:v>1.0406471417945848</c:v>
                </c:pt>
                <c:pt idx="1326">
                  <c:v>1.0438599193433289</c:v>
                </c:pt>
                <c:pt idx="1327">
                  <c:v>1.0447241672973762</c:v>
                </c:pt>
                <c:pt idx="1328">
                  <c:v>1.0301477272781709</c:v>
                </c:pt>
                <c:pt idx="1329">
                  <c:v>1.0168414722139749</c:v>
                </c:pt>
                <c:pt idx="1330">
                  <c:v>1.0154612341522613</c:v>
                </c:pt>
                <c:pt idx="1331">
                  <c:v>1.0219726655957113</c:v>
                </c:pt>
                <c:pt idx="1332">
                  <c:v>1.0162601563570259</c:v>
                </c:pt>
                <c:pt idx="1333">
                  <c:v>0.99233446485406573</c:v>
                </c:pt>
                <c:pt idx="1334">
                  <c:v>0.95503025598545976</c:v>
                </c:pt>
                <c:pt idx="1335">
                  <c:v>0.89606800949604093</c:v>
                </c:pt>
                <c:pt idx="1336">
                  <c:v>0.82807121270333706</c:v>
                </c:pt>
                <c:pt idx="1337">
                  <c:v>0.76893486228324348</c:v>
                </c:pt>
                <c:pt idx="1338">
                  <c:v>0.69947711898253484</c:v>
                </c:pt>
                <c:pt idx="1339">
                  <c:v>0.65782547473917641</c:v>
                </c:pt>
                <c:pt idx="1340">
                  <c:v>0.65072752642016651</c:v>
                </c:pt>
                <c:pt idx="1341">
                  <c:v>0.70092974574353983</c:v>
                </c:pt>
                <c:pt idx="1342">
                  <c:v>0.77338867532943856</c:v>
                </c:pt>
                <c:pt idx="1343">
                  <c:v>0.84518974970692973</c:v>
                </c:pt>
                <c:pt idx="1344">
                  <c:v>0.89632795456040182</c:v>
                </c:pt>
                <c:pt idx="1345">
                  <c:v>0.93541872894881062</c:v>
                </c:pt>
                <c:pt idx="1346">
                  <c:v>0.96584833629469569</c:v>
                </c:pt>
                <c:pt idx="1347">
                  <c:v>0.97811709403606084</c:v>
                </c:pt>
                <c:pt idx="1348">
                  <c:v>0.99604778780379155</c:v>
                </c:pt>
                <c:pt idx="1349">
                  <c:v>1.0019069196144865</c:v>
                </c:pt>
                <c:pt idx="1350">
                  <c:v>1.003205070734869</c:v>
                </c:pt>
                <c:pt idx="1351">
                  <c:v>0.99416844923076997</c:v>
                </c:pt>
                <c:pt idx="1352">
                  <c:v>0.98449188593666037</c:v>
                </c:pt>
                <c:pt idx="1353">
                  <c:v>0.98463392298459662</c:v>
                </c:pt>
                <c:pt idx="1354">
                  <c:v>0.98549588317025516</c:v>
                </c:pt>
                <c:pt idx="1355">
                  <c:v>0.98439471682967083</c:v>
                </c:pt>
                <c:pt idx="1356">
                  <c:v>0.99859102777062658</c:v>
                </c:pt>
                <c:pt idx="1357">
                  <c:v>1.0029304532338259</c:v>
                </c:pt>
                <c:pt idx="1358">
                  <c:v>1.0120947972216452</c:v>
                </c:pt>
                <c:pt idx="1359">
                  <c:v>1.0179049101038034</c:v>
                </c:pt>
                <c:pt idx="1360">
                  <c:v>1.0197268208959231</c:v>
                </c:pt>
                <c:pt idx="1361">
                  <c:v>1.0152606359748086</c:v>
                </c:pt>
                <c:pt idx="1362">
                  <c:v>1.0175462292212418</c:v>
                </c:pt>
                <c:pt idx="1363">
                  <c:v>1.0209277002551942</c:v>
                </c:pt>
                <c:pt idx="1364">
                  <c:v>1.020298428929278</c:v>
                </c:pt>
                <c:pt idx="1365">
                  <c:v>1.0196126850272802</c:v>
                </c:pt>
                <c:pt idx="1366">
                  <c:v>1.0234687240102844</c:v>
                </c:pt>
                <c:pt idx="1367">
                  <c:v>1.01984956436265</c:v>
                </c:pt>
                <c:pt idx="1368">
                  <c:v>1.0021855526579353</c:v>
                </c:pt>
                <c:pt idx="1369">
                  <c:v>0.99208222617618858</c:v>
                </c:pt>
                <c:pt idx="1370">
                  <c:v>0.98819931942658124</c:v>
                </c:pt>
                <c:pt idx="1371">
                  <c:v>0.97033152843810233</c:v>
                </c:pt>
                <c:pt idx="1372">
                  <c:v>0.96714772839737317</c:v>
                </c:pt>
                <c:pt idx="1373">
                  <c:v>0.96237496178727433</c:v>
                </c:pt>
                <c:pt idx="1374">
                  <c:v>0.96364955096537286</c:v>
                </c:pt>
                <c:pt idx="1375">
                  <c:v>0.97299519829238734</c:v>
                </c:pt>
                <c:pt idx="1376">
                  <c:v>0.98336077682456202</c:v>
                </c:pt>
                <c:pt idx="1377">
                  <c:v>0.99892566280144368</c:v>
                </c:pt>
                <c:pt idx="1378">
                  <c:v>1.0185417696624388</c:v>
                </c:pt>
                <c:pt idx="1379">
                  <c:v>1.0180121973563097</c:v>
                </c:pt>
                <c:pt idx="1380">
                  <c:v>1.0226751498779727</c:v>
                </c:pt>
                <c:pt idx="1381">
                  <c:v>1.0072254415077613</c:v>
                </c:pt>
                <c:pt idx="1382">
                  <c:v>1.0042282092117853</c:v>
                </c:pt>
                <c:pt idx="1383">
                  <c:v>0.98930598123307167</c:v>
                </c:pt>
                <c:pt idx="1384">
                  <c:v>0.9986312407812209</c:v>
                </c:pt>
                <c:pt idx="1385">
                  <c:v>0.99501957040495992</c:v>
                </c:pt>
                <c:pt idx="1386">
                  <c:v>0.99753335086270489</c:v>
                </c:pt>
                <c:pt idx="1387">
                  <c:v>1.0040014614678918</c:v>
                </c:pt>
                <c:pt idx="1388">
                  <c:v>0.97925444459136379</c:v>
                </c:pt>
                <c:pt idx="1389">
                  <c:v>0.96890448975532184</c:v>
                </c:pt>
                <c:pt idx="1390">
                  <c:v>0.9733171435615926</c:v>
                </c:pt>
                <c:pt idx="1391">
                  <c:v>0.97746721783861878</c:v>
                </c:pt>
                <c:pt idx="1392">
                  <c:v>0.97915278309822307</c:v>
                </c:pt>
                <c:pt idx="1393">
                  <c:v>0.98572852166456626</c:v>
                </c:pt>
                <c:pt idx="1394">
                  <c:v>1.0008132561026017</c:v>
                </c:pt>
                <c:pt idx="1395">
                  <c:v>0.99476299125860324</c:v>
                </c:pt>
                <c:pt idx="1396">
                  <c:v>0.98783461537685624</c:v>
                </c:pt>
                <c:pt idx="1397">
                  <c:v>0.98094276794372259</c:v>
                </c:pt>
                <c:pt idx="1398">
                  <c:v>0.98391706207631557</c:v>
                </c:pt>
                <c:pt idx="1399">
                  <c:v>0.99213762913324677</c:v>
                </c:pt>
                <c:pt idx="1400">
                  <c:v>1.0038883084017873</c:v>
                </c:pt>
                <c:pt idx="1401">
                  <c:v>1.0112166755564094</c:v>
                </c:pt>
                <c:pt idx="1402">
                  <c:v>1.0061389239765122</c:v>
                </c:pt>
                <c:pt idx="1403">
                  <c:v>1.0072890160493286</c:v>
                </c:pt>
                <c:pt idx="1404">
                  <c:v>1.008111572321178</c:v>
                </c:pt>
                <c:pt idx="1405">
                  <c:v>1.0199712419947482</c:v>
                </c:pt>
                <c:pt idx="1406">
                  <c:v>1.0363136907858983</c:v>
                </c:pt>
                <c:pt idx="1407">
                  <c:v>1.041677565311967</c:v>
                </c:pt>
                <c:pt idx="1408">
                  <c:v>1.0559922391377028</c:v>
                </c:pt>
                <c:pt idx="1409">
                  <c:v>1.0585385528999562</c:v>
                </c:pt>
                <c:pt idx="1410">
                  <c:v>1.060648437111777</c:v>
                </c:pt>
                <c:pt idx="1411">
                  <c:v>1.0519281991602827</c:v>
                </c:pt>
                <c:pt idx="1412">
                  <c:v>1.0419278463680577</c:v>
                </c:pt>
                <c:pt idx="1413">
                  <c:v>1.0468649248012323</c:v>
                </c:pt>
                <c:pt idx="1414">
                  <c:v>1.047473759124109</c:v>
                </c:pt>
                <c:pt idx="1415">
                  <c:v>1.0346826861162515</c:v>
                </c:pt>
                <c:pt idx="1416">
                  <c:v>1.0325248037745334</c:v>
                </c:pt>
                <c:pt idx="1417">
                  <c:v>1.0299735442974063</c:v>
                </c:pt>
                <c:pt idx="1418">
                  <c:v>1.0185486204182419</c:v>
                </c:pt>
                <c:pt idx="1419">
                  <c:v>1.0276544910920979</c:v>
                </c:pt>
                <c:pt idx="1420">
                  <c:v>1.0427305104895785</c:v>
                </c:pt>
                <c:pt idx="1421">
                  <c:v>1.0647317404280292</c:v>
                </c:pt>
                <c:pt idx="1422">
                  <c:v>1.0620660396559738</c:v>
                </c:pt>
                <c:pt idx="1423">
                  <c:v>1.0649223723180186</c:v>
                </c:pt>
                <c:pt idx="1424">
                  <c:v>1.0484014268873765</c:v>
                </c:pt>
                <c:pt idx="1425">
                  <c:v>1.0369440146849622</c:v>
                </c:pt>
                <c:pt idx="1426">
                  <c:v>1.0226879060528087</c:v>
                </c:pt>
                <c:pt idx="1427">
                  <c:v>1.010955216237726</c:v>
                </c:pt>
                <c:pt idx="1428">
                  <c:v>1.0042534237057938</c:v>
                </c:pt>
                <c:pt idx="1429">
                  <c:v>1.0008164808943605</c:v>
                </c:pt>
                <c:pt idx="1430">
                  <c:v>1.0032138466887595</c:v>
                </c:pt>
                <c:pt idx="1431">
                  <c:v>1.0100125156678399</c:v>
                </c:pt>
                <c:pt idx="1432">
                  <c:v>1.0050522890987599</c:v>
                </c:pt>
                <c:pt idx="1433">
                  <c:v>1.0028136114256185</c:v>
                </c:pt>
                <c:pt idx="1434">
                  <c:v>0.99436558397640673</c:v>
                </c:pt>
                <c:pt idx="1435">
                  <c:v>0.96767081552777712</c:v>
                </c:pt>
                <c:pt idx="1436">
                  <c:v>0.95872048088766182</c:v>
                </c:pt>
                <c:pt idx="1437">
                  <c:v>0.95434288595988359</c:v>
                </c:pt>
                <c:pt idx="1438">
                  <c:v>0.95869824221333699</c:v>
                </c:pt>
                <c:pt idx="1439">
                  <c:v>0.97517544831345193</c:v>
                </c:pt>
                <c:pt idx="1440">
                  <c:v>0.99336090999092264</c:v>
                </c:pt>
                <c:pt idx="1441">
                  <c:v>0.99948933823596431</c:v>
                </c:pt>
                <c:pt idx="1442">
                  <c:v>0.99094234628526867</c:v>
                </c:pt>
                <c:pt idx="1443">
                  <c:v>0.97032865168438542</c:v>
                </c:pt>
                <c:pt idx="1444">
                  <c:v>0.95790177565472479</c:v>
                </c:pt>
                <c:pt idx="1445">
                  <c:v>0.93862613167470255</c:v>
                </c:pt>
                <c:pt idx="1446">
                  <c:v>0.9067281712917602</c:v>
                </c:pt>
                <c:pt idx="1447">
                  <c:v>0.90081215570996387</c:v>
                </c:pt>
                <c:pt idx="1448">
                  <c:v>0.90353112836427785</c:v>
                </c:pt>
                <c:pt idx="1449">
                  <c:v>0.92576911650576732</c:v>
                </c:pt>
                <c:pt idx="1450">
                  <c:v>0.95874049360709424</c:v>
                </c:pt>
                <c:pt idx="1451">
                  <c:v>0.97872672403530925</c:v>
                </c:pt>
                <c:pt idx="1452">
                  <c:v>0.97452321314943924</c:v>
                </c:pt>
                <c:pt idx="1453">
                  <c:v>0.95498285734639499</c:v>
                </c:pt>
                <c:pt idx="1454">
                  <c:v>0.93398629744151551</c:v>
                </c:pt>
                <c:pt idx="1455">
                  <c:v>0.91113240750146918</c:v>
                </c:pt>
                <c:pt idx="1456">
                  <c:v>0.87139694712996107</c:v>
                </c:pt>
                <c:pt idx="1457">
                  <c:v>0.80887593287910964</c:v>
                </c:pt>
                <c:pt idx="1458">
                  <c:v>0.7339447794515177</c:v>
                </c:pt>
                <c:pt idx="1459">
                  <c:v>0.65068165610727269</c:v>
                </c:pt>
                <c:pt idx="1460">
                  <c:v>0.59810517412210673</c:v>
                </c:pt>
                <c:pt idx="1461">
                  <c:v>0.6006748584941678</c:v>
                </c:pt>
                <c:pt idx="1462">
                  <c:v>0.64125529409731252</c:v>
                </c:pt>
                <c:pt idx="1463">
                  <c:v>0.72731129159386176</c:v>
                </c:pt>
                <c:pt idx="1464">
                  <c:v>0.83135277874242963</c:v>
                </c:pt>
                <c:pt idx="1465">
                  <c:v>0.91114106956059804</c:v>
                </c:pt>
                <c:pt idx="1466">
                  <c:v>0.95681745365361182</c:v>
                </c:pt>
                <c:pt idx="1467">
                  <c:v>0.98723786799166957</c:v>
                </c:pt>
                <c:pt idx="1468">
                  <c:v>0.99082821755352113</c:v>
                </c:pt>
                <c:pt idx="1469">
                  <c:v>0.98252525890794196</c:v>
                </c:pt>
                <c:pt idx="1470">
                  <c:v>0.96581048512637546</c:v>
                </c:pt>
                <c:pt idx="1471">
                  <c:v>0.9464771942099397</c:v>
                </c:pt>
                <c:pt idx="1472">
                  <c:v>0.93603555387922488</c:v>
                </c:pt>
                <c:pt idx="1473">
                  <c:v>0.92522815502221301</c:v>
                </c:pt>
                <c:pt idx="1474">
                  <c:v>0.92754638921275689</c:v>
                </c:pt>
                <c:pt idx="1475">
                  <c:v>0.94705657876127336</c:v>
                </c:pt>
                <c:pt idx="1476">
                  <c:v>0.96121866319444371</c:v>
                </c:pt>
                <c:pt idx="1477">
                  <c:v>0.98359897094711302</c:v>
                </c:pt>
                <c:pt idx="1478">
                  <c:v>0.99993329631885519</c:v>
                </c:pt>
                <c:pt idx="1479">
                  <c:v>1.0139117683590388</c:v>
                </c:pt>
                <c:pt idx="1480">
                  <c:v>1.0126190653639955</c:v>
                </c:pt>
                <c:pt idx="1481">
                  <c:v>1.0012964447970629</c:v>
                </c:pt>
                <c:pt idx="1482">
                  <c:v>0.98861967484385704</c:v>
                </c:pt>
                <c:pt idx="1483">
                  <c:v>0.97493433746657343</c:v>
                </c:pt>
                <c:pt idx="1484">
                  <c:v>0.96842303212515313</c:v>
                </c:pt>
                <c:pt idx="1485">
                  <c:v>0.95759947393140332</c:v>
                </c:pt>
                <c:pt idx="1486">
                  <c:v>0.94757002550197433</c:v>
                </c:pt>
                <c:pt idx="1487">
                  <c:v>0.92536771399972673</c:v>
                </c:pt>
                <c:pt idx="1488">
                  <c:v>0.91401382453765445</c:v>
                </c:pt>
                <c:pt idx="1489">
                  <c:v>0.91702243032772801</c:v>
                </c:pt>
                <c:pt idx="1490">
                  <c:v>0.95055882806800918</c:v>
                </c:pt>
                <c:pt idx="1491">
                  <c:v>0.98185646820567785</c:v>
                </c:pt>
                <c:pt idx="1492">
                  <c:v>1.0026273972873008</c:v>
                </c:pt>
                <c:pt idx="1493">
                  <c:v>0.99703467828386805</c:v>
                </c:pt>
                <c:pt idx="1494">
                  <c:v>0.98109198494280991</c:v>
                </c:pt>
                <c:pt idx="1495">
                  <c:v>0.96448169430151476</c:v>
                </c:pt>
                <c:pt idx="1496">
                  <c:v>0.95819516377440095</c:v>
                </c:pt>
                <c:pt idx="1497">
                  <c:v>0.95739458667635569</c:v>
                </c:pt>
                <c:pt idx="1498">
                  <c:v>0.97379641712509379</c:v>
                </c:pt>
                <c:pt idx="1499">
                  <c:v>0.9923773749718503</c:v>
                </c:pt>
                <c:pt idx="1500">
                  <c:v>1.0049952733358221</c:v>
                </c:pt>
                <c:pt idx="1501">
                  <c:v>0.98988744280830421</c:v>
                </c:pt>
                <c:pt idx="1502">
                  <c:v>0.97733801599769776</c:v>
                </c:pt>
                <c:pt idx="1503">
                  <c:v>0.96095359573305006</c:v>
                </c:pt>
                <c:pt idx="1504">
                  <c:v>0.9517688053484018</c:v>
                </c:pt>
                <c:pt idx="1505">
                  <c:v>0.95878486648058514</c:v>
                </c:pt>
                <c:pt idx="1506">
                  <c:v>0.96985807394301526</c:v>
                </c:pt>
                <c:pt idx="1507">
                  <c:v>0.97864227929128711</c:v>
                </c:pt>
                <c:pt idx="1508">
                  <c:v>0.98095576571976018</c:v>
                </c:pt>
                <c:pt idx="1509">
                  <c:v>0.99080090946038146</c:v>
                </c:pt>
                <c:pt idx="1510">
                  <c:v>0.9756151235677587</c:v>
                </c:pt>
                <c:pt idx="1511">
                  <c:v>0.95398448606583486</c:v>
                </c:pt>
                <c:pt idx="1512">
                  <c:v>0.89146776639263947</c:v>
                </c:pt>
                <c:pt idx="1513">
                  <c:v>0.82292841068007283</c:v>
                </c:pt>
                <c:pt idx="1514">
                  <c:v>0.75514599599193044</c:v>
                </c:pt>
                <c:pt idx="1515">
                  <c:v>0.71563605752308335</c:v>
                </c:pt>
                <c:pt idx="1516">
                  <c:v>0.75062862135561448</c:v>
                </c:pt>
                <c:pt idx="1517">
                  <c:v>0.81093900884194403</c:v>
                </c:pt>
                <c:pt idx="1518">
                  <c:v>0.88719947152001477</c:v>
                </c:pt>
                <c:pt idx="1519">
                  <c:v>0.93921103440746623</c:v>
                </c:pt>
                <c:pt idx="1520">
                  <c:v>0.98197047046609753</c:v>
                </c:pt>
                <c:pt idx="1521">
                  <c:v>0.9955169650969905</c:v>
                </c:pt>
                <c:pt idx="1522">
                  <c:v>1.0089490434894888</c:v>
                </c:pt>
                <c:pt idx="1523">
                  <c:v>1.0046716135969376</c:v>
                </c:pt>
                <c:pt idx="1524">
                  <c:v>0.99416083045054293</c:v>
                </c:pt>
                <c:pt idx="1525">
                  <c:v>0.98559119967839104</c:v>
                </c:pt>
                <c:pt idx="1526">
                  <c:v>0.95957086619404264</c:v>
                </c:pt>
                <c:pt idx="1527">
                  <c:v>0.95672275385166716</c:v>
                </c:pt>
                <c:pt idx="1528">
                  <c:v>0.98502601444849369</c:v>
                </c:pt>
                <c:pt idx="1529">
                  <c:v>1.0001613373591669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ED-4368-AAE0-B5BAF1D3C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6730480"/>
        <c:axId val="1690994656"/>
      </c:scatterChart>
      <c:valAx>
        <c:axId val="1626730480"/>
        <c:scaling>
          <c:orientation val="minMax"/>
          <c:max val="15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90994656"/>
        <c:crosses val="autoZero"/>
        <c:crossBetween val="midCat"/>
      </c:valAx>
      <c:valAx>
        <c:axId val="169099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26730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cúbicas en ster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'ster parábolas'!$X$4:$X$37</c:f>
              <c:numCache>
                <c:formatCode>General</c:formatCode>
                <c:ptCount val="34"/>
                <c:pt idx="0">
                  <c:v>6490.1809999999996</c:v>
                </c:pt>
                <c:pt idx="1">
                  <c:v>6493.7809999999999</c:v>
                </c:pt>
                <c:pt idx="2">
                  <c:v>6494.98</c:v>
                </c:pt>
                <c:pt idx="3">
                  <c:v>6496.8990000000003</c:v>
                </c:pt>
                <c:pt idx="4">
                  <c:v>6498.9378999999999</c:v>
                </c:pt>
                <c:pt idx="5">
                  <c:v>6504.1652999999997</c:v>
                </c:pt>
                <c:pt idx="6">
                  <c:v>6508.1205</c:v>
                </c:pt>
                <c:pt idx="8">
                  <c:v>6526.9840000000004</c:v>
                </c:pt>
                <c:pt idx="9">
                  <c:v>6531.4206999999997</c:v>
                </c:pt>
                <c:pt idx="10">
                  <c:v>6532.8730999999998</c:v>
                </c:pt>
                <c:pt idx="11">
                  <c:v>6537.9210000000003</c:v>
                </c:pt>
                <c:pt idx="12">
                  <c:v>6543.5037000000002</c:v>
                </c:pt>
                <c:pt idx="13">
                  <c:v>6546.2529999999997</c:v>
                </c:pt>
                <c:pt idx="14">
                  <c:v>6551.6767</c:v>
                </c:pt>
                <c:pt idx="15">
                  <c:v>6554.223</c:v>
                </c:pt>
                <c:pt idx="16">
                  <c:v>6556.0618000000004</c:v>
                </c:pt>
                <c:pt idx="17">
                  <c:v>6565.8829999999998</c:v>
                </c:pt>
                <c:pt idx="18">
                  <c:v>6569.2145</c:v>
                </c:pt>
                <c:pt idx="19">
                  <c:v>6572.826</c:v>
                </c:pt>
                <c:pt idx="20">
                  <c:v>6574.2262000000001</c:v>
                </c:pt>
                <c:pt idx="22">
                  <c:v>6576.56</c:v>
                </c:pt>
                <c:pt idx="23">
                  <c:v>6581.2088000000003</c:v>
                </c:pt>
                <c:pt idx="24">
                  <c:v>6586.3099000000002</c:v>
                </c:pt>
                <c:pt idx="25">
                  <c:v>6592.9120000000003</c:v>
                </c:pt>
                <c:pt idx="26">
                  <c:v>6593.8690999999999</c:v>
                </c:pt>
                <c:pt idx="27">
                  <c:v>6599.1048000000001</c:v>
                </c:pt>
                <c:pt idx="28">
                  <c:v>6604.6009999999997</c:v>
                </c:pt>
                <c:pt idx="29">
                  <c:v>6605.9736999999996</c:v>
                </c:pt>
                <c:pt idx="30">
                  <c:v>6608.0245999999997</c:v>
                </c:pt>
                <c:pt idx="31">
                  <c:v>6613.8244999999997</c:v>
                </c:pt>
                <c:pt idx="32">
                  <c:v>6625.0210999999999</c:v>
                </c:pt>
                <c:pt idx="33">
                  <c:v>6630.01</c:v>
                </c:pt>
              </c:numCache>
            </c:numRef>
          </c:xVal>
          <c:yVal>
            <c:numRef>
              <c:f>'ster parábolas'!$Z$4:$Z$37</c:f>
              <c:numCache>
                <c:formatCode>General</c:formatCode>
                <c:ptCount val="34"/>
                <c:pt idx="0">
                  <c:v>30.593375106113818</c:v>
                </c:pt>
                <c:pt idx="1">
                  <c:v>30.328075151442313</c:v>
                </c:pt>
                <c:pt idx="2">
                  <c:v>33.486354047185252</c:v>
                </c:pt>
                <c:pt idx="3">
                  <c:v>29.32811980285166</c:v>
                </c:pt>
                <c:pt idx="4">
                  <c:v>29.681818660121095</c:v>
                </c:pt>
                <c:pt idx="5">
                  <c:v>28.990472593326544</c:v>
                </c:pt>
                <c:pt idx="6">
                  <c:v>28.448546027237676</c:v>
                </c:pt>
                <c:pt idx="8">
                  <c:v>30.441119164592578</c:v>
                </c:pt>
                <c:pt idx="9">
                  <c:v>30.356498950223632</c:v>
                </c:pt>
                <c:pt idx="10">
                  <c:v>28.744939059222041</c:v>
                </c:pt>
                <c:pt idx="11">
                  <c:v>28.300999185559839</c:v>
                </c:pt>
                <c:pt idx="13">
                  <c:v>27.774529838642259</c:v>
                </c:pt>
                <c:pt idx="14">
                  <c:v>26.667864031781896</c:v>
                </c:pt>
                <c:pt idx="15">
                  <c:v>28.51027006658402</c:v>
                </c:pt>
                <c:pt idx="16">
                  <c:v>27.561435024181513</c:v>
                </c:pt>
                <c:pt idx="17">
                  <c:v>24.069972944729123</c:v>
                </c:pt>
                <c:pt idx="18">
                  <c:v>29.539611462370274</c:v>
                </c:pt>
                <c:pt idx="19">
                  <c:v>27.212938081411231</c:v>
                </c:pt>
                <c:pt idx="20">
                  <c:v>28.930437735374959</c:v>
                </c:pt>
                <c:pt idx="22">
                  <c:v>26.712374911830317</c:v>
                </c:pt>
                <c:pt idx="23">
                  <c:v>26.10394715012454</c:v>
                </c:pt>
                <c:pt idx="24">
                  <c:v>28.124045068067538</c:v>
                </c:pt>
                <c:pt idx="25">
                  <c:v>28.885077145890392</c:v>
                </c:pt>
                <c:pt idx="26">
                  <c:v>29.209869118274057</c:v>
                </c:pt>
                <c:pt idx="27">
                  <c:v>27.159598835457821</c:v>
                </c:pt>
                <c:pt idx="28">
                  <c:v>28.405659815256001</c:v>
                </c:pt>
                <c:pt idx="29">
                  <c:v>28.51705154736095</c:v>
                </c:pt>
                <c:pt idx="30">
                  <c:v>25.752985831384301</c:v>
                </c:pt>
                <c:pt idx="31">
                  <c:v>26.887821507282084</c:v>
                </c:pt>
                <c:pt idx="32">
                  <c:v>26.527502539819281</c:v>
                </c:pt>
                <c:pt idx="33">
                  <c:v>28.29998456830296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B1-4C0B-AF9E-9E1F51D69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652559"/>
        <c:axId val="295672335"/>
      </c:scatterChart>
      <c:valAx>
        <c:axId val="203652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95672335"/>
        <c:crosses val="autoZero"/>
        <c:crossBetween val="midCat"/>
      </c:valAx>
      <c:valAx>
        <c:axId val="29567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3652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1"/>
            <c:trendlineLbl>
              <c:layout>
                <c:manualLayout>
                  <c:x val="1.3575889220743959E-4"/>
                  <c:y val="0.71833748959391497"/>
                </c:manualLayout>
              </c:layout>
              <c:numFmt formatCode="0.0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'ster parábolas'!$F$785:$F$798</c:f>
              <c:numCache>
                <c:formatCode>General</c:formatCode>
                <c:ptCount val="14"/>
                <c:pt idx="0">
                  <c:v>-0.46315340689397999</c:v>
                </c:pt>
                <c:pt idx="1">
                  <c:v>-0.37052350110388943</c:v>
                </c:pt>
                <c:pt idx="2">
                  <c:v>-0.27789320712417975</c:v>
                </c:pt>
                <c:pt idx="3">
                  <c:v>-0.18526252534684318</c:v>
                </c:pt>
                <c:pt idx="4">
                  <c:v>-9.2631456169328885E-2</c:v>
                </c:pt>
                <c:pt idx="5">
                  <c:v>0</c:v>
                </c:pt>
                <c:pt idx="6">
                  <c:v>9.2631842744594906E-2</c:v>
                </c:pt>
                <c:pt idx="7">
                  <c:v>0.1852640716406313</c:v>
                </c:pt>
                <c:pt idx="8">
                  <c:v>0.27789668625337072</c:v>
                </c:pt>
                <c:pt idx="9">
                  <c:v>0.37052968614170823</c:v>
                </c:pt>
                <c:pt idx="10">
                  <c:v>0.46316307085362496</c:v>
                </c:pt>
                <c:pt idx="11">
                  <c:v>0.55579683993073559</c:v>
                </c:pt>
                <c:pt idx="12">
                  <c:v>0.64843099290465034</c:v>
                </c:pt>
                <c:pt idx="13">
                  <c:v>0.7410655292978845</c:v>
                </c:pt>
              </c:numCache>
            </c:numRef>
          </c:xVal>
          <c:yVal>
            <c:numRef>
              <c:f>'ster parábolas'!$G$785:$G$798</c:f>
              <c:numCache>
                <c:formatCode>General</c:formatCode>
                <c:ptCount val="14"/>
                <c:pt idx="0">
                  <c:v>0.35473008221530022</c:v>
                </c:pt>
                <c:pt idx="1">
                  <c:v>0.27895667967440163</c:v>
                </c:pt>
                <c:pt idx="2">
                  <c:v>0.2250196742375534</c:v>
                </c:pt>
                <c:pt idx="3">
                  <c:v>0.19617395472687085</c:v>
                </c:pt>
                <c:pt idx="4">
                  <c:v>0.17987640225140128</c:v>
                </c:pt>
                <c:pt idx="5">
                  <c:v>0.17756260677377647</c:v>
                </c:pt>
                <c:pt idx="6">
                  <c:v>0.18059376108162817</c:v>
                </c:pt>
                <c:pt idx="7">
                  <c:v>0.19072450165858651</c:v>
                </c:pt>
                <c:pt idx="8">
                  <c:v>0.20763680848552121</c:v>
                </c:pt>
                <c:pt idx="9">
                  <c:v>0.22572672459025786</c:v>
                </c:pt>
                <c:pt idx="10">
                  <c:v>0.24668210509910671</c:v>
                </c:pt>
                <c:pt idx="11">
                  <c:v>0.26924018842284486</c:v>
                </c:pt>
                <c:pt idx="12">
                  <c:v>0.30041303686254445</c:v>
                </c:pt>
                <c:pt idx="13">
                  <c:v>0.33709181278038364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44-4135-A143-204F53337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2565296"/>
        <c:axId val="1392565776"/>
      </c:scatterChart>
      <c:valAx>
        <c:axId val="1392565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92565776"/>
        <c:crosses val="autoZero"/>
        <c:crossBetween val="midCat"/>
      </c:valAx>
      <c:valAx>
        <c:axId val="139256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92565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parábolas en ster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'ster parábolas'!$X$40:$X$73</c:f>
              <c:numCache>
                <c:formatCode>General</c:formatCode>
                <c:ptCount val="34"/>
                <c:pt idx="1">
                  <c:v>6493.7809999999999</c:v>
                </c:pt>
                <c:pt idx="2">
                  <c:v>6494.98</c:v>
                </c:pt>
                <c:pt idx="3">
                  <c:v>6496.8990000000003</c:v>
                </c:pt>
                <c:pt idx="4">
                  <c:v>6498.9378999999999</c:v>
                </c:pt>
                <c:pt idx="5">
                  <c:v>6504.1652999999997</c:v>
                </c:pt>
                <c:pt idx="6">
                  <c:v>6508.1205</c:v>
                </c:pt>
                <c:pt idx="9">
                  <c:v>6531.4206999999997</c:v>
                </c:pt>
                <c:pt idx="10">
                  <c:v>6532.8730999999998</c:v>
                </c:pt>
                <c:pt idx="11">
                  <c:v>6537.9210000000003</c:v>
                </c:pt>
                <c:pt idx="12">
                  <c:v>6543.5037000000002</c:v>
                </c:pt>
                <c:pt idx="13">
                  <c:v>6546.2529999999997</c:v>
                </c:pt>
                <c:pt idx="14">
                  <c:v>6551.6767</c:v>
                </c:pt>
                <c:pt idx="15">
                  <c:v>6554.223</c:v>
                </c:pt>
                <c:pt idx="16">
                  <c:v>6556.0618000000004</c:v>
                </c:pt>
                <c:pt idx="17">
                  <c:v>6565.8829999999998</c:v>
                </c:pt>
                <c:pt idx="18">
                  <c:v>6569.2145</c:v>
                </c:pt>
                <c:pt idx="19">
                  <c:v>6572.826</c:v>
                </c:pt>
                <c:pt idx="20">
                  <c:v>6574.2262000000001</c:v>
                </c:pt>
                <c:pt idx="22">
                  <c:v>6576.56</c:v>
                </c:pt>
                <c:pt idx="23">
                  <c:v>6581.2088000000003</c:v>
                </c:pt>
                <c:pt idx="24">
                  <c:v>6586.3099000000002</c:v>
                </c:pt>
                <c:pt idx="25">
                  <c:v>6592.9120000000003</c:v>
                </c:pt>
                <c:pt idx="26">
                  <c:v>6593.8690999999999</c:v>
                </c:pt>
                <c:pt idx="27">
                  <c:v>6599.1048000000001</c:v>
                </c:pt>
                <c:pt idx="28">
                  <c:v>6604.6009999999997</c:v>
                </c:pt>
                <c:pt idx="29">
                  <c:v>6605.9736999999996</c:v>
                </c:pt>
                <c:pt idx="30">
                  <c:v>6608.0245999999997</c:v>
                </c:pt>
                <c:pt idx="31">
                  <c:v>6613.8244999999997</c:v>
                </c:pt>
                <c:pt idx="33">
                  <c:v>6630.01</c:v>
                </c:pt>
              </c:numCache>
            </c:numRef>
          </c:xVal>
          <c:yVal>
            <c:numRef>
              <c:f>'ster parábolas'!$Z$40:$Z$73</c:f>
              <c:numCache>
                <c:formatCode>General</c:formatCode>
                <c:ptCount val="34"/>
                <c:pt idx="1">
                  <c:v>31.67695253123437</c:v>
                </c:pt>
                <c:pt idx="2">
                  <c:v>33.168332767008479</c:v>
                </c:pt>
                <c:pt idx="3">
                  <c:v>29.476419575846791</c:v>
                </c:pt>
                <c:pt idx="4">
                  <c:v>30.013602596312694</c:v>
                </c:pt>
                <c:pt idx="5">
                  <c:v>29.274354812791614</c:v>
                </c:pt>
                <c:pt idx="6">
                  <c:v>28.928627355995218</c:v>
                </c:pt>
                <c:pt idx="9">
                  <c:v>31.913175270004146</c:v>
                </c:pt>
                <c:pt idx="10">
                  <c:v>29.235761658719106</c:v>
                </c:pt>
                <c:pt idx="11">
                  <c:v>29.071260639979002</c:v>
                </c:pt>
                <c:pt idx="13">
                  <c:v>27.895443986936108</c:v>
                </c:pt>
                <c:pt idx="14">
                  <c:v>27.3455593480465</c:v>
                </c:pt>
                <c:pt idx="15">
                  <c:v>28.368084019181339</c:v>
                </c:pt>
                <c:pt idx="16">
                  <c:v>27.307688751787573</c:v>
                </c:pt>
                <c:pt idx="17">
                  <c:v>23.116346114826491</c:v>
                </c:pt>
                <c:pt idx="18">
                  <c:v>29.322990534841331</c:v>
                </c:pt>
                <c:pt idx="19">
                  <c:v>27.221597565474376</c:v>
                </c:pt>
                <c:pt idx="20">
                  <c:v>29.385423133865274</c:v>
                </c:pt>
                <c:pt idx="22">
                  <c:v>26.288437709087731</c:v>
                </c:pt>
                <c:pt idx="23">
                  <c:v>25.836246080279679</c:v>
                </c:pt>
                <c:pt idx="24">
                  <c:v>28.084304075770561</c:v>
                </c:pt>
                <c:pt idx="25">
                  <c:v>28.839728667984232</c:v>
                </c:pt>
                <c:pt idx="26">
                  <c:v>29.312941315118302</c:v>
                </c:pt>
                <c:pt idx="27">
                  <c:v>26.709484788223214</c:v>
                </c:pt>
                <c:pt idx="28">
                  <c:v>28.611424307634081</c:v>
                </c:pt>
                <c:pt idx="29">
                  <c:v>28.192427028228551</c:v>
                </c:pt>
                <c:pt idx="30">
                  <c:v>25.740122197226434</c:v>
                </c:pt>
                <c:pt idx="31">
                  <c:v>26.67988920910247</c:v>
                </c:pt>
                <c:pt idx="33">
                  <c:v>28.461450136352262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F6-4739-BD09-4E331C060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652559"/>
        <c:axId val="295672335"/>
      </c:scatterChart>
      <c:valAx>
        <c:axId val="203652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95672335"/>
        <c:crosses val="autoZero"/>
        <c:crossBetween val="midCat"/>
      </c:valAx>
      <c:valAx>
        <c:axId val="29567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3652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diferencias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'compara V con otra fecha'!$A$6:$A$32</c:f>
              <c:numCache>
                <c:formatCode>General</c:formatCode>
                <c:ptCount val="27"/>
                <c:pt idx="0">
                  <c:v>6493.7809999999999</c:v>
                </c:pt>
                <c:pt idx="1">
                  <c:v>6494.98</c:v>
                </c:pt>
                <c:pt idx="2">
                  <c:v>6496.8990000000003</c:v>
                </c:pt>
                <c:pt idx="3">
                  <c:v>6498.9378999999999</c:v>
                </c:pt>
                <c:pt idx="4">
                  <c:v>6504.1652999999997</c:v>
                </c:pt>
                <c:pt idx="5">
                  <c:v>6508.1205</c:v>
                </c:pt>
                <c:pt idx="6">
                  <c:v>6531.4206999999997</c:v>
                </c:pt>
                <c:pt idx="7">
                  <c:v>6532.8730999999998</c:v>
                </c:pt>
                <c:pt idx="8">
                  <c:v>6537.9210000000003</c:v>
                </c:pt>
                <c:pt idx="9">
                  <c:v>6546.2529999999997</c:v>
                </c:pt>
                <c:pt idx="10">
                  <c:v>6551.6767</c:v>
                </c:pt>
                <c:pt idx="11">
                  <c:v>6554.223</c:v>
                </c:pt>
                <c:pt idx="12">
                  <c:v>6556.0618000000004</c:v>
                </c:pt>
                <c:pt idx="13">
                  <c:v>6565.8829999999998</c:v>
                </c:pt>
                <c:pt idx="14">
                  <c:v>6569.2145</c:v>
                </c:pt>
                <c:pt idx="15">
                  <c:v>6572.826</c:v>
                </c:pt>
                <c:pt idx="16">
                  <c:v>6574.2262000000001</c:v>
                </c:pt>
                <c:pt idx="17">
                  <c:v>6581.2088000000003</c:v>
                </c:pt>
                <c:pt idx="18">
                  <c:v>6586.3099000000002</c:v>
                </c:pt>
                <c:pt idx="19">
                  <c:v>6592.9120000000003</c:v>
                </c:pt>
                <c:pt idx="20">
                  <c:v>6593.8690999999999</c:v>
                </c:pt>
                <c:pt idx="21">
                  <c:v>6599.1048000000001</c:v>
                </c:pt>
                <c:pt idx="22">
                  <c:v>6604.6009999999997</c:v>
                </c:pt>
                <c:pt idx="23">
                  <c:v>6605.9736999999996</c:v>
                </c:pt>
                <c:pt idx="24">
                  <c:v>6608.0245999999997</c:v>
                </c:pt>
                <c:pt idx="25">
                  <c:v>6613.8244999999997</c:v>
                </c:pt>
                <c:pt idx="26">
                  <c:v>6630.01</c:v>
                </c:pt>
              </c:numCache>
            </c:numRef>
          </c:xVal>
          <c:yVal>
            <c:numRef>
              <c:f>'compara V con otra fecha'!$S$6:$S$32</c:f>
              <c:numCache>
                <c:formatCode>General</c:formatCode>
                <c:ptCount val="27"/>
                <c:pt idx="0">
                  <c:v>-0.45131055539382459</c:v>
                </c:pt>
                <c:pt idx="1">
                  <c:v>-1.1654453568210599</c:v>
                </c:pt>
                <c:pt idx="2">
                  <c:v>-0.6683289179409968</c:v>
                </c:pt>
                <c:pt idx="3">
                  <c:v>-0.56106715167203447</c:v>
                </c:pt>
                <c:pt idx="4">
                  <c:v>0.16833933353943564</c:v>
                </c:pt>
                <c:pt idx="5">
                  <c:v>0.42804645781213679</c:v>
                </c:pt>
                <c:pt idx="6">
                  <c:v>-1.7045886601563254</c:v>
                </c:pt>
                <c:pt idx="7">
                  <c:v>-0.27750425364292397</c:v>
                </c:pt>
                <c:pt idx="8">
                  <c:v>-0.12186665017122067</c:v>
                </c:pt>
                <c:pt idx="9">
                  <c:v>0.82454347909433068</c:v>
                </c:pt>
                <c:pt idx="10">
                  <c:v>-0.19679080638379531</c:v>
                </c:pt>
                <c:pt idx="11">
                  <c:v>0.29682500224392783</c:v>
                </c:pt>
                <c:pt idx="12">
                  <c:v>0.71677515336432407</c:v>
                </c:pt>
                <c:pt idx="13">
                  <c:v>1.3444782490656948</c:v>
                </c:pt>
                <c:pt idx="14">
                  <c:v>1.4437712467563202</c:v>
                </c:pt>
                <c:pt idx="15">
                  <c:v>9.3349008256637944E-2</c:v>
                </c:pt>
                <c:pt idx="16">
                  <c:v>-0.22389967979652425</c:v>
                </c:pt>
                <c:pt idx="17">
                  <c:v>0.80465959249043095</c:v>
                </c:pt>
                <c:pt idx="18">
                  <c:v>0.56210235379605678</c:v>
                </c:pt>
                <c:pt idx="19">
                  <c:v>-0.29257977394170354</c:v>
                </c:pt>
                <c:pt idx="20">
                  <c:v>0.16435589083041435</c:v>
                </c:pt>
                <c:pt idx="21">
                  <c:v>0.5452270215977606</c:v>
                </c:pt>
                <c:pt idx="22">
                  <c:v>-0.43829894087465959</c:v>
                </c:pt>
                <c:pt idx="23">
                  <c:v>-7.367691889914596E-2</c:v>
                </c:pt>
                <c:pt idx="24">
                  <c:v>0.52818036111457189</c:v>
                </c:pt>
                <c:pt idx="25">
                  <c:v>0.27439263075024201</c:v>
                </c:pt>
                <c:pt idx="26">
                  <c:v>1.0492005598328191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25-4E2A-97A4-54DFEEE9F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567199"/>
        <c:axId val="263408879"/>
      </c:scatterChart>
      <c:valAx>
        <c:axId val="374567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63408879"/>
        <c:crosses val="autoZero"/>
        <c:crossBetween val="midCat"/>
      </c:valAx>
      <c:valAx>
        <c:axId val="26340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74567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'compara V con otra fecha'!$A$6:$A$32</c:f>
              <c:numCache>
                <c:formatCode>General</c:formatCode>
                <c:ptCount val="27"/>
                <c:pt idx="0">
                  <c:v>6493.7809999999999</c:v>
                </c:pt>
                <c:pt idx="1">
                  <c:v>6494.98</c:v>
                </c:pt>
                <c:pt idx="2">
                  <c:v>6496.8990000000003</c:v>
                </c:pt>
                <c:pt idx="3">
                  <c:v>6498.9378999999999</c:v>
                </c:pt>
                <c:pt idx="4">
                  <c:v>6504.1652999999997</c:v>
                </c:pt>
                <c:pt idx="5">
                  <c:v>6508.1205</c:v>
                </c:pt>
                <c:pt idx="6">
                  <c:v>6531.4206999999997</c:v>
                </c:pt>
                <c:pt idx="7">
                  <c:v>6532.8730999999998</c:v>
                </c:pt>
                <c:pt idx="8">
                  <c:v>6537.9210000000003</c:v>
                </c:pt>
                <c:pt idx="9">
                  <c:v>6546.2529999999997</c:v>
                </c:pt>
                <c:pt idx="10">
                  <c:v>6551.6767</c:v>
                </c:pt>
                <c:pt idx="11">
                  <c:v>6554.223</c:v>
                </c:pt>
                <c:pt idx="12">
                  <c:v>6556.0618000000004</c:v>
                </c:pt>
                <c:pt idx="13">
                  <c:v>6565.8829999999998</c:v>
                </c:pt>
                <c:pt idx="14">
                  <c:v>6569.2145</c:v>
                </c:pt>
                <c:pt idx="15">
                  <c:v>6572.826</c:v>
                </c:pt>
                <c:pt idx="16">
                  <c:v>6574.2262000000001</c:v>
                </c:pt>
                <c:pt idx="17">
                  <c:v>6581.2088000000003</c:v>
                </c:pt>
                <c:pt idx="18">
                  <c:v>6586.3099000000002</c:v>
                </c:pt>
                <c:pt idx="19">
                  <c:v>6592.9120000000003</c:v>
                </c:pt>
                <c:pt idx="20">
                  <c:v>6593.8690999999999</c:v>
                </c:pt>
                <c:pt idx="21">
                  <c:v>6599.1048000000001</c:v>
                </c:pt>
                <c:pt idx="22">
                  <c:v>6604.6009999999997</c:v>
                </c:pt>
                <c:pt idx="23">
                  <c:v>6605.9736999999996</c:v>
                </c:pt>
                <c:pt idx="24">
                  <c:v>6608.0245999999997</c:v>
                </c:pt>
                <c:pt idx="25">
                  <c:v>6613.8244999999997</c:v>
                </c:pt>
                <c:pt idx="26">
                  <c:v>6630.01</c:v>
                </c:pt>
              </c:numCache>
            </c:numRef>
          </c:xVal>
          <c:yVal>
            <c:numRef>
              <c:f>'compara V con otra fecha'!$C$6:$C$32</c:f>
              <c:numCache>
                <c:formatCode>General</c:formatCode>
                <c:ptCount val="27"/>
                <c:pt idx="0">
                  <c:v>29.863295117116273</c:v>
                </c:pt>
                <c:pt idx="1">
                  <c:v>33.004074282461104</c:v>
                </c:pt>
                <c:pt idx="2">
                  <c:v>28.832674728951346</c:v>
                </c:pt>
                <c:pt idx="3">
                  <c:v>29.187140431141678</c:v>
                </c:pt>
                <c:pt idx="4">
                  <c:v>28.560387729736902</c:v>
                </c:pt>
                <c:pt idx="5">
                  <c:v>28.114535294698761</c:v>
                </c:pt>
                <c:pt idx="6">
                  <c:v>30.887825264636071</c:v>
                </c:pt>
                <c:pt idx="7">
                  <c:v>29.32426904687091</c:v>
                </c:pt>
                <c:pt idx="8">
                  <c:v>29.031714874117043</c:v>
                </c:pt>
                <c:pt idx="9">
                  <c:v>28.67355659927906</c:v>
                </c:pt>
                <c:pt idx="10">
                  <c:v>27.612547184818759</c:v>
                </c:pt>
                <c:pt idx="11">
                  <c:v>29.457997321258311</c:v>
                </c:pt>
                <c:pt idx="12">
                  <c:v>28.503950733926864</c:v>
                </c:pt>
                <c:pt idx="13">
                  <c:v>24.88505264113261</c:v>
                </c:pt>
                <c:pt idx="14">
                  <c:v>30.272799159325459</c:v>
                </c:pt>
                <c:pt idx="15">
                  <c:v>27.84472040420205</c:v>
                </c:pt>
                <c:pt idx="16">
                  <c:v>29.517048214300345</c:v>
                </c:pt>
                <c:pt idx="17">
                  <c:v>26.447875722812597</c:v>
                </c:pt>
                <c:pt idx="18">
                  <c:v>28.273245435261884</c:v>
                </c:pt>
                <c:pt idx="19">
                  <c:v>28.792320620230072</c:v>
                </c:pt>
                <c:pt idx="20">
                  <c:v>29.084626449704665</c:v>
                </c:pt>
                <c:pt idx="21">
                  <c:v>26.88122565708273</c:v>
                </c:pt>
                <c:pt idx="22">
                  <c:v>28.022859449450266</c:v>
                </c:pt>
                <c:pt idx="23">
                  <c:v>28.120887025706587</c:v>
                </c:pt>
                <c:pt idx="24">
                  <c:v>25.348217097787007</c:v>
                </c:pt>
                <c:pt idx="25">
                  <c:v>26.544480431245354</c:v>
                </c:pt>
                <c:pt idx="26">
                  <c:v>29.12283357763279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34-4E16-9047-1876EA57CB0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'compara V con otra fecha'!$A$6:$A$32</c:f>
              <c:numCache>
                <c:formatCode>General</c:formatCode>
                <c:ptCount val="27"/>
                <c:pt idx="0">
                  <c:v>6493.7809999999999</c:v>
                </c:pt>
                <c:pt idx="1">
                  <c:v>6494.98</c:v>
                </c:pt>
                <c:pt idx="2">
                  <c:v>6496.8990000000003</c:v>
                </c:pt>
                <c:pt idx="3">
                  <c:v>6498.9378999999999</c:v>
                </c:pt>
                <c:pt idx="4">
                  <c:v>6504.1652999999997</c:v>
                </c:pt>
                <c:pt idx="5">
                  <c:v>6508.1205</c:v>
                </c:pt>
                <c:pt idx="6">
                  <c:v>6531.4206999999997</c:v>
                </c:pt>
                <c:pt idx="7">
                  <c:v>6532.8730999999998</c:v>
                </c:pt>
                <c:pt idx="8">
                  <c:v>6537.9210000000003</c:v>
                </c:pt>
                <c:pt idx="9">
                  <c:v>6546.2529999999997</c:v>
                </c:pt>
                <c:pt idx="10">
                  <c:v>6551.6767</c:v>
                </c:pt>
                <c:pt idx="11">
                  <c:v>6554.223</c:v>
                </c:pt>
                <c:pt idx="12">
                  <c:v>6556.0618000000004</c:v>
                </c:pt>
                <c:pt idx="13">
                  <c:v>6565.8829999999998</c:v>
                </c:pt>
                <c:pt idx="14">
                  <c:v>6569.2145</c:v>
                </c:pt>
                <c:pt idx="15">
                  <c:v>6572.826</c:v>
                </c:pt>
                <c:pt idx="16">
                  <c:v>6574.2262000000001</c:v>
                </c:pt>
                <c:pt idx="17">
                  <c:v>6581.2088000000003</c:v>
                </c:pt>
                <c:pt idx="18">
                  <c:v>6586.3099000000002</c:v>
                </c:pt>
                <c:pt idx="19">
                  <c:v>6592.9120000000003</c:v>
                </c:pt>
                <c:pt idx="20">
                  <c:v>6593.8690999999999</c:v>
                </c:pt>
                <c:pt idx="21">
                  <c:v>6599.1048000000001</c:v>
                </c:pt>
                <c:pt idx="22">
                  <c:v>6604.6009999999997</c:v>
                </c:pt>
                <c:pt idx="23">
                  <c:v>6605.9736999999996</c:v>
                </c:pt>
                <c:pt idx="24">
                  <c:v>6608.0245999999997</c:v>
                </c:pt>
                <c:pt idx="25">
                  <c:v>6613.8244999999997</c:v>
                </c:pt>
                <c:pt idx="26">
                  <c:v>6630.01</c:v>
                </c:pt>
              </c:numCache>
            </c:numRef>
          </c:xVal>
          <c:yVal>
            <c:numRef>
              <c:f>'compara V con otra fecha'!$E$6:$E$32</c:f>
              <c:numCache>
                <c:formatCode>General</c:formatCode>
                <c:ptCount val="27"/>
                <c:pt idx="0">
                  <c:v>31.3087741050877</c:v>
                </c:pt>
                <c:pt idx="1">
                  <c:v>31.896841775114204</c:v>
                </c:pt>
                <c:pt idx="2">
                  <c:v>28.49571602820955</c:v>
                </c:pt>
                <c:pt idx="3">
                  <c:v>29.008146763653819</c:v>
                </c:pt>
                <c:pt idx="4">
                  <c:v>28.990421468355621</c:v>
                </c:pt>
                <c:pt idx="5">
                  <c:v>29.085430263720013</c:v>
                </c:pt>
                <c:pt idx="6">
                  <c:v>30.880448134262828</c:v>
                </c:pt>
                <c:pt idx="7">
                  <c:v>29.618911611684062</c:v>
                </c:pt>
                <c:pt idx="8">
                  <c:v>29.511484250210884</c:v>
                </c:pt>
                <c:pt idx="9">
                  <c:v>28.989135849477599</c:v>
                </c:pt>
                <c:pt idx="10">
                  <c:v>27.206246122224442</c:v>
                </c:pt>
                <c:pt idx="11">
                  <c:v>28.629613287689537</c:v>
                </c:pt>
                <c:pt idx="12">
                  <c:v>27.929773706070193</c:v>
                </c:pt>
                <c:pt idx="13">
                  <c:v>24.176622337379605</c:v>
                </c:pt>
                <c:pt idx="14">
                  <c:v>30.475781828331883</c:v>
                </c:pt>
                <c:pt idx="15">
                  <c:v>27.049468595463644</c:v>
                </c:pt>
                <c:pt idx="16">
                  <c:v>28.914946538582953</c:v>
                </c:pt>
                <c:pt idx="17">
                  <c:v>26.537319954100802</c:v>
                </c:pt>
                <c:pt idx="18">
                  <c:v>28.677043934766111</c:v>
                </c:pt>
                <c:pt idx="19">
                  <c:v>28.7280494418507</c:v>
                </c:pt>
                <c:pt idx="20">
                  <c:v>29.674535353363396</c:v>
                </c:pt>
                <c:pt idx="21">
                  <c:v>27.498588981678118</c:v>
                </c:pt>
                <c:pt idx="22">
                  <c:v>28.376773474136918</c:v>
                </c:pt>
                <c:pt idx="23">
                  <c:v>28.296979998709837</c:v>
                </c:pt>
                <c:pt idx="24">
                  <c:v>26.39881509458597</c:v>
                </c:pt>
                <c:pt idx="25">
                  <c:v>26.8925322952418</c:v>
                </c:pt>
                <c:pt idx="26">
                  <c:v>29.402340254702786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34-4E16-9047-1876EA57C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583135"/>
        <c:axId val="265200831"/>
      </c:scatterChart>
      <c:valAx>
        <c:axId val="299583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65200831"/>
        <c:crosses val="autoZero"/>
        <c:crossBetween val="midCat"/>
      </c:valAx>
      <c:valAx>
        <c:axId val="265200831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99583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diferencias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'compara V con otra fecha'!$A$6:$A$32</c:f>
              <c:numCache>
                <c:formatCode>General</c:formatCode>
                <c:ptCount val="27"/>
                <c:pt idx="0">
                  <c:v>6493.7809999999999</c:v>
                </c:pt>
                <c:pt idx="1">
                  <c:v>6494.98</c:v>
                </c:pt>
                <c:pt idx="2">
                  <c:v>6496.8990000000003</c:v>
                </c:pt>
                <c:pt idx="3">
                  <c:v>6498.9378999999999</c:v>
                </c:pt>
                <c:pt idx="4">
                  <c:v>6504.1652999999997</c:v>
                </c:pt>
                <c:pt idx="5">
                  <c:v>6508.1205</c:v>
                </c:pt>
                <c:pt idx="6">
                  <c:v>6531.4206999999997</c:v>
                </c:pt>
                <c:pt idx="7">
                  <c:v>6532.8730999999998</c:v>
                </c:pt>
                <c:pt idx="8">
                  <c:v>6537.9210000000003</c:v>
                </c:pt>
                <c:pt idx="9">
                  <c:v>6546.2529999999997</c:v>
                </c:pt>
                <c:pt idx="10">
                  <c:v>6551.6767</c:v>
                </c:pt>
                <c:pt idx="11">
                  <c:v>6554.223</c:v>
                </c:pt>
                <c:pt idx="12">
                  <c:v>6556.0618000000004</c:v>
                </c:pt>
                <c:pt idx="13">
                  <c:v>6565.8829999999998</c:v>
                </c:pt>
                <c:pt idx="14">
                  <c:v>6569.2145</c:v>
                </c:pt>
                <c:pt idx="15">
                  <c:v>6572.826</c:v>
                </c:pt>
                <c:pt idx="16">
                  <c:v>6574.2262000000001</c:v>
                </c:pt>
                <c:pt idx="17">
                  <c:v>6581.2088000000003</c:v>
                </c:pt>
                <c:pt idx="18">
                  <c:v>6586.3099000000002</c:v>
                </c:pt>
                <c:pt idx="19">
                  <c:v>6592.9120000000003</c:v>
                </c:pt>
                <c:pt idx="20">
                  <c:v>6593.8690999999999</c:v>
                </c:pt>
                <c:pt idx="21">
                  <c:v>6599.1048000000001</c:v>
                </c:pt>
                <c:pt idx="22">
                  <c:v>6604.6009999999997</c:v>
                </c:pt>
                <c:pt idx="23">
                  <c:v>6605.9736999999996</c:v>
                </c:pt>
                <c:pt idx="24">
                  <c:v>6608.0245999999997</c:v>
                </c:pt>
                <c:pt idx="25">
                  <c:v>6613.8244999999997</c:v>
                </c:pt>
                <c:pt idx="26">
                  <c:v>6630.01</c:v>
                </c:pt>
              </c:numCache>
            </c:numRef>
          </c:xVal>
          <c:yVal>
            <c:numRef>
              <c:f>'compara V con otra fecha'!$N$6:$N$32</c:f>
              <c:numCache>
                <c:formatCode>General</c:formatCode>
                <c:ptCount val="27"/>
                <c:pt idx="0">
                  <c:v>0.89756682439823265</c:v>
                </c:pt>
                <c:pt idx="2">
                  <c:v>-0.52002914494586605</c:v>
                </c:pt>
                <c:pt idx="3">
                  <c:v>-0.22928321548043584</c:v>
                </c:pt>
                <c:pt idx="4">
                  <c:v>0.45222155300450595</c:v>
                </c:pt>
                <c:pt idx="5">
                  <c:v>0.90812778656967907</c:v>
                </c:pt>
                <c:pt idx="6">
                  <c:v>-0.14791234037581091</c:v>
                </c:pt>
                <c:pt idx="7">
                  <c:v>0.213318345854141</c:v>
                </c:pt>
                <c:pt idx="8">
                  <c:v>0.6483948042479426</c:v>
                </c:pt>
                <c:pt idx="9">
                  <c:v>0.94545762738817984</c:v>
                </c:pt>
                <c:pt idx="10">
                  <c:v>0.48090450988080846</c:v>
                </c:pt>
                <c:pt idx="11">
                  <c:v>0.15463895484124635</c:v>
                </c:pt>
                <c:pt idx="12">
                  <c:v>0.46302888097038419</c:v>
                </c:pt>
                <c:pt idx="13">
                  <c:v>0.39085141916306299</c:v>
                </c:pt>
                <c:pt idx="14">
                  <c:v>1.2271503192273769</c:v>
                </c:pt>
                <c:pt idx="15">
                  <c:v>0.10200849231978282</c:v>
                </c:pt>
                <c:pt idx="16">
                  <c:v>0.23108571869379091</c:v>
                </c:pt>
                <c:pt idx="17">
                  <c:v>0.53695852264556976</c:v>
                </c:pt>
                <c:pt idx="18">
                  <c:v>0.52236136149907963</c:v>
                </c:pt>
                <c:pt idx="19">
                  <c:v>-0.33792825184786324</c:v>
                </c:pt>
                <c:pt idx="20">
                  <c:v>0.26742808767465931</c:v>
                </c:pt>
                <c:pt idx="21">
                  <c:v>9.5112974363154024E-2</c:v>
                </c:pt>
                <c:pt idx="22">
                  <c:v>-0.23253444849657967</c:v>
                </c:pt>
                <c:pt idx="23">
                  <c:v>-0.39830143803154527</c:v>
                </c:pt>
                <c:pt idx="24">
                  <c:v>0.51531672695670494</c:v>
                </c:pt>
                <c:pt idx="25">
                  <c:v>6.6460332570628111E-2</c:v>
                </c:pt>
                <c:pt idx="26">
                  <c:v>1.2106661278821207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ED-4B89-94E9-447BCE17C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567199"/>
        <c:axId val="263408879"/>
      </c:scatterChart>
      <c:valAx>
        <c:axId val="374567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63408879"/>
        <c:crosses val="autoZero"/>
        <c:crossBetween val="midCat"/>
      </c:valAx>
      <c:valAx>
        <c:axId val="26340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74567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9525</xdr:colOff>
      <xdr:row>38</xdr:row>
      <xdr:rowOff>180975</xdr:rowOff>
    </xdr:from>
    <xdr:to>
      <xdr:col>40</xdr:col>
      <xdr:colOff>180975</xdr:colOff>
      <xdr:row>63</xdr:row>
      <xdr:rowOff>33337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40C60E-D4A0-4FD1-916D-CC3E5C872B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1219200</xdr:colOff>
      <xdr:row>43</xdr:row>
      <xdr:rowOff>71437</xdr:rowOff>
    </xdr:from>
    <xdr:to>
      <xdr:col>15</xdr:col>
      <xdr:colOff>28575</xdr:colOff>
      <xdr:row>57</xdr:row>
      <xdr:rowOff>61912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F9DABE2-CF77-4E31-85DE-83EE766A25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352425</xdr:colOff>
      <xdr:row>10</xdr:row>
      <xdr:rowOff>61912</xdr:rowOff>
    </xdr:from>
    <xdr:to>
      <xdr:col>29</xdr:col>
      <xdr:colOff>352425</xdr:colOff>
      <xdr:row>24</xdr:row>
      <xdr:rowOff>138112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7F1E1CD-8042-42A9-B070-BA62DD8823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28575</xdr:colOff>
      <xdr:row>736</xdr:row>
      <xdr:rowOff>128587</xdr:rowOff>
    </xdr:from>
    <xdr:to>
      <xdr:col>18</xdr:col>
      <xdr:colOff>28575</xdr:colOff>
      <xdr:row>750</xdr:row>
      <xdr:rowOff>176212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578F475-4CE6-4D74-9DCE-88F90CEDF9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9525</xdr:colOff>
      <xdr:row>38</xdr:row>
      <xdr:rowOff>180975</xdr:rowOff>
    </xdr:from>
    <xdr:to>
      <xdr:col>40</xdr:col>
      <xdr:colOff>180975</xdr:colOff>
      <xdr:row>63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FA8F96B-4BF9-459B-B675-B1B7CEAE1E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352425</xdr:colOff>
      <xdr:row>11</xdr:row>
      <xdr:rowOff>80962</xdr:rowOff>
    </xdr:from>
    <xdr:to>
      <xdr:col>30</xdr:col>
      <xdr:colOff>352425</xdr:colOff>
      <xdr:row>25</xdr:row>
      <xdr:rowOff>157162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810533AC-481C-4040-BD90-65DFA0E975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647700</xdr:colOff>
      <xdr:row>5</xdr:row>
      <xdr:rowOff>47625</xdr:rowOff>
    </xdr:from>
    <xdr:to>
      <xdr:col>44</xdr:col>
      <xdr:colOff>304800</xdr:colOff>
      <xdr:row>28</xdr:row>
      <xdr:rowOff>185737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3952F22-8557-41D2-8FC4-12125062C6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295275</xdr:colOff>
      <xdr:row>8</xdr:row>
      <xdr:rowOff>176212</xdr:rowOff>
    </xdr:from>
    <xdr:to>
      <xdr:col>10</xdr:col>
      <xdr:colOff>295275</xdr:colOff>
      <xdr:row>23</xdr:row>
      <xdr:rowOff>61912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63EC342-D9D2-40AB-8690-70A1A73C3B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714375</xdr:colOff>
      <xdr:row>20</xdr:row>
      <xdr:rowOff>157162</xdr:rowOff>
    </xdr:from>
    <xdr:to>
      <xdr:col>34</xdr:col>
      <xdr:colOff>714375</xdr:colOff>
      <xdr:row>35</xdr:row>
      <xdr:rowOff>42862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E0D37B9-A452-4D39-9C6E-45CD6405AE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104775</xdr:colOff>
      <xdr:row>39</xdr:row>
      <xdr:rowOff>76200</xdr:rowOff>
    </xdr:from>
    <xdr:to>
      <xdr:col>33</xdr:col>
      <xdr:colOff>104775</xdr:colOff>
      <xdr:row>53</xdr:row>
      <xdr:rowOff>38100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D7C8AAE-4CC1-44E5-95C5-5999F5DBAB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485775</xdr:colOff>
      <xdr:row>6</xdr:row>
      <xdr:rowOff>176212</xdr:rowOff>
    </xdr:from>
    <xdr:to>
      <xdr:col>20</xdr:col>
      <xdr:colOff>485775</xdr:colOff>
      <xdr:row>21</xdr:row>
      <xdr:rowOff>61912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7300177-3B71-4955-9114-FAEC0EAF33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285749</xdr:colOff>
      <xdr:row>758</xdr:row>
      <xdr:rowOff>4761</xdr:rowOff>
    </xdr:from>
    <xdr:to>
      <xdr:col>17</xdr:col>
      <xdr:colOff>371474</xdr:colOff>
      <xdr:row>782</xdr:row>
      <xdr:rowOff>9524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A105063-BC7E-A72B-307D-180AD501FA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571500</xdr:colOff>
      <xdr:row>6</xdr:row>
      <xdr:rowOff>180975</xdr:rowOff>
    </xdr:from>
    <xdr:to>
      <xdr:col>50</xdr:col>
      <xdr:colOff>228600</xdr:colOff>
      <xdr:row>30</xdr:row>
      <xdr:rowOff>128587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F8570F4-D461-47AE-9309-4C935BFCD6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742950</xdr:colOff>
      <xdr:row>16</xdr:row>
      <xdr:rowOff>85725</xdr:rowOff>
    </xdr:from>
    <xdr:to>
      <xdr:col>34</xdr:col>
      <xdr:colOff>742950</xdr:colOff>
      <xdr:row>30</xdr:row>
      <xdr:rowOff>161925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3BF571D-88FF-4DCB-8454-E3D28A704A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238125</xdr:colOff>
      <xdr:row>757</xdr:row>
      <xdr:rowOff>157162</xdr:rowOff>
    </xdr:from>
    <xdr:to>
      <xdr:col>16</xdr:col>
      <xdr:colOff>219075</xdr:colOff>
      <xdr:row>780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B87E329-23FB-56F8-726C-1D1AEA49E8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390525</xdr:colOff>
      <xdr:row>41</xdr:row>
      <xdr:rowOff>76200</xdr:rowOff>
    </xdr:from>
    <xdr:to>
      <xdr:col>34</xdr:col>
      <xdr:colOff>390525</xdr:colOff>
      <xdr:row>55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251C0B6-DEB3-4F25-AED1-0344DCC8C0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304800</xdr:colOff>
      <xdr:row>11</xdr:row>
      <xdr:rowOff>109537</xdr:rowOff>
    </xdr:from>
    <xdr:to>
      <xdr:col>25</xdr:col>
      <xdr:colOff>304800</xdr:colOff>
      <xdr:row>25</xdr:row>
      <xdr:rowOff>185737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EE966C2-4DFE-4845-B645-276A975873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114301</xdr:colOff>
      <xdr:row>38</xdr:row>
      <xdr:rowOff>100011</xdr:rowOff>
    </xdr:from>
    <xdr:to>
      <xdr:col>15</xdr:col>
      <xdr:colOff>190501</xdr:colOff>
      <xdr:row>55</xdr:row>
      <xdr:rowOff>161924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313358C-5B44-404C-A081-60AA68A3F4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752475</xdr:colOff>
      <xdr:row>11</xdr:row>
      <xdr:rowOff>85725</xdr:rowOff>
    </xdr:from>
    <xdr:to>
      <xdr:col>16</xdr:col>
      <xdr:colOff>657225</xdr:colOff>
      <xdr:row>25</xdr:row>
      <xdr:rowOff>161925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4660402-74AB-4D80-BE9F-AB9B7DAF90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30"/>
  <sheetViews>
    <sheetView topLeftCell="A10" workbookViewId="0">
      <selection activeCell="V10" sqref="V10"/>
    </sheetView>
  </sheetViews>
  <sheetFormatPr baseColWidth="10" defaultRowHeight="15"/>
  <cols>
    <col min="9" max="9" width="12.28515625" customWidth="1"/>
    <col min="10" max="10" width="29.28515625" customWidth="1"/>
  </cols>
  <sheetData>
    <row r="1" spans="1:23">
      <c r="A1">
        <v>0</v>
      </c>
      <c r="B1">
        <v>125</v>
      </c>
      <c r="C1">
        <f xml:space="preserve"> -0.00015111*A1*A1 + 0.1823*A1 + 67.989</f>
        <v>67.989000000000004</v>
      </c>
      <c r="D1">
        <f>B1-C1</f>
        <v>57.010999999999996</v>
      </c>
    </row>
    <row r="2" spans="1:23">
      <c r="A2">
        <v>1</v>
      </c>
      <c r="B2">
        <v>165</v>
      </c>
      <c r="C2">
        <f t="shared" ref="C2:C65" si="0" xml:space="preserve"> -0.00015111*A2*A2 + 0.1823*A2 + 67.989</f>
        <v>68.171148889999998</v>
      </c>
      <c r="D2">
        <f t="shared" ref="D2:D65" si="1">B2-C2</f>
        <v>96.828851110000002</v>
      </c>
    </row>
    <row r="3" spans="1:23">
      <c r="A3">
        <v>2</v>
      </c>
      <c r="B3">
        <v>318</v>
      </c>
      <c r="C3">
        <f t="shared" si="0"/>
        <v>68.352995560000011</v>
      </c>
      <c r="D3">
        <f t="shared" si="1"/>
        <v>249.64700443999999</v>
      </c>
      <c r="I3" s="1" t="s">
        <v>1</v>
      </c>
      <c r="J3" s="1"/>
    </row>
    <row r="4" spans="1:23">
      <c r="A4">
        <v>3</v>
      </c>
      <c r="B4">
        <v>546</v>
      </c>
      <c r="C4">
        <f t="shared" si="0"/>
        <v>68.534540010000001</v>
      </c>
      <c r="D4">
        <f t="shared" si="1"/>
        <v>477.46545999</v>
      </c>
      <c r="I4" s="1"/>
      <c r="J4" s="1"/>
    </row>
    <row r="5" spans="1:23">
      <c r="A5">
        <v>4</v>
      </c>
      <c r="B5">
        <v>1194</v>
      </c>
      <c r="C5">
        <f t="shared" si="0"/>
        <v>68.71578224000001</v>
      </c>
      <c r="D5">
        <f t="shared" si="1"/>
        <v>1125.28421776</v>
      </c>
      <c r="I5" s="1" t="s">
        <v>2</v>
      </c>
      <c r="J5" s="1"/>
    </row>
    <row r="6" spans="1:23">
      <c r="A6">
        <v>5</v>
      </c>
      <c r="B6">
        <v>2646</v>
      </c>
      <c r="C6">
        <f t="shared" si="0"/>
        <v>68.89672225000001</v>
      </c>
      <c r="D6">
        <f t="shared" si="1"/>
        <v>2577.10327775</v>
      </c>
      <c r="R6" t="s">
        <v>45</v>
      </c>
      <c r="S6" t="s">
        <v>47</v>
      </c>
      <c r="T6" t="s">
        <v>45</v>
      </c>
      <c r="U6" s="2" t="s">
        <v>4</v>
      </c>
    </row>
    <row r="7" spans="1:23">
      <c r="A7">
        <v>6</v>
      </c>
      <c r="B7">
        <v>4399</v>
      </c>
      <c r="C7">
        <f t="shared" si="0"/>
        <v>69.077360040000002</v>
      </c>
      <c r="D7">
        <f t="shared" si="1"/>
        <v>4329.9226399600002</v>
      </c>
      <c r="R7" t="s">
        <v>46</v>
      </c>
      <c r="S7" t="s">
        <v>48</v>
      </c>
      <c r="T7" t="s">
        <v>49</v>
      </c>
      <c r="U7" t="s">
        <v>50</v>
      </c>
    </row>
    <row r="8" spans="1:23">
      <c r="A8">
        <v>7</v>
      </c>
      <c r="B8">
        <v>5646</v>
      </c>
      <c r="C8">
        <f t="shared" si="0"/>
        <v>69.257695609999999</v>
      </c>
      <c r="D8">
        <f t="shared" si="1"/>
        <v>5576.7423043899998</v>
      </c>
      <c r="H8" s="6" t="s">
        <v>3</v>
      </c>
      <c r="I8" s="2" t="s">
        <v>4</v>
      </c>
      <c r="L8" s="3" t="s">
        <v>39</v>
      </c>
      <c r="M8" s="3" t="s">
        <v>40</v>
      </c>
      <c r="N8" s="3" t="s">
        <v>41</v>
      </c>
      <c r="O8" s="3" t="s">
        <v>42</v>
      </c>
      <c r="P8" s="3" t="s">
        <v>43</v>
      </c>
    </row>
    <row r="9" spans="1:23">
      <c r="A9">
        <v>8</v>
      </c>
      <c r="B9">
        <v>4890</v>
      </c>
      <c r="C9">
        <f t="shared" si="0"/>
        <v>69.437728960000001</v>
      </c>
      <c r="D9">
        <f t="shared" si="1"/>
        <v>4820.5622710400003</v>
      </c>
      <c r="H9" s="6"/>
      <c r="I9" s="2"/>
    </row>
    <row r="10" spans="1:23">
      <c r="A10">
        <v>9</v>
      </c>
      <c r="B10">
        <v>2838</v>
      </c>
      <c r="C10">
        <f t="shared" si="0"/>
        <v>69.617460090000009</v>
      </c>
      <c r="D10">
        <f t="shared" si="1"/>
        <v>2768.3825399100001</v>
      </c>
      <c r="H10" s="3">
        <v>7</v>
      </c>
      <c r="I10">
        <v>6490.73704</v>
      </c>
      <c r="J10" t="s">
        <v>6</v>
      </c>
      <c r="L10">
        <v>7</v>
      </c>
      <c r="M10">
        <v>-1.1900000000000001E-2</v>
      </c>
      <c r="N10">
        <v>-0.18179999999999999</v>
      </c>
      <c r="O10">
        <v>6.5600000000000006E-2</v>
      </c>
      <c r="P10">
        <v>8.6158000000000001</v>
      </c>
      <c r="R10">
        <f t="shared" ref="R10:R38" si="2">L10+(-2*N10-SQRT(4*N10*N10-12*M10*O10))/(6*M10)</f>
        <v>7.177330511182598</v>
      </c>
      <c r="S10">
        <f>2.788-0.0002348*R10+0.0000001013*R10*R10</f>
        <v>2.7863199811715962</v>
      </c>
      <c r="T10">
        <f>R10-S10</f>
        <v>4.3910105300110018</v>
      </c>
      <c r="U10">
        <v>6490.73704</v>
      </c>
      <c r="V10">
        <f xml:space="preserve"> -1.179402526298E-13*T10*T10*T10*T10 + 4.020234124929E-10*T10*T10*T10 - 0.0000004743246209058*T10*T10 + 0.09282817058921*T10 + 6490.328062797</f>
        <v>6490.7356631600906</v>
      </c>
      <c r="W10">
        <f>U10-V10</f>
        <v>1.3768399094260531E-3</v>
      </c>
    </row>
    <row r="11" spans="1:23">
      <c r="A11">
        <v>10</v>
      </c>
      <c r="B11">
        <v>1224</v>
      </c>
      <c r="C11">
        <f t="shared" si="0"/>
        <v>69.796889000000007</v>
      </c>
      <c r="D11">
        <f t="shared" si="1"/>
        <v>1154.203111</v>
      </c>
      <c r="H11" s="3">
        <v>33.6</v>
      </c>
      <c r="I11">
        <v>6493.1971999999996</v>
      </c>
      <c r="L11">
        <v>33.5</v>
      </c>
      <c r="M11">
        <v>-7.4999999999999997E-3</v>
      </c>
      <c r="N11">
        <v>-0.188</v>
      </c>
      <c r="O11">
        <v>7.5800000000000006E-2</v>
      </c>
      <c r="P11">
        <v>7.3509000000000002</v>
      </c>
      <c r="R11">
        <f t="shared" si="2"/>
        <v>33.69922074373271</v>
      </c>
      <c r="S11">
        <f t="shared" ref="S11:S38" si="3">2.788-0.0002348*R11+0.0000001013*R11*R11</f>
        <v>2.7802024630459674</v>
      </c>
      <c r="T11">
        <f t="shared" ref="T11:T38" si="4">R11-S11</f>
        <v>30.919018280686743</v>
      </c>
      <c r="U11">
        <v>6493.1971999999996</v>
      </c>
      <c r="V11">
        <f t="shared" ref="V11:V37" si="5" xml:space="preserve"> -1.179402526298E-13*T11*T11*T11*T11 + 4.020234124929E-10*T11*T11*T11 - 0.0000004743246209058*T11*T11 + 0.09282817058921*T11 + 6490.328062797</f>
        <v>6493.1977770281374</v>
      </c>
      <c r="W11">
        <f t="shared" ref="W11:W37" si="6">U11-V11</f>
        <v>-5.7702813774085371E-4</v>
      </c>
    </row>
    <row r="12" spans="1:23">
      <c r="A12">
        <v>11</v>
      </c>
      <c r="B12">
        <v>690</v>
      </c>
      <c r="C12">
        <f t="shared" si="0"/>
        <v>69.976015690000011</v>
      </c>
      <c r="D12">
        <f t="shared" si="1"/>
        <v>620.02398430999995</v>
      </c>
      <c r="H12" s="3">
        <v>41.9</v>
      </c>
      <c r="I12">
        <v>6493.9690000000001</v>
      </c>
      <c r="L12">
        <v>42</v>
      </c>
      <c r="M12">
        <v>-1.23E-2</v>
      </c>
      <c r="N12">
        <v>-0.16830000000000001</v>
      </c>
      <c r="O12">
        <v>-7.1999999999999998E-3</v>
      </c>
      <c r="P12">
        <v>6.8006000000000002</v>
      </c>
      <c r="R12">
        <f t="shared" si="2"/>
        <v>41.978559230023251</v>
      </c>
      <c r="S12">
        <f t="shared" si="3"/>
        <v>2.7783219450955587</v>
      </c>
      <c r="T12">
        <f t="shared" si="4"/>
        <v>39.200237284927695</v>
      </c>
      <c r="U12">
        <v>6493.9690000000001</v>
      </c>
      <c r="V12">
        <f t="shared" si="5"/>
        <v>6493.9662441741566</v>
      </c>
      <c r="W12">
        <f t="shared" si="6"/>
        <v>2.7558258434510208E-3</v>
      </c>
    </row>
    <row r="13" spans="1:23">
      <c r="A13">
        <v>12</v>
      </c>
      <c r="B13">
        <v>494</v>
      </c>
      <c r="C13">
        <f t="shared" si="0"/>
        <v>70.154840160000006</v>
      </c>
      <c r="D13">
        <f t="shared" si="1"/>
        <v>423.84515984000001</v>
      </c>
      <c r="H13" s="3">
        <v>97</v>
      </c>
      <c r="J13" s="5" t="s">
        <v>8</v>
      </c>
      <c r="L13">
        <v>97.5</v>
      </c>
      <c r="M13">
        <v>-1E-4</v>
      </c>
      <c r="N13">
        <v>-0.15240000000000001</v>
      </c>
      <c r="O13">
        <v>-3.7900000000000003E-2</v>
      </c>
      <c r="P13">
        <v>6.5255000000000001</v>
      </c>
      <c r="R13">
        <f t="shared" si="2"/>
        <v>97.375640946350828</v>
      </c>
      <c r="S13">
        <f t="shared" si="3"/>
        <v>2.7660967276708526</v>
      </c>
      <c r="T13">
        <f t="shared" si="4"/>
        <v>94.609544218679972</v>
      </c>
      <c r="V13">
        <f t="shared" si="5"/>
        <v>6499.1065790465036</v>
      </c>
    </row>
    <row r="14" spans="1:23">
      <c r="A14">
        <v>13</v>
      </c>
      <c r="B14">
        <v>358</v>
      </c>
      <c r="C14">
        <f t="shared" si="0"/>
        <v>70.333362410000007</v>
      </c>
      <c r="D14">
        <f t="shared" si="1"/>
        <v>287.66663758999999</v>
      </c>
      <c r="H14" s="3">
        <v>128</v>
      </c>
      <c r="I14">
        <v>6501.9916899999998</v>
      </c>
      <c r="L14">
        <v>128.5</v>
      </c>
      <c r="M14">
        <v>-2.5999999999999999E-3</v>
      </c>
      <c r="N14">
        <v>-0.1202</v>
      </c>
      <c r="O14">
        <v>4.9099999999999998E-2</v>
      </c>
      <c r="P14">
        <v>7.0148000000000001</v>
      </c>
      <c r="R14">
        <f t="shared" si="2"/>
        <v>128.70290708804592</v>
      </c>
      <c r="S14">
        <f t="shared" si="3"/>
        <v>2.7594585350147991</v>
      </c>
      <c r="T14">
        <f t="shared" si="4"/>
        <v>125.94344855303112</v>
      </c>
      <c r="V14">
        <f t="shared" si="5"/>
        <v>6502.0124125467082</v>
      </c>
    </row>
    <row r="15" spans="1:23">
      <c r="A15">
        <v>14</v>
      </c>
      <c r="B15">
        <v>222</v>
      </c>
      <c r="C15">
        <f t="shared" si="0"/>
        <v>70.511582439999998</v>
      </c>
      <c r="D15">
        <f t="shared" si="1"/>
        <v>151.48841756000002</v>
      </c>
      <c r="H15" s="3">
        <v>145</v>
      </c>
      <c r="I15">
        <v>6503.5111999999999</v>
      </c>
      <c r="L15">
        <v>145</v>
      </c>
      <c r="M15">
        <v>-7.1000000000000004E-3</v>
      </c>
      <c r="N15">
        <v>-0.20050000000000001</v>
      </c>
      <c r="O15">
        <v>-3.6400000000000002E-2</v>
      </c>
      <c r="P15">
        <v>6.1802999999999999</v>
      </c>
      <c r="R15">
        <f t="shared" si="2"/>
        <v>144.90878498802965</v>
      </c>
      <c r="S15">
        <f t="shared" si="3"/>
        <v>2.7561025710042379</v>
      </c>
      <c r="T15">
        <f t="shared" si="4"/>
        <v>142.1526824170254</v>
      </c>
      <c r="U15">
        <v>6503.5111999999999</v>
      </c>
      <c r="V15">
        <f t="shared" si="5"/>
        <v>6503.515358056221</v>
      </c>
      <c r="W15">
        <f t="shared" si="6"/>
        <v>-4.1580562210583594E-3</v>
      </c>
    </row>
    <row r="16" spans="1:23">
      <c r="A16">
        <v>15</v>
      </c>
      <c r="B16">
        <v>149</v>
      </c>
      <c r="C16">
        <f t="shared" si="0"/>
        <v>70.689500250000009</v>
      </c>
      <c r="D16">
        <f t="shared" si="1"/>
        <v>78.310499749999991</v>
      </c>
      <c r="H16" s="3">
        <v>182</v>
      </c>
      <c r="I16">
        <v>6506.9870199999996</v>
      </c>
      <c r="L16">
        <v>182.5</v>
      </c>
      <c r="M16">
        <v>2.9999999999999997E-4</v>
      </c>
      <c r="N16">
        <v>-0.1585</v>
      </c>
      <c r="O16">
        <v>-6.0199999999999997E-2</v>
      </c>
      <c r="P16">
        <v>7.1814999999999998</v>
      </c>
      <c r="R16">
        <f t="shared" si="2"/>
        <v>182.31019691700087</v>
      </c>
      <c r="S16">
        <f t="shared" si="3"/>
        <v>2.7485604746641497</v>
      </c>
      <c r="T16">
        <f t="shared" si="4"/>
        <v>179.56163644233672</v>
      </c>
      <c r="U16">
        <v>6506.9870199999996</v>
      </c>
      <c r="V16">
        <f t="shared" si="5"/>
        <v>6506.9833525658187</v>
      </c>
      <c r="W16">
        <f t="shared" si="6"/>
        <v>3.6674341808975441E-3</v>
      </c>
    </row>
    <row r="17" spans="1:23">
      <c r="A17">
        <v>16</v>
      </c>
      <c r="B17">
        <v>103</v>
      </c>
      <c r="C17">
        <f t="shared" si="0"/>
        <v>70.867115840000011</v>
      </c>
      <c r="D17">
        <f t="shared" si="1"/>
        <v>32.132884159999989</v>
      </c>
      <c r="H17" s="3">
        <v>196</v>
      </c>
      <c r="J17" s="5" t="s">
        <v>9</v>
      </c>
      <c r="L17">
        <v>196</v>
      </c>
      <c r="M17">
        <v>3.5999999999999999E-3</v>
      </c>
      <c r="N17">
        <v>-0.10639999999999999</v>
      </c>
      <c r="O17">
        <v>-8.5000000000000006E-3</v>
      </c>
      <c r="P17">
        <v>6.9447000000000001</v>
      </c>
      <c r="R17">
        <f t="shared" si="2"/>
        <v>195.96013703854098</v>
      </c>
      <c r="S17">
        <f t="shared" si="3"/>
        <v>2.7458785178420673</v>
      </c>
      <c r="T17">
        <f t="shared" si="4"/>
        <v>193.21425852069891</v>
      </c>
      <c r="V17">
        <f t="shared" si="5"/>
        <v>6508.2488170161096</v>
      </c>
    </row>
    <row r="18" spans="1:23">
      <c r="A18">
        <v>17</v>
      </c>
      <c r="B18">
        <v>81</v>
      </c>
      <c r="C18">
        <f t="shared" si="0"/>
        <v>71.044429210000004</v>
      </c>
      <c r="D18">
        <f t="shared" si="1"/>
        <v>9.9555707899999959</v>
      </c>
      <c r="H18" s="3">
        <v>204</v>
      </c>
      <c r="I18">
        <v>6509.0502200000001</v>
      </c>
      <c r="L18">
        <v>204.5</v>
      </c>
      <c r="M18">
        <v>-6.4999999999999997E-3</v>
      </c>
      <c r="N18">
        <v>-0.1734</v>
      </c>
      <c r="O18">
        <v>6.5000000000000002E-2</v>
      </c>
      <c r="P18">
        <v>7.5022000000000002</v>
      </c>
      <c r="R18">
        <f t="shared" si="2"/>
        <v>204.68549322135019</v>
      </c>
      <c r="S18">
        <f t="shared" si="3"/>
        <v>2.7441839263016292</v>
      </c>
      <c r="T18">
        <f t="shared" si="4"/>
        <v>201.94130929504857</v>
      </c>
      <c r="U18">
        <v>6509.0502200000001</v>
      </c>
      <c r="V18">
        <f t="shared" si="5"/>
        <v>6509.0576766235872</v>
      </c>
      <c r="W18">
        <f t="shared" si="6"/>
        <v>-7.4566235871316167E-3</v>
      </c>
    </row>
    <row r="19" spans="1:23">
      <c r="A19">
        <v>18</v>
      </c>
      <c r="B19">
        <v>74</v>
      </c>
      <c r="C19">
        <f t="shared" si="0"/>
        <v>71.221440360000003</v>
      </c>
      <c r="D19">
        <f t="shared" si="1"/>
        <v>2.7785596399999974</v>
      </c>
      <c r="H19" s="3">
        <v>240</v>
      </c>
      <c r="I19">
        <v>6512.3636900000001</v>
      </c>
      <c r="J19" t="s">
        <v>6</v>
      </c>
      <c r="L19">
        <v>240.5</v>
      </c>
      <c r="M19">
        <v>2.8999999999999998E-3</v>
      </c>
      <c r="N19">
        <v>-0.18529999999999999</v>
      </c>
      <c r="O19">
        <v>-6.0400000000000002E-2</v>
      </c>
      <c r="P19">
        <v>8.8064</v>
      </c>
      <c r="R19">
        <f t="shared" si="2"/>
        <v>240.33763987867852</v>
      </c>
      <c r="S19">
        <f t="shared" si="3"/>
        <v>2.7374200311062165</v>
      </c>
      <c r="T19">
        <f t="shared" si="4"/>
        <v>237.6002198475723</v>
      </c>
      <c r="U19">
        <v>6512.3636900000001</v>
      </c>
      <c r="V19">
        <f t="shared" si="5"/>
        <v>6512.3622957202042</v>
      </c>
      <c r="W19">
        <f t="shared" si="6"/>
        <v>1.3942797959316522E-3</v>
      </c>
    </row>
    <row r="20" spans="1:23">
      <c r="A20">
        <v>19</v>
      </c>
      <c r="B20">
        <v>74</v>
      </c>
      <c r="C20">
        <f t="shared" si="0"/>
        <v>71.398149290000006</v>
      </c>
      <c r="D20">
        <f t="shared" si="1"/>
        <v>2.6018507099999937</v>
      </c>
      <c r="H20" s="3">
        <v>256</v>
      </c>
      <c r="I20">
        <v>6513.8459999999995</v>
      </c>
      <c r="L20">
        <v>256.5</v>
      </c>
      <c r="M20">
        <v>-1.8E-3</v>
      </c>
      <c r="N20">
        <v>-0.1207</v>
      </c>
      <c r="O20">
        <v>-2.5000000000000001E-2</v>
      </c>
      <c r="P20">
        <v>6.5751999999999997</v>
      </c>
      <c r="R20">
        <f t="shared" si="2"/>
        <v>256.39619641260282</v>
      </c>
      <c r="S20">
        <f t="shared" si="3"/>
        <v>2.7344575347482012</v>
      </c>
      <c r="T20">
        <f t="shared" si="4"/>
        <v>253.66173887785462</v>
      </c>
      <c r="U20">
        <v>6513.8459999999995</v>
      </c>
      <c r="V20">
        <f t="shared" si="5"/>
        <v>6513.850571293804</v>
      </c>
      <c r="W20">
        <f t="shared" si="6"/>
        <v>-4.5712938044744078E-3</v>
      </c>
    </row>
    <row r="21" spans="1:23">
      <c r="A21">
        <v>20</v>
      </c>
      <c r="B21">
        <v>81</v>
      </c>
      <c r="C21">
        <f t="shared" si="0"/>
        <v>71.574556000000001</v>
      </c>
      <c r="D21">
        <f t="shared" si="1"/>
        <v>9.4254439999999988</v>
      </c>
      <c r="H21" s="3">
        <v>344</v>
      </c>
      <c r="I21">
        <v>6522.0434599999999</v>
      </c>
      <c r="J21" t="s">
        <v>6</v>
      </c>
      <c r="L21">
        <v>345</v>
      </c>
      <c r="M21">
        <v>6.4000000000000003E-3</v>
      </c>
      <c r="N21">
        <v>-0.1633</v>
      </c>
      <c r="O21">
        <v>-7.7200000000000005E-2</v>
      </c>
      <c r="P21">
        <v>7.37</v>
      </c>
      <c r="R21">
        <f t="shared" si="2"/>
        <v>344.76682163287563</v>
      </c>
      <c r="S21">
        <f t="shared" si="3"/>
        <v>2.7190896898201729</v>
      </c>
      <c r="T21">
        <f t="shared" si="4"/>
        <v>342.04773194305545</v>
      </c>
      <c r="U21">
        <v>6522.0434599999999</v>
      </c>
      <c r="V21">
        <f t="shared" si="5"/>
        <v>6522.0387075731196</v>
      </c>
      <c r="W21">
        <f t="shared" si="6"/>
        <v>4.7524268802590086E-3</v>
      </c>
    </row>
    <row r="22" spans="1:23">
      <c r="A22">
        <v>21</v>
      </c>
      <c r="B22">
        <v>75</v>
      </c>
      <c r="C22">
        <f t="shared" si="0"/>
        <v>71.750660490000001</v>
      </c>
      <c r="D22">
        <f t="shared" si="1"/>
        <v>3.2493395099999987</v>
      </c>
      <c r="H22" s="3">
        <v>445</v>
      </c>
      <c r="I22">
        <v>6531.3416999999999</v>
      </c>
      <c r="J22" t="s">
        <v>6</v>
      </c>
      <c r="L22">
        <v>445.5</v>
      </c>
      <c r="M22">
        <v>8.8000000000000005E-3</v>
      </c>
      <c r="N22">
        <v>-0.17369999999999999</v>
      </c>
      <c r="O22">
        <v>-0.1079</v>
      </c>
      <c r="P22">
        <v>10.218</v>
      </c>
      <c r="R22">
        <f t="shared" si="2"/>
        <v>445.19641102315802</v>
      </c>
      <c r="S22">
        <f t="shared" si="3"/>
        <v>2.7035455269282567</v>
      </c>
      <c r="T22">
        <f t="shared" si="4"/>
        <v>442.49286549622974</v>
      </c>
      <c r="U22">
        <v>6531.3416999999999</v>
      </c>
      <c r="V22">
        <f t="shared" si="5"/>
        <v>6531.3413030598867</v>
      </c>
      <c r="W22">
        <f t="shared" si="6"/>
        <v>3.9694011320534628E-4</v>
      </c>
    </row>
    <row r="23" spans="1:23">
      <c r="A23">
        <v>22</v>
      </c>
      <c r="B23">
        <v>87</v>
      </c>
      <c r="C23">
        <f t="shared" si="0"/>
        <v>71.926462760000007</v>
      </c>
      <c r="D23">
        <f t="shared" si="1"/>
        <v>15.073537239999993</v>
      </c>
      <c r="H23" s="3">
        <v>518</v>
      </c>
      <c r="I23">
        <v>6538.1120000000001</v>
      </c>
      <c r="J23" t="s">
        <v>6</v>
      </c>
      <c r="L23">
        <v>518</v>
      </c>
      <c r="M23">
        <v>4.0000000000000002E-4</v>
      </c>
      <c r="N23">
        <v>-0.16539999999999999</v>
      </c>
      <c r="O23">
        <v>6.7799999999999999E-2</v>
      </c>
      <c r="P23">
        <v>8.8658999999999999</v>
      </c>
      <c r="R23">
        <f t="shared" si="2"/>
        <v>518.20511029104534</v>
      </c>
      <c r="S23">
        <f t="shared" si="3"/>
        <v>2.6935281912340692</v>
      </c>
      <c r="T23">
        <f t="shared" si="4"/>
        <v>515.51158209981122</v>
      </c>
      <c r="U23">
        <v>6538.1120000000001</v>
      </c>
      <c r="V23">
        <f t="shared" si="5"/>
        <v>6538.1027541714639</v>
      </c>
      <c r="W23">
        <f t="shared" si="6"/>
        <v>9.2458285362226889E-3</v>
      </c>
    </row>
    <row r="24" spans="1:23">
      <c r="A24">
        <v>23</v>
      </c>
      <c r="B24">
        <v>88</v>
      </c>
      <c r="C24">
        <f t="shared" si="0"/>
        <v>72.101962810000003</v>
      </c>
      <c r="D24">
        <f t="shared" si="1"/>
        <v>15.898037189999997</v>
      </c>
      <c r="H24" s="3">
        <v>665</v>
      </c>
      <c r="I24">
        <v>6551.7053900000001</v>
      </c>
      <c r="L24">
        <v>665</v>
      </c>
      <c r="M24">
        <v>4.0000000000000001E-3</v>
      </c>
      <c r="N24">
        <v>-0.11169999999999999</v>
      </c>
      <c r="O24">
        <v>-2.69E-2</v>
      </c>
      <c r="P24">
        <v>6.7823000000000002</v>
      </c>
      <c r="R24">
        <f t="shared" si="2"/>
        <v>664.88035708648636</v>
      </c>
      <c r="S24">
        <f t="shared" si="3"/>
        <v>2.6766673667360492</v>
      </c>
      <c r="T24">
        <f t="shared" si="4"/>
        <v>662.20368971975029</v>
      </c>
      <c r="V24">
        <f t="shared" si="5"/>
        <v>6551.6852845095591</v>
      </c>
    </row>
    <row r="25" spans="1:23">
      <c r="A25">
        <v>24</v>
      </c>
      <c r="B25">
        <v>91</v>
      </c>
      <c r="C25">
        <f t="shared" si="0"/>
        <v>72.277160640000005</v>
      </c>
      <c r="D25">
        <f t="shared" si="1"/>
        <v>18.722839359999995</v>
      </c>
      <c r="H25" s="3">
        <v>691</v>
      </c>
      <c r="I25">
        <v>6554.16021</v>
      </c>
      <c r="J25" t="s">
        <v>6</v>
      </c>
      <c r="L25">
        <v>692</v>
      </c>
      <c r="M25">
        <v>1.29E-2</v>
      </c>
      <c r="N25">
        <v>-0.1239</v>
      </c>
      <c r="O25">
        <v>-0.1055</v>
      </c>
      <c r="P25">
        <v>8.9061000000000003</v>
      </c>
      <c r="R25">
        <f t="shared" si="2"/>
        <v>691.59932564786504</v>
      </c>
      <c r="S25">
        <f t="shared" si="3"/>
        <v>2.6740652435769467</v>
      </c>
      <c r="T25">
        <f t="shared" si="4"/>
        <v>688.92526040428811</v>
      </c>
      <c r="U25">
        <v>6554.16021</v>
      </c>
      <c r="V25">
        <f t="shared" si="5"/>
        <v>6554.159496039133</v>
      </c>
      <c r="W25">
        <f t="shared" si="6"/>
        <v>7.1396086696040584E-4</v>
      </c>
    </row>
    <row r="26" spans="1:23">
      <c r="A26">
        <v>25</v>
      </c>
      <c r="B26">
        <v>82</v>
      </c>
      <c r="C26">
        <f t="shared" si="0"/>
        <v>72.452056249999998</v>
      </c>
      <c r="D26">
        <f t="shared" si="1"/>
        <v>9.5479437500000017</v>
      </c>
      <c r="H26" s="3">
        <v>742</v>
      </c>
      <c r="I26">
        <v>6558.8751300000004</v>
      </c>
      <c r="J26" t="s">
        <v>6</v>
      </c>
      <c r="K26">
        <v>742.91067653276957</v>
      </c>
      <c r="L26">
        <v>743</v>
      </c>
      <c r="M26">
        <v>1.83E-2</v>
      </c>
      <c r="N26">
        <v>-9.4600000000000004E-2</v>
      </c>
      <c r="O26">
        <v>-7.9000000000000001E-2</v>
      </c>
      <c r="P26">
        <v>7.2011000000000003</v>
      </c>
      <c r="Q26">
        <f>K26-R26</f>
        <v>0.28710713565749302</v>
      </c>
      <c r="R26">
        <f t="shared" si="2"/>
        <v>742.62356939711208</v>
      </c>
      <c r="S26">
        <f t="shared" si="3"/>
        <v>2.6694978991835399</v>
      </c>
      <c r="T26">
        <f t="shared" si="4"/>
        <v>739.95407149792857</v>
      </c>
      <c r="U26">
        <v>6558.8751300000004</v>
      </c>
      <c r="V26">
        <f t="shared" si="5"/>
        <v>6558.8844593923841</v>
      </c>
      <c r="W26">
        <f t="shared" si="6"/>
        <v>-9.3293923837336479E-3</v>
      </c>
    </row>
    <row r="27" spans="1:23">
      <c r="A27">
        <v>26</v>
      </c>
      <c r="B27">
        <v>76</v>
      </c>
      <c r="C27">
        <f t="shared" si="0"/>
        <v>72.626649640000011</v>
      </c>
      <c r="D27">
        <f t="shared" si="1"/>
        <v>3.3733503599999892</v>
      </c>
      <c r="H27" s="3">
        <v>858</v>
      </c>
      <c r="I27">
        <v>6569.6322</v>
      </c>
      <c r="L27">
        <v>859</v>
      </c>
      <c r="M27">
        <v>6.3E-3</v>
      </c>
      <c r="N27">
        <v>-0.1147</v>
      </c>
      <c r="O27">
        <v>-3.7999999999999999E-2</v>
      </c>
      <c r="P27">
        <v>6.101</v>
      </c>
      <c r="R27">
        <f t="shared" si="2"/>
        <v>858.83655153051927</v>
      </c>
      <c r="S27">
        <f t="shared" si="3"/>
        <v>2.6610640802140355</v>
      </c>
      <c r="U27">
        <v>6569.6322</v>
      </c>
      <c r="V27">
        <f t="shared" si="5"/>
        <v>6490.3280627969998</v>
      </c>
    </row>
    <row r="28" spans="1:23">
      <c r="A28">
        <v>27</v>
      </c>
      <c r="B28">
        <v>94</v>
      </c>
      <c r="C28">
        <f t="shared" si="0"/>
        <v>72.80094081</v>
      </c>
      <c r="D28">
        <f t="shared" si="1"/>
        <v>21.19905919</v>
      </c>
      <c r="H28" s="3">
        <v>940</v>
      </c>
      <c r="I28">
        <v>6577.21443</v>
      </c>
      <c r="J28" t="s">
        <v>6</v>
      </c>
      <c r="L28">
        <v>941</v>
      </c>
      <c r="M28">
        <v>1.2200000000000001E-2</v>
      </c>
      <c r="N28">
        <v>-0.11310000000000001</v>
      </c>
      <c r="O28">
        <v>-0.1067</v>
      </c>
      <c r="P28">
        <v>8.8889999999999993</v>
      </c>
      <c r="R28">
        <f t="shared" si="2"/>
        <v>940.55966627997623</v>
      </c>
      <c r="S28">
        <f t="shared" si="3"/>
        <v>2.6567718871723138</v>
      </c>
      <c r="T28">
        <f t="shared" si="4"/>
        <v>937.90289439280389</v>
      </c>
      <c r="U28">
        <v>6577.21443</v>
      </c>
      <c r="V28">
        <f t="shared" si="5"/>
        <v>6577.2150489989044</v>
      </c>
      <c r="W28">
        <f t="shared" si="6"/>
        <v>-6.1899890442873584E-4</v>
      </c>
    </row>
    <row r="29" spans="1:23">
      <c r="A29">
        <v>28</v>
      </c>
      <c r="B29">
        <v>116</v>
      </c>
      <c r="C29">
        <f t="shared" si="0"/>
        <v>72.974929760000009</v>
      </c>
      <c r="D29">
        <f t="shared" si="1"/>
        <v>43.025070239999991</v>
      </c>
      <c r="H29" s="3">
        <v>1013</v>
      </c>
      <c r="J29" t="s">
        <v>0</v>
      </c>
      <c r="L29">
        <v>1094.5</v>
      </c>
      <c r="M29">
        <v>-5.3E-3</v>
      </c>
      <c r="N29">
        <v>-0.14230000000000001</v>
      </c>
      <c r="O29">
        <v>3.7199999999999997E-2</v>
      </c>
      <c r="P29">
        <v>10.209</v>
      </c>
      <c r="R29">
        <f t="shared" si="2"/>
        <v>1094.6297689539549</v>
      </c>
      <c r="S29">
        <f t="shared" si="3"/>
        <v>2.6523600419880342</v>
      </c>
      <c r="T29">
        <f t="shared" si="4"/>
        <v>1091.9774089119669</v>
      </c>
      <c r="U29">
        <v>6591.4843000000001</v>
      </c>
      <c r="V29">
        <f t="shared" si="5"/>
        <v>6591.4845133030376</v>
      </c>
      <c r="W29">
        <f t="shared" si="6"/>
        <v>-2.1330303752620239E-4</v>
      </c>
    </row>
    <row r="30" spans="1:23">
      <c r="A30">
        <v>29</v>
      </c>
      <c r="B30">
        <v>159</v>
      </c>
      <c r="C30">
        <f t="shared" si="0"/>
        <v>73.148616490000009</v>
      </c>
      <c r="D30">
        <f t="shared" si="1"/>
        <v>85.851383509999991</v>
      </c>
      <c r="H30" s="3">
        <v>1063</v>
      </c>
      <c r="J30" t="s">
        <v>0</v>
      </c>
      <c r="L30">
        <v>1121</v>
      </c>
      <c r="M30">
        <v>-5.1999999999999998E-3</v>
      </c>
      <c r="N30">
        <v>-0.16200000000000001</v>
      </c>
      <c r="O30">
        <v>3.9100000000000003E-2</v>
      </c>
      <c r="P30">
        <v>9.4445999999999994</v>
      </c>
      <c r="R30">
        <f t="shared" si="2"/>
        <v>1121.1199858425994</v>
      </c>
      <c r="S30">
        <f t="shared" si="3"/>
        <v>2.652086012619181</v>
      </c>
      <c r="T30">
        <f t="shared" si="4"/>
        <v>1118.4678998299801</v>
      </c>
      <c r="U30">
        <v>6593.9390199999998</v>
      </c>
      <c r="V30">
        <f t="shared" si="5"/>
        <v>6593.9379570405963</v>
      </c>
      <c r="W30">
        <f t="shared" si="6"/>
        <v>1.0629594034980983E-3</v>
      </c>
    </row>
    <row r="31" spans="1:23">
      <c r="A31">
        <v>30</v>
      </c>
      <c r="B31">
        <v>240</v>
      </c>
      <c r="C31">
        <f t="shared" si="0"/>
        <v>73.322001</v>
      </c>
      <c r="D31">
        <f t="shared" si="1"/>
        <v>166.677999</v>
      </c>
      <c r="H31" s="3">
        <v>1095</v>
      </c>
      <c r="I31">
        <v>6591.4843000000001</v>
      </c>
      <c r="J31" t="s">
        <v>6</v>
      </c>
      <c r="L31">
        <v>1144.5</v>
      </c>
      <c r="M31">
        <v>-6.4000000000000003E-3</v>
      </c>
      <c r="N31">
        <v>-0.1565</v>
      </c>
      <c r="O31">
        <v>3.44E-2</v>
      </c>
      <c r="P31">
        <v>6.1894</v>
      </c>
      <c r="R31">
        <f t="shared" si="2"/>
        <v>1144.6091730350468</v>
      </c>
      <c r="S31">
        <f t="shared" si="3"/>
        <v>2.6519619512776629</v>
      </c>
      <c r="T31">
        <f t="shared" si="4"/>
        <v>1141.9572110837692</v>
      </c>
      <c r="U31" s="5">
        <v>6596.1130000000003</v>
      </c>
      <c r="V31">
        <f t="shared" si="5"/>
        <v>6596.1134313699431</v>
      </c>
      <c r="W31">
        <f t="shared" si="6"/>
        <v>-4.3136994281667285E-4</v>
      </c>
    </row>
    <row r="32" spans="1:23">
      <c r="A32">
        <v>31</v>
      </c>
      <c r="B32">
        <v>523</v>
      </c>
      <c r="C32">
        <f t="shared" si="0"/>
        <v>73.495083290000011</v>
      </c>
      <c r="D32">
        <f t="shared" si="1"/>
        <v>449.50491670999997</v>
      </c>
      <c r="H32" s="3">
        <v>1121</v>
      </c>
      <c r="I32">
        <v>6593.9390199999998</v>
      </c>
      <c r="J32" t="s">
        <v>6</v>
      </c>
      <c r="L32">
        <v>1181</v>
      </c>
      <c r="M32">
        <v>-6.7000000000000002E-3</v>
      </c>
      <c r="N32">
        <v>-0.1787</v>
      </c>
      <c r="O32">
        <v>-1.18E-2</v>
      </c>
      <c r="P32">
        <v>6.6307999999999998</v>
      </c>
      <c r="R32">
        <f t="shared" si="2"/>
        <v>1180.9669222378825</v>
      </c>
      <c r="S32">
        <f t="shared" si="3"/>
        <v>2.6519903415333927</v>
      </c>
      <c r="T32">
        <f t="shared" si="4"/>
        <v>1178.3149318963492</v>
      </c>
      <c r="U32">
        <v>6599.4824200000003</v>
      </c>
      <c r="V32">
        <f t="shared" si="5"/>
        <v>6599.4806726043107</v>
      </c>
      <c r="W32">
        <f t="shared" si="6"/>
        <v>1.7473956895628362E-3</v>
      </c>
    </row>
    <row r="33" spans="1:23">
      <c r="A33">
        <v>32</v>
      </c>
      <c r="B33">
        <v>996</v>
      </c>
      <c r="C33">
        <f t="shared" si="0"/>
        <v>73.667863359999998</v>
      </c>
      <c r="D33">
        <f t="shared" si="1"/>
        <v>922.33213664000004</v>
      </c>
      <c r="H33" s="3">
        <v>1145</v>
      </c>
      <c r="I33" s="5">
        <v>6596.1130000000003</v>
      </c>
      <c r="L33">
        <v>1239</v>
      </c>
      <c r="M33">
        <v>-1.9E-3</v>
      </c>
      <c r="N33">
        <v>-0.16220000000000001</v>
      </c>
      <c r="O33">
        <v>-1.15E-2</v>
      </c>
      <c r="P33">
        <v>8.7613000000000003</v>
      </c>
      <c r="R33">
        <f t="shared" si="2"/>
        <v>1238.9645278293253</v>
      </c>
      <c r="S33">
        <f t="shared" si="3"/>
        <v>2.6525899820191938</v>
      </c>
      <c r="T33">
        <f t="shared" si="4"/>
        <v>1236.3119378473061</v>
      </c>
      <c r="U33">
        <v>6604.8530000000001</v>
      </c>
      <c r="V33">
        <f t="shared" si="5"/>
        <v>6604.8518036704618</v>
      </c>
      <c r="W33">
        <f t="shared" si="6"/>
        <v>1.1963295382884098E-3</v>
      </c>
    </row>
    <row r="34" spans="1:23">
      <c r="A34">
        <v>33</v>
      </c>
      <c r="B34">
        <v>1522</v>
      </c>
      <c r="C34">
        <f t="shared" si="0"/>
        <v>73.840341210000005</v>
      </c>
      <c r="D34">
        <f t="shared" si="1"/>
        <v>1448.1596587900001</v>
      </c>
      <c r="H34" s="3">
        <v>1181</v>
      </c>
      <c r="I34">
        <v>6599.4824200000003</v>
      </c>
      <c r="L34">
        <v>1331</v>
      </c>
      <c r="M34">
        <v>-6.4999999999999997E-3</v>
      </c>
      <c r="N34">
        <v>-0.1704</v>
      </c>
      <c r="O34">
        <v>2.9399999999999999E-2</v>
      </c>
      <c r="P34">
        <v>6.9038000000000004</v>
      </c>
      <c r="R34">
        <f t="shared" si="2"/>
        <v>1331.0858459339049</v>
      </c>
      <c r="S34">
        <f t="shared" si="3"/>
        <v>2.6549433226872963</v>
      </c>
      <c r="T34">
        <f t="shared" si="4"/>
        <v>1328.4309026112176</v>
      </c>
      <c r="U34" s="5">
        <v>6613.3829999999998</v>
      </c>
      <c r="V34">
        <f t="shared" si="5"/>
        <v>6613.3819930826139</v>
      </c>
      <c r="W34">
        <f t="shared" si="6"/>
        <v>1.0069173858937575E-3</v>
      </c>
    </row>
    <row r="35" spans="1:23">
      <c r="A35">
        <v>34</v>
      </c>
      <c r="B35">
        <v>1621</v>
      </c>
      <c r="C35">
        <f t="shared" si="0"/>
        <v>74.012516840000004</v>
      </c>
      <c r="D35">
        <f t="shared" si="1"/>
        <v>1546.98748316</v>
      </c>
      <c r="H35" s="3">
        <v>1239</v>
      </c>
      <c r="I35">
        <v>6604.8530000000001</v>
      </c>
      <c r="J35" t="s">
        <v>6</v>
      </c>
      <c r="L35">
        <v>1342</v>
      </c>
      <c r="M35">
        <v>-3.0999999999999999E-3</v>
      </c>
      <c r="N35">
        <v>-0.1734</v>
      </c>
      <c r="O35">
        <v>-0.16769999999999999</v>
      </c>
      <c r="P35">
        <v>6.2417999999999996</v>
      </c>
      <c r="R35">
        <f t="shared" si="2"/>
        <v>1341.509997245962</v>
      </c>
      <c r="S35">
        <f t="shared" si="3"/>
        <v>2.6553179037122581</v>
      </c>
      <c r="T35">
        <f t="shared" si="4"/>
        <v>1338.8546793422497</v>
      </c>
      <c r="V35">
        <f t="shared" si="5"/>
        <v>6614.3471211714068</v>
      </c>
    </row>
    <row r="36" spans="1:23">
      <c r="A36">
        <v>35</v>
      </c>
      <c r="B36">
        <v>1179</v>
      </c>
      <c r="C36">
        <f t="shared" si="0"/>
        <v>74.184390250000007</v>
      </c>
      <c r="D36">
        <f t="shared" si="1"/>
        <v>1104.81560975</v>
      </c>
      <c r="H36" s="4">
        <v>1331</v>
      </c>
      <c r="I36" s="5">
        <v>6613.3829999999998</v>
      </c>
      <c r="J36" s="2" t="s">
        <v>5</v>
      </c>
      <c r="L36">
        <v>1383</v>
      </c>
      <c r="M36">
        <v>-1.21E-2</v>
      </c>
      <c r="N36">
        <v>-0.1908</v>
      </c>
      <c r="O36">
        <v>-5.7000000000000002E-2</v>
      </c>
      <c r="P36">
        <v>6.3476999999999997</v>
      </c>
      <c r="R36">
        <f t="shared" si="2"/>
        <v>1382.8484439645781</v>
      </c>
      <c r="S36">
        <f t="shared" si="3"/>
        <v>2.65702011801931</v>
      </c>
      <c r="U36">
        <v>6618.1671399999996</v>
      </c>
      <c r="V36">
        <f t="shared" si="5"/>
        <v>6490.3280627969998</v>
      </c>
    </row>
    <row r="37" spans="1:23">
      <c r="A37">
        <v>36</v>
      </c>
      <c r="B37">
        <v>593</v>
      </c>
      <c r="C37">
        <f t="shared" si="0"/>
        <v>74.355961440000002</v>
      </c>
      <c r="D37">
        <f t="shared" si="1"/>
        <v>518.64403856000001</v>
      </c>
      <c r="H37" s="3">
        <v>1342</v>
      </c>
      <c r="J37" s="5" t="s">
        <v>7</v>
      </c>
      <c r="L37">
        <v>1402</v>
      </c>
      <c r="M37">
        <v>-5.5999999999999999E-3</v>
      </c>
      <c r="N37">
        <v>-0.1893</v>
      </c>
      <c r="O37">
        <v>3.3E-3</v>
      </c>
      <c r="P37">
        <v>7.4294000000000002</v>
      </c>
      <c r="R37">
        <f t="shared" si="2"/>
        <v>1402.0087129546177</v>
      </c>
      <c r="S37">
        <f t="shared" si="3"/>
        <v>2.6579265142788828</v>
      </c>
      <c r="T37">
        <f t="shared" si="4"/>
        <v>1399.3507864403389</v>
      </c>
      <c r="U37">
        <v>6619.9458400000003</v>
      </c>
      <c r="V37">
        <f t="shared" si="5"/>
        <v>6619.9478009212644</v>
      </c>
      <c r="W37">
        <f t="shared" si="6"/>
        <v>-1.9609212640716578E-3</v>
      </c>
    </row>
    <row r="38" spans="1:23">
      <c r="A38">
        <v>37</v>
      </c>
      <c r="B38">
        <v>344</v>
      </c>
      <c r="C38">
        <f t="shared" si="0"/>
        <v>74.527230410000001</v>
      </c>
      <c r="D38">
        <f t="shared" si="1"/>
        <v>269.47276958999998</v>
      </c>
      <c r="H38" s="3">
        <v>1383</v>
      </c>
      <c r="I38">
        <v>6618.1671399999996</v>
      </c>
      <c r="L38">
        <v>1413</v>
      </c>
      <c r="M38">
        <v>-9.4999999999999998E-3</v>
      </c>
      <c r="N38">
        <v>-0.1782</v>
      </c>
      <c r="O38">
        <v>1.8499999999999999E-2</v>
      </c>
      <c r="P38">
        <v>6.2096999999999998</v>
      </c>
      <c r="R38">
        <f t="shared" si="2"/>
        <v>1413.0516942747081</v>
      </c>
      <c r="S38">
        <f t="shared" si="3"/>
        <v>2.6584827008714611</v>
      </c>
      <c r="T38">
        <f t="shared" si="4"/>
        <v>1410.3932115738367</v>
      </c>
    </row>
    <row r="39" spans="1:23">
      <c r="A39">
        <v>38</v>
      </c>
      <c r="B39">
        <v>299</v>
      </c>
      <c r="C39">
        <f t="shared" si="0"/>
        <v>74.698197160000007</v>
      </c>
      <c r="D39">
        <f t="shared" si="1"/>
        <v>224.30180283999999</v>
      </c>
      <c r="H39" s="3">
        <v>1402</v>
      </c>
      <c r="I39">
        <v>6619.9458400000003</v>
      </c>
      <c r="J39" t="s">
        <v>6</v>
      </c>
    </row>
    <row r="40" spans="1:23">
      <c r="A40">
        <v>39</v>
      </c>
      <c r="B40">
        <v>382</v>
      </c>
      <c r="C40">
        <f t="shared" si="0"/>
        <v>74.868861690000003</v>
      </c>
      <c r="D40">
        <f t="shared" si="1"/>
        <v>307.13113830999998</v>
      </c>
      <c r="H40" s="3">
        <v>1413</v>
      </c>
      <c r="J40" s="5" t="s">
        <v>44</v>
      </c>
    </row>
    <row r="41" spans="1:23">
      <c r="A41">
        <v>40</v>
      </c>
      <c r="B41">
        <v>589</v>
      </c>
      <c r="C41">
        <f t="shared" si="0"/>
        <v>75.039224000000004</v>
      </c>
      <c r="D41">
        <f t="shared" si="1"/>
        <v>513.96077600000001</v>
      </c>
    </row>
    <row r="42" spans="1:23">
      <c r="A42">
        <v>41</v>
      </c>
      <c r="B42">
        <v>843</v>
      </c>
      <c r="C42">
        <f t="shared" si="0"/>
        <v>75.209284090000011</v>
      </c>
      <c r="D42">
        <f t="shared" si="1"/>
        <v>767.79071591000002</v>
      </c>
      <c r="Q42">
        <f>300000*Q26/(11*6563)</f>
        <v>1.1930816103673196</v>
      </c>
    </row>
    <row r="43" spans="1:23">
      <c r="A43">
        <v>42</v>
      </c>
      <c r="B43">
        <v>985</v>
      </c>
      <c r="C43">
        <f t="shared" si="0"/>
        <v>75.379041960000009</v>
      </c>
      <c r="D43">
        <f t="shared" si="1"/>
        <v>909.62095804</v>
      </c>
    </row>
    <row r="44" spans="1:23">
      <c r="A44">
        <v>43</v>
      </c>
      <c r="B44">
        <v>814</v>
      </c>
      <c r="C44">
        <f t="shared" si="0"/>
        <v>75.548497609999998</v>
      </c>
      <c r="D44">
        <f t="shared" si="1"/>
        <v>738.45150238999997</v>
      </c>
    </row>
    <row r="45" spans="1:23">
      <c r="A45">
        <v>44</v>
      </c>
      <c r="B45">
        <v>486</v>
      </c>
      <c r="C45">
        <f t="shared" si="0"/>
        <v>75.717651040000007</v>
      </c>
      <c r="D45">
        <f t="shared" si="1"/>
        <v>410.28234895999998</v>
      </c>
    </row>
    <row r="46" spans="1:23">
      <c r="A46">
        <v>45</v>
      </c>
      <c r="B46">
        <v>243</v>
      </c>
      <c r="C46">
        <f t="shared" si="0"/>
        <v>75.886502250000007</v>
      </c>
      <c r="D46">
        <f t="shared" si="1"/>
        <v>167.11349774999999</v>
      </c>
    </row>
    <row r="47" spans="1:23">
      <c r="A47">
        <v>46</v>
      </c>
      <c r="B47">
        <v>174</v>
      </c>
      <c r="C47">
        <f t="shared" si="0"/>
        <v>76.055051240000012</v>
      </c>
      <c r="D47">
        <f t="shared" si="1"/>
        <v>97.944948759999988</v>
      </c>
    </row>
    <row r="48" spans="1:23">
      <c r="A48">
        <v>47</v>
      </c>
      <c r="B48">
        <v>124</v>
      </c>
      <c r="C48">
        <f t="shared" si="0"/>
        <v>76.223298010000008</v>
      </c>
      <c r="D48">
        <f t="shared" si="1"/>
        <v>47.776701989999992</v>
      </c>
    </row>
    <row r="49" spans="1:7" ht="17.25">
      <c r="A49">
        <v>48</v>
      </c>
      <c r="B49">
        <v>93</v>
      </c>
      <c r="C49">
        <f t="shared" si="0"/>
        <v>76.391242560000009</v>
      </c>
      <c r="D49">
        <f t="shared" si="1"/>
        <v>16.608757439999991</v>
      </c>
      <c r="F49">
        <v>7</v>
      </c>
      <c r="G49" t="s">
        <v>10</v>
      </c>
    </row>
    <row r="50" spans="1:7" ht="17.25">
      <c r="A50">
        <v>49</v>
      </c>
      <c r="B50">
        <v>82</v>
      </c>
      <c r="C50">
        <f t="shared" si="0"/>
        <v>76.558884890000002</v>
      </c>
      <c r="D50">
        <f t="shared" si="1"/>
        <v>5.4411151099999984</v>
      </c>
      <c r="F50">
        <v>33.5</v>
      </c>
      <c r="G50" t="s">
        <v>11</v>
      </c>
    </row>
    <row r="51" spans="1:7" ht="17.25">
      <c r="A51">
        <v>50</v>
      </c>
      <c r="B51">
        <v>80</v>
      </c>
      <c r="C51">
        <f t="shared" si="0"/>
        <v>76.726224999999999</v>
      </c>
      <c r="D51">
        <f t="shared" si="1"/>
        <v>3.2737750000000005</v>
      </c>
      <c r="F51">
        <v>42</v>
      </c>
      <c r="G51" t="s">
        <v>12</v>
      </c>
    </row>
    <row r="52" spans="1:7">
      <c r="A52">
        <v>51</v>
      </c>
      <c r="B52">
        <v>77</v>
      </c>
      <c r="C52">
        <f t="shared" si="0"/>
        <v>76.893262890000003</v>
      </c>
      <c r="D52">
        <f t="shared" si="1"/>
        <v>0.10673710999999741</v>
      </c>
    </row>
    <row r="53" spans="1:7">
      <c r="A53">
        <v>52</v>
      </c>
      <c r="B53">
        <v>78</v>
      </c>
      <c r="C53">
        <f t="shared" si="0"/>
        <v>77.059998559999997</v>
      </c>
      <c r="D53">
        <f t="shared" si="1"/>
        <v>0.94000144000000319</v>
      </c>
    </row>
    <row r="54" spans="1:7">
      <c r="A54">
        <v>53</v>
      </c>
      <c r="B54">
        <v>97</v>
      </c>
      <c r="C54">
        <f t="shared" si="0"/>
        <v>77.226432009999996</v>
      </c>
      <c r="D54">
        <f t="shared" si="1"/>
        <v>19.773567990000004</v>
      </c>
    </row>
    <row r="55" spans="1:7">
      <c r="A55">
        <v>54</v>
      </c>
      <c r="B55">
        <v>130</v>
      </c>
      <c r="C55">
        <f t="shared" si="0"/>
        <v>77.392563240000001</v>
      </c>
      <c r="D55">
        <f t="shared" si="1"/>
        <v>52.607436759999999</v>
      </c>
    </row>
    <row r="56" spans="1:7">
      <c r="A56">
        <v>55</v>
      </c>
      <c r="B56">
        <v>182</v>
      </c>
      <c r="C56">
        <f t="shared" si="0"/>
        <v>77.558392249999997</v>
      </c>
      <c r="D56">
        <f t="shared" si="1"/>
        <v>104.44160775</v>
      </c>
    </row>
    <row r="57" spans="1:7">
      <c r="A57">
        <v>56</v>
      </c>
      <c r="B57">
        <v>198</v>
      </c>
      <c r="C57">
        <f t="shared" si="0"/>
        <v>77.723919039999998</v>
      </c>
      <c r="D57">
        <f t="shared" si="1"/>
        <v>120.27608096</v>
      </c>
    </row>
    <row r="58" spans="1:7">
      <c r="A58">
        <v>57</v>
      </c>
      <c r="B58">
        <v>185</v>
      </c>
      <c r="C58">
        <f t="shared" si="0"/>
        <v>77.889143610000005</v>
      </c>
      <c r="D58">
        <f t="shared" si="1"/>
        <v>107.11085639</v>
      </c>
    </row>
    <row r="59" spans="1:7">
      <c r="A59">
        <v>58</v>
      </c>
      <c r="B59">
        <v>124</v>
      </c>
      <c r="C59">
        <f t="shared" si="0"/>
        <v>78.054065960000003</v>
      </c>
      <c r="D59">
        <f t="shared" si="1"/>
        <v>45.945934039999997</v>
      </c>
    </row>
    <row r="60" spans="1:7">
      <c r="A60">
        <v>59</v>
      </c>
      <c r="B60">
        <v>102</v>
      </c>
      <c r="C60">
        <f t="shared" si="0"/>
        <v>78.218686090000006</v>
      </c>
      <c r="D60">
        <f t="shared" si="1"/>
        <v>23.781313909999994</v>
      </c>
    </row>
    <row r="61" spans="1:7">
      <c r="A61">
        <v>60</v>
      </c>
      <c r="B61">
        <v>114</v>
      </c>
      <c r="C61">
        <f t="shared" si="0"/>
        <v>78.383004</v>
      </c>
      <c r="D61">
        <f t="shared" si="1"/>
        <v>35.616996</v>
      </c>
    </row>
    <row r="62" spans="1:7">
      <c r="A62">
        <v>61</v>
      </c>
      <c r="B62">
        <v>137</v>
      </c>
      <c r="C62">
        <f t="shared" si="0"/>
        <v>78.547019689999999</v>
      </c>
      <c r="D62">
        <f t="shared" si="1"/>
        <v>58.452980310000001</v>
      </c>
    </row>
    <row r="63" spans="1:7">
      <c r="A63">
        <v>62</v>
      </c>
      <c r="B63">
        <v>183</v>
      </c>
      <c r="C63">
        <f t="shared" si="0"/>
        <v>78.710733160000004</v>
      </c>
      <c r="D63">
        <f t="shared" si="1"/>
        <v>104.28926684</v>
      </c>
    </row>
    <row r="64" spans="1:7">
      <c r="A64">
        <v>63</v>
      </c>
      <c r="B64">
        <v>256</v>
      </c>
      <c r="C64">
        <f t="shared" si="0"/>
        <v>78.87414441</v>
      </c>
      <c r="D64">
        <f t="shared" si="1"/>
        <v>177.12585559000001</v>
      </c>
    </row>
    <row r="65" spans="1:4">
      <c r="A65">
        <v>64</v>
      </c>
      <c r="B65">
        <v>288</v>
      </c>
      <c r="C65">
        <f t="shared" si="0"/>
        <v>79.037253440000001</v>
      </c>
      <c r="D65">
        <f t="shared" si="1"/>
        <v>208.96274656</v>
      </c>
    </row>
    <row r="66" spans="1:4">
      <c r="A66">
        <v>65</v>
      </c>
      <c r="B66">
        <v>248</v>
      </c>
      <c r="C66">
        <f t="shared" ref="C66:C129" si="7" xml:space="preserve"> -0.00015111*A66*A66 + 0.1823*A66 + 67.989</f>
        <v>79.200060250000007</v>
      </c>
      <c r="D66">
        <f t="shared" ref="D66:D129" si="8">B66-C66</f>
        <v>168.79993974999999</v>
      </c>
    </row>
    <row r="67" spans="1:4">
      <c r="A67">
        <v>66</v>
      </c>
      <c r="B67">
        <v>185</v>
      </c>
      <c r="C67">
        <f t="shared" si="7"/>
        <v>79.362564840000005</v>
      </c>
      <c r="D67">
        <f t="shared" si="8"/>
        <v>105.63743516</v>
      </c>
    </row>
    <row r="68" spans="1:4">
      <c r="A68">
        <v>67</v>
      </c>
      <c r="B68">
        <v>137</v>
      </c>
      <c r="C68">
        <f t="shared" si="7"/>
        <v>79.524767210000007</v>
      </c>
      <c r="D68">
        <f t="shared" si="8"/>
        <v>57.475232789999993</v>
      </c>
    </row>
    <row r="69" spans="1:4">
      <c r="A69">
        <v>68</v>
      </c>
      <c r="B69">
        <v>121</v>
      </c>
      <c r="C69">
        <f t="shared" si="7"/>
        <v>79.686667360000001</v>
      </c>
      <c r="D69">
        <f t="shared" si="8"/>
        <v>41.313332639999999</v>
      </c>
    </row>
    <row r="70" spans="1:4">
      <c r="A70">
        <v>69</v>
      </c>
      <c r="B70">
        <v>115</v>
      </c>
      <c r="C70">
        <f t="shared" si="7"/>
        <v>79.848265290000001</v>
      </c>
      <c r="D70">
        <f t="shared" si="8"/>
        <v>35.151734709999999</v>
      </c>
    </row>
    <row r="71" spans="1:4">
      <c r="A71">
        <v>70</v>
      </c>
      <c r="B71">
        <v>100</v>
      </c>
      <c r="C71">
        <f t="shared" si="7"/>
        <v>80.009561000000005</v>
      </c>
      <c r="D71">
        <f t="shared" si="8"/>
        <v>19.990438999999995</v>
      </c>
    </row>
    <row r="72" spans="1:4">
      <c r="A72">
        <v>71</v>
      </c>
      <c r="B72">
        <v>86</v>
      </c>
      <c r="C72">
        <f t="shared" si="7"/>
        <v>80.170554490000001</v>
      </c>
      <c r="D72">
        <f t="shared" si="8"/>
        <v>5.8294455099999993</v>
      </c>
    </row>
    <row r="73" spans="1:4">
      <c r="A73">
        <v>72</v>
      </c>
      <c r="B73">
        <v>103</v>
      </c>
      <c r="C73">
        <f t="shared" si="7"/>
        <v>80.331245760000002</v>
      </c>
      <c r="D73">
        <f t="shared" si="8"/>
        <v>22.668754239999998</v>
      </c>
    </row>
    <row r="74" spans="1:4">
      <c r="A74">
        <v>73</v>
      </c>
      <c r="B74">
        <v>107</v>
      </c>
      <c r="C74">
        <f t="shared" si="7"/>
        <v>80.491634810000008</v>
      </c>
      <c r="D74">
        <f t="shared" si="8"/>
        <v>26.508365189999992</v>
      </c>
    </row>
    <row r="75" spans="1:4">
      <c r="A75">
        <v>74</v>
      </c>
      <c r="B75">
        <v>132</v>
      </c>
      <c r="C75">
        <f t="shared" si="7"/>
        <v>80.651721640000005</v>
      </c>
      <c r="D75">
        <f t="shared" si="8"/>
        <v>51.348278359999995</v>
      </c>
    </row>
    <row r="76" spans="1:4">
      <c r="A76">
        <v>75</v>
      </c>
      <c r="B76">
        <v>132</v>
      </c>
      <c r="C76">
        <f t="shared" si="7"/>
        <v>80.811506250000008</v>
      </c>
      <c r="D76">
        <f t="shared" si="8"/>
        <v>51.188493749999992</v>
      </c>
    </row>
    <row r="77" spans="1:4">
      <c r="A77">
        <v>76</v>
      </c>
      <c r="B77">
        <v>123</v>
      </c>
      <c r="C77">
        <f t="shared" si="7"/>
        <v>80.970988640000002</v>
      </c>
      <c r="D77">
        <f t="shared" si="8"/>
        <v>42.029011359999998</v>
      </c>
    </row>
    <row r="78" spans="1:4">
      <c r="A78">
        <v>77</v>
      </c>
      <c r="B78">
        <v>130</v>
      </c>
      <c r="C78">
        <f t="shared" si="7"/>
        <v>81.130168810000001</v>
      </c>
      <c r="D78">
        <f t="shared" si="8"/>
        <v>48.869831189999999</v>
      </c>
    </row>
    <row r="79" spans="1:4">
      <c r="A79">
        <v>78</v>
      </c>
      <c r="B79">
        <v>185</v>
      </c>
      <c r="C79">
        <f t="shared" si="7"/>
        <v>81.289046760000005</v>
      </c>
      <c r="D79">
        <f t="shared" si="8"/>
        <v>103.71095323999999</v>
      </c>
    </row>
    <row r="80" spans="1:4">
      <c r="A80">
        <v>79</v>
      </c>
      <c r="B80">
        <v>245</v>
      </c>
      <c r="C80">
        <f t="shared" si="7"/>
        <v>81.447622490000001</v>
      </c>
      <c r="D80">
        <f t="shared" si="8"/>
        <v>163.55237750999999</v>
      </c>
    </row>
    <row r="81" spans="1:4">
      <c r="A81">
        <v>80</v>
      </c>
      <c r="B81">
        <v>274</v>
      </c>
      <c r="C81">
        <f t="shared" si="7"/>
        <v>81.605896000000001</v>
      </c>
      <c r="D81">
        <f t="shared" si="8"/>
        <v>192.394104</v>
      </c>
    </row>
    <row r="82" spans="1:4">
      <c r="A82">
        <v>81</v>
      </c>
      <c r="B82">
        <v>241</v>
      </c>
      <c r="C82">
        <f t="shared" si="7"/>
        <v>81.763867290000007</v>
      </c>
      <c r="D82">
        <f t="shared" si="8"/>
        <v>159.23613270999999</v>
      </c>
    </row>
    <row r="83" spans="1:4">
      <c r="A83">
        <v>82</v>
      </c>
      <c r="B83">
        <v>165</v>
      </c>
      <c r="C83">
        <f t="shared" si="7"/>
        <v>81.921536360000005</v>
      </c>
      <c r="D83">
        <f t="shared" si="8"/>
        <v>83.078463639999995</v>
      </c>
    </row>
    <row r="84" spans="1:4">
      <c r="A84">
        <v>83</v>
      </c>
      <c r="B84">
        <v>120</v>
      </c>
      <c r="C84">
        <f t="shared" si="7"/>
        <v>82.078903210000007</v>
      </c>
      <c r="D84">
        <f t="shared" si="8"/>
        <v>37.921096789999993</v>
      </c>
    </row>
    <row r="85" spans="1:4">
      <c r="A85">
        <v>84</v>
      </c>
      <c r="B85">
        <v>114</v>
      </c>
      <c r="C85">
        <f t="shared" si="7"/>
        <v>82.235967840000001</v>
      </c>
      <c r="D85">
        <f t="shared" si="8"/>
        <v>31.764032159999999</v>
      </c>
    </row>
    <row r="86" spans="1:4">
      <c r="A86">
        <v>85</v>
      </c>
      <c r="B86">
        <v>105</v>
      </c>
      <c r="C86">
        <f t="shared" si="7"/>
        <v>82.39273025</v>
      </c>
      <c r="D86">
        <f t="shared" si="8"/>
        <v>22.60726975</v>
      </c>
    </row>
    <row r="87" spans="1:4">
      <c r="A87">
        <v>86</v>
      </c>
      <c r="B87">
        <v>118</v>
      </c>
      <c r="C87">
        <f t="shared" si="7"/>
        <v>82.549190440000004</v>
      </c>
      <c r="D87">
        <f t="shared" si="8"/>
        <v>35.450809559999996</v>
      </c>
    </row>
    <row r="88" spans="1:4">
      <c r="A88">
        <v>87</v>
      </c>
      <c r="B88">
        <v>121</v>
      </c>
      <c r="C88">
        <f t="shared" si="7"/>
        <v>82.705348409999999</v>
      </c>
      <c r="D88">
        <f t="shared" si="8"/>
        <v>38.294651590000001</v>
      </c>
    </row>
    <row r="89" spans="1:4">
      <c r="A89">
        <v>88</v>
      </c>
      <c r="B89">
        <v>123</v>
      </c>
      <c r="C89">
        <f t="shared" si="7"/>
        <v>82.86120416</v>
      </c>
      <c r="D89">
        <f t="shared" si="8"/>
        <v>40.13879584</v>
      </c>
    </row>
    <row r="90" spans="1:4">
      <c r="A90">
        <v>89</v>
      </c>
      <c r="B90">
        <v>129</v>
      </c>
      <c r="C90">
        <f t="shared" si="7"/>
        <v>83.016757690000006</v>
      </c>
      <c r="D90">
        <f t="shared" si="8"/>
        <v>45.983242309999994</v>
      </c>
    </row>
    <row r="91" spans="1:4">
      <c r="A91">
        <v>90</v>
      </c>
      <c r="B91">
        <v>134</v>
      </c>
      <c r="C91">
        <f t="shared" si="7"/>
        <v>83.172009000000003</v>
      </c>
      <c r="D91">
        <f t="shared" si="8"/>
        <v>50.827990999999997</v>
      </c>
    </row>
    <row r="92" spans="1:4">
      <c r="A92">
        <v>91</v>
      </c>
      <c r="B92">
        <v>146</v>
      </c>
      <c r="C92">
        <f t="shared" si="7"/>
        <v>83.326958090000005</v>
      </c>
      <c r="D92">
        <f t="shared" si="8"/>
        <v>62.673041909999995</v>
      </c>
    </row>
    <row r="93" spans="1:4">
      <c r="A93">
        <v>92</v>
      </c>
      <c r="B93">
        <v>172</v>
      </c>
      <c r="C93">
        <f t="shared" si="7"/>
        <v>83.481604959999999</v>
      </c>
      <c r="D93">
        <f t="shared" si="8"/>
        <v>88.518395040000001</v>
      </c>
    </row>
    <row r="94" spans="1:4">
      <c r="A94">
        <v>93</v>
      </c>
      <c r="B94">
        <v>205</v>
      </c>
      <c r="C94">
        <f t="shared" si="7"/>
        <v>83.635949609999997</v>
      </c>
      <c r="D94">
        <f t="shared" si="8"/>
        <v>121.36405039</v>
      </c>
    </row>
    <row r="95" spans="1:4">
      <c r="A95">
        <v>94</v>
      </c>
      <c r="B95">
        <v>257</v>
      </c>
      <c r="C95">
        <f t="shared" si="7"/>
        <v>83.789992040000001</v>
      </c>
      <c r="D95">
        <f t="shared" si="8"/>
        <v>173.21000795999998</v>
      </c>
    </row>
    <row r="96" spans="1:4">
      <c r="A96">
        <v>95</v>
      </c>
      <c r="B96">
        <v>376</v>
      </c>
      <c r="C96">
        <f t="shared" si="7"/>
        <v>83.943732250000011</v>
      </c>
      <c r="D96">
        <f t="shared" si="8"/>
        <v>292.05626774999996</v>
      </c>
    </row>
    <row r="97" spans="1:7">
      <c r="A97">
        <v>96</v>
      </c>
      <c r="B97">
        <v>585</v>
      </c>
      <c r="C97">
        <f t="shared" si="7"/>
        <v>84.097170239999997</v>
      </c>
      <c r="D97">
        <f t="shared" si="8"/>
        <v>500.90282976000003</v>
      </c>
    </row>
    <row r="98" spans="1:7" ht="17.25">
      <c r="A98">
        <v>97</v>
      </c>
      <c r="B98">
        <v>769</v>
      </c>
      <c r="C98">
        <f t="shared" si="7"/>
        <v>84.250306010000003</v>
      </c>
      <c r="D98">
        <f t="shared" si="8"/>
        <v>684.74969398999997</v>
      </c>
      <c r="F98">
        <v>97.5</v>
      </c>
      <c r="G98" t="s">
        <v>13</v>
      </c>
    </row>
    <row r="99" spans="1:7">
      <c r="A99">
        <v>98</v>
      </c>
      <c r="B99">
        <v>730</v>
      </c>
      <c r="C99">
        <f t="shared" si="7"/>
        <v>84.40313956</v>
      </c>
      <c r="D99">
        <f t="shared" si="8"/>
        <v>645.59686044</v>
      </c>
    </row>
    <row r="100" spans="1:7">
      <c r="A100">
        <v>99</v>
      </c>
      <c r="B100">
        <v>536</v>
      </c>
      <c r="C100">
        <f t="shared" si="7"/>
        <v>84.555670890000002</v>
      </c>
      <c r="D100">
        <f t="shared" si="8"/>
        <v>451.44432911000001</v>
      </c>
    </row>
    <row r="101" spans="1:7">
      <c r="A101">
        <v>100</v>
      </c>
      <c r="B101">
        <v>325</v>
      </c>
      <c r="C101">
        <f t="shared" si="7"/>
        <v>84.707900000000009</v>
      </c>
      <c r="D101">
        <f t="shared" si="8"/>
        <v>240.2921</v>
      </c>
    </row>
    <row r="102" spans="1:7">
      <c r="A102">
        <v>101</v>
      </c>
      <c r="B102">
        <v>240</v>
      </c>
      <c r="C102">
        <f t="shared" si="7"/>
        <v>84.859826889999994</v>
      </c>
      <c r="D102">
        <f t="shared" si="8"/>
        <v>155.14017311000001</v>
      </c>
    </row>
    <row r="103" spans="1:7">
      <c r="A103">
        <v>102</v>
      </c>
      <c r="B103">
        <v>214</v>
      </c>
      <c r="C103">
        <f t="shared" si="7"/>
        <v>85.011451560000012</v>
      </c>
      <c r="D103">
        <f t="shared" si="8"/>
        <v>128.98854843999999</v>
      </c>
    </row>
    <row r="104" spans="1:7">
      <c r="A104">
        <v>103</v>
      </c>
      <c r="B104">
        <v>208</v>
      </c>
      <c r="C104">
        <f t="shared" si="7"/>
        <v>85.162774010000007</v>
      </c>
      <c r="D104">
        <f t="shared" si="8"/>
        <v>122.83722598999999</v>
      </c>
    </row>
    <row r="105" spans="1:7">
      <c r="A105">
        <v>104</v>
      </c>
      <c r="B105">
        <v>254</v>
      </c>
      <c r="C105">
        <f t="shared" si="7"/>
        <v>85.313794240000007</v>
      </c>
      <c r="D105">
        <f t="shared" si="8"/>
        <v>168.68620576000001</v>
      </c>
    </row>
    <row r="106" spans="1:7">
      <c r="A106">
        <v>105</v>
      </c>
      <c r="B106">
        <v>340</v>
      </c>
      <c r="C106">
        <f t="shared" si="7"/>
        <v>85.464512250000013</v>
      </c>
      <c r="D106">
        <f t="shared" si="8"/>
        <v>254.53548774999999</v>
      </c>
    </row>
    <row r="107" spans="1:7">
      <c r="A107">
        <v>106</v>
      </c>
      <c r="B107">
        <v>436</v>
      </c>
      <c r="C107">
        <f t="shared" si="7"/>
        <v>85.614928039999995</v>
      </c>
      <c r="D107">
        <f t="shared" si="8"/>
        <v>350.38507196</v>
      </c>
    </row>
    <row r="108" spans="1:7">
      <c r="A108">
        <v>107</v>
      </c>
      <c r="B108">
        <v>526</v>
      </c>
      <c r="C108">
        <f t="shared" si="7"/>
        <v>85.765041609999997</v>
      </c>
      <c r="D108">
        <f t="shared" si="8"/>
        <v>440.23495838999997</v>
      </c>
    </row>
    <row r="109" spans="1:7">
      <c r="A109">
        <v>108</v>
      </c>
      <c r="B109">
        <v>582</v>
      </c>
      <c r="C109">
        <f t="shared" si="7"/>
        <v>85.914852960000005</v>
      </c>
      <c r="D109">
        <f t="shared" si="8"/>
        <v>496.08514703999998</v>
      </c>
    </row>
    <row r="110" spans="1:7">
      <c r="A110">
        <v>109</v>
      </c>
      <c r="B110">
        <v>597</v>
      </c>
      <c r="C110">
        <f t="shared" si="7"/>
        <v>86.064362090000003</v>
      </c>
      <c r="D110">
        <f t="shared" si="8"/>
        <v>510.93563790999997</v>
      </c>
    </row>
    <row r="111" spans="1:7">
      <c r="A111">
        <v>110</v>
      </c>
      <c r="B111">
        <v>552</v>
      </c>
      <c r="C111">
        <f t="shared" si="7"/>
        <v>86.213569000000007</v>
      </c>
      <c r="D111">
        <f t="shared" si="8"/>
        <v>465.78643099999999</v>
      </c>
    </row>
    <row r="112" spans="1:7">
      <c r="A112">
        <v>111</v>
      </c>
      <c r="B112">
        <v>452</v>
      </c>
      <c r="C112">
        <f t="shared" si="7"/>
        <v>86.362473690000002</v>
      </c>
      <c r="D112">
        <f t="shared" si="8"/>
        <v>365.63752631</v>
      </c>
    </row>
    <row r="113" spans="1:4">
      <c r="A113">
        <v>112</v>
      </c>
      <c r="B113">
        <v>398</v>
      </c>
      <c r="C113">
        <f t="shared" si="7"/>
        <v>86.511076160000002</v>
      </c>
      <c r="D113">
        <f t="shared" si="8"/>
        <v>311.48892383999998</v>
      </c>
    </row>
    <row r="114" spans="1:4">
      <c r="A114">
        <v>113</v>
      </c>
      <c r="B114">
        <v>399</v>
      </c>
      <c r="C114">
        <f t="shared" si="7"/>
        <v>86.659376410000007</v>
      </c>
      <c r="D114">
        <f t="shared" si="8"/>
        <v>312.34062359000001</v>
      </c>
    </row>
    <row r="115" spans="1:4">
      <c r="A115">
        <v>114</v>
      </c>
      <c r="B115">
        <v>408</v>
      </c>
      <c r="C115">
        <f t="shared" si="7"/>
        <v>86.807374440000004</v>
      </c>
      <c r="D115">
        <f t="shared" si="8"/>
        <v>321.19262556000001</v>
      </c>
    </row>
    <row r="116" spans="1:4">
      <c r="A116">
        <v>115</v>
      </c>
      <c r="B116">
        <v>370</v>
      </c>
      <c r="C116">
        <f t="shared" si="7"/>
        <v>86.955070250000006</v>
      </c>
      <c r="D116">
        <f t="shared" si="8"/>
        <v>283.04492974999999</v>
      </c>
    </row>
    <row r="117" spans="1:4">
      <c r="A117">
        <v>116</v>
      </c>
      <c r="B117">
        <v>303</v>
      </c>
      <c r="C117">
        <f t="shared" si="7"/>
        <v>87.102463839999999</v>
      </c>
      <c r="D117">
        <f t="shared" si="8"/>
        <v>215.89753616000002</v>
      </c>
    </row>
    <row r="118" spans="1:4">
      <c r="A118">
        <v>117</v>
      </c>
      <c r="B118">
        <v>256</v>
      </c>
      <c r="C118">
        <f t="shared" si="7"/>
        <v>87.249555210000011</v>
      </c>
      <c r="D118">
        <f t="shared" si="8"/>
        <v>168.75044478999999</v>
      </c>
    </row>
    <row r="119" spans="1:4">
      <c r="A119">
        <v>118</v>
      </c>
      <c r="B119">
        <v>248</v>
      </c>
      <c r="C119">
        <f t="shared" si="7"/>
        <v>87.396344360000001</v>
      </c>
      <c r="D119">
        <f t="shared" si="8"/>
        <v>160.60365564</v>
      </c>
    </row>
    <row r="120" spans="1:4">
      <c r="A120">
        <v>119</v>
      </c>
      <c r="B120">
        <v>297</v>
      </c>
      <c r="C120">
        <f t="shared" si="7"/>
        <v>87.542831290000009</v>
      </c>
      <c r="D120">
        <f t="shared" si="8"/>
        <v>209.45716870999999</v>
      </c>
    </row>
    <row r="121" spans="1:4">
      <c r="A121">
        <v>120</v>
      </c>
      <c r="B121">
        <v>371</v>
      </c>
      <c r="C121">
        <f t="shared" si="7"/>
        <v>87.689016000000009</v>
      </c>
      <c r="D121">
        <f t="shared" si="8"/>
        <v>283.31098399999996</v>
      </c>
    </row>
    <row r="122" spans="1:4">
      <c r="A122">
        <v>121</v>
      </c>
      <c r="B122">
        <v>465</v>
      </c>
      <c r="C122">
        <f t="shared" si="7"/>
        <v>87.83489849</v>
      </c>
      <c r="D122">
        <f t="shared" si="8"/>
        <v>377.16510151</v>
      </c>
    </row>
    <row r="123" spans="1:4">
      <c r="A123">
        <v>122</v>
      </c>
      <c r="B123">
        <v>508</v>
      </c>
      <c r="C123">
        <f t="shared" si="7"/>
        <v>87.980478759999997</v>
      </c>
      <c r="D123">
        <f t="shared" si="8"/>
        <v>420.01952124000002</v>
      </c>
    </row>
    <row r="124" spans="1:4">
      <c r="A124">
        <v>123</v>
      </c>
      <c r="B124">
        <v>473</v>
      </c>
      <c r="C124">
        <f t="shared" si="7"/>
        <v>88.125756809999999</v>
      </c>
      <c r="D124">
        <f t="shared" si="8"/>
        <v>384.87424319000002</v>
      </c>
    </row>
    <row r="125" spans="1:4">
      <c r="A125">
        <v>124</v>
      </c>
      <c r="B125">
        <v>432</v>
      </c>
      <c r="C125">
        <f t="shared" si="7"/>
        <v>88.270732640000006</v>
      </c>
      <c r="D125">
        <f t="shared" si="8"/>
        <v>343.72926735999999</v>
      </c>
    </row>
    <row r="126" spans="1:4">
      <c r="A126">
        <v>125</v>
      </c>
      <c r="B126">
        <v>430</v>
      </c>
      <c r="C126">
        <f t="shared" si="7"/>
        <v>88.415406250000004</v>
      </c>
      <c r="D126">
        <f t="shared" si="8"/>
        <v>341.58459375000001</v>
      </c>
    </row>
    <row r="127" spans="1:4">
      <c r="A127">
        <v>126</v>
      </c>
      <c r="B127">
        <v>577</v>
      </c>
      <c r="C127">
        <f t="shared" si="7"/>
        <v>88.559777640000007</v>
      </c>
      <c r="D127">
        <f t="shared" si="8"/>
        <v>488.44022236000001</v>
      </c>
    </row>
    <row r="128" spans="1:4">
      <c r="A128">
        <v>127</v>
      </c>
      <c r="B128">
        <v>860</v>
      </c>
      <c r="C128">
        <f t="shared" si="7"/>
        <v>88.703846810000002</v>
      </c>
      <c r="D128">
        <f t="shared" si="8"/>
        <v>771.29615319000004</v>
      </c>
    </row>
    <row r="129" spans="1:7" ht="17.25">
      <c r="A129">
        <v>128</v>
      </c>
      <c r="B129">
        <v>1175</v>
      </c>
      <c r="C129">
        <f t="shared" si="7"/>
        <v>88.847613760000002</v>
      </c>
      <c r="D129">
        <f t="shared" si="8"/>
        <v>1086.1523862399999</v>
      </c>
      <c r="F129">
        <v>128.5</v>
      </c>
      <c r="G129" t="s">
        <v>14</v>
      </c>
    </row>
    <row r="130" spans="1:7">
      <c r="A130">
        <v>129</v>
      </c>
      <c r="B130">
        <v>1199</v>
      </c>
      <c r="C130">
        <f t="shared" ref="C130:C193" si="9" xml:space="preserve"> -0.00015111*A130*A130 + 0.1823*A130 + 67.989</f>
        <v>88.991078490000007</v>
      </c>
      <c r="D130">
        <f t="shared" ref="D130:D193" si="10">B130-C130</f>
        <v>1110.0089215099999</v>
      </c>
    </row>
    <row r="131" spans="1:7">
      <c r="A131">
        <v>130</v>
      </c>
      <c r="B131">
        <v>979</v>
      </c>
      <c r="C131">
        <f t="shared" si="9"/>
        <v>89.134241000000003</v>
      </c>
      <c r="D131">
        <f t="shared" si="10"/>
        <v>889.86575900000003</v>
      </c>
    </row>
    <row r="132" spans="1:7">
      <c r="A132">
        <v>131</v>
      </c>
      <c r="B132">
        <v>663</v>
      </c>
      <c r="C132">
        <f t="shared" si="9"/>
        <v>89.277101290000004</v>
      </c>
      <c r="D132">
        <f t="shared" si="10"/>
        <v>573.72289870999998</v>
      </c>
    </row>
    <row r="133" spans="1:7">
      <c r="A133">
        <v>132</v>
      </c>
      <c r="B133">
        <v>446</v>
      </c>
      <c r="C133">
        <f t="shared" si="9"/>
        <v>89.419659359999997</v>
      </c>
      <c r="D133">
        <f t="shared" si="10"/>
        <v>356.58034064000003</v>
      </c>
    </row>
    <row r="134" spans="1:7">
      <c r="A134">
        <v>133</v>
      </c>
      <c r="B134">
        <v>324</v>
      </c>
      <c r="C134">
        <f t="shared" si="9"/>
        <v>89.561915209999995</v>
      </c>
      <c r="D134">
        <f t="shared" si="10"/>
        <v>234.43808479</v>
      </c>
    </row>
    <row r="135" spans="1:7">
      <c r="A135">
        <v>134</v>
      </c>
      <c r="B135">
        <v>240</v>
      </c>
      <c r="C135">
        <f t="shared" si="9"/>
        <v>89.703868840000013</v>
      </c>
      <c r="D135">
        <f t="shared" si="10"/>
        <v>150.29613115999999</v>
      </c>
    </row>
    <row r="136" spans="1:7">
      <c r="A136">
        <v>135</v>
      </c>
      <c r="B136">
        <v>192</v>
      </c>
      <c r="C136">
        <f t="shared" si="9"/>
        <v>89.845520250000007</v>
      </c>
      <c r="D136">
        <f t="shared" si="10"/>
        <v>102.15447974999999</v>
      </c>
    </row>
    <row r="137" spans="1:7">
      <c r="A137">
        <v>136</v>
      </c>
      <c r="B137">
        <v>161</v>
      </c>
      <c r="C137">
        <f t="shared" si="9"/>
        <v>89.986869440000007</v>
      </c>
      <c r="D137">
        <f t="shared" si="10"/>
        <v>71.013130559999993</v>
      </c>
    </row>
    <row r="138" spans="1:7">
      <c r="A138">
        <v>137</v>
      </c>
      <c r="B138">
        <v>135</v>
      </c>
      <c r="C138">
        <f t="shared" si="9"/>
        <v>90.127916409999997</v>
      </c>
      <c r="D138">
        <f t="shared" si="10"/>
        <v>44.872083590000003</v>
      </c>
    </row>
    <row r="139" spans="1:7">
      <c r="A139">
        <v>138</v>
      </c>
      <c r="B139">
        <v>123</v>
      </c>
      <c r="C139">
        <f t="shared" si="9"/>
        <v>90.268661160000008</v>
      </c>
      <c r="D139">
        <f t="shared" si="10"/>
        <v>32.731338839999992</v>
      </c>
    </row>
    <row r="140" spans="1:7">
      <c r="A140">
        <v>139</v>
      </c>
      <c r="B140">
        <v>125</v>
      </c>
      <c r="C140">
        <f t="shared" si="9"/>
        <v>90.409103689999995</v>
      </c>
      <c r="D140">
        <f t="shared" si="10"/>
        <v>34.590896310000005</v>
      </c>
    </row>
    <row r="141" spans="1:7">
      <c r="A141">
        <v>140</v>
      </c>
      <c r="B141">
        <v>129</v>
      </c>
      <c r="C141">
        <f t="shared" si="9"/>
        <v>90.549244000000002</v>
      </c>
      <c r="D141">
        <f t="shared" si="10"/>
        <v>38.450755999999998</v>
      </c>
    </row>
    <row r="142" spans="1:7">
      <c r="A142">
        <v>141</v>
      </c>
      <c r="B142">
        <v>148</v>
      </c>
      <c r="C142">
        <f t="shared" si="9"/>
        <v>90.689082089999999</v>
      </c>
      <c r="D142">
        <f t="shared" si="10"/>
        <v>57.310917910000001</v>
      </c>
    </row>
    <row r="143" spans="1:7">
      <c r="A143">
        <v>142</v>
      </c>
      <c r="B143">
        <v>208</v>
      </c>
      <c r="C143">
        <f t="shared" si="9"/>
        <v>90.828617960000003</v>
      </c>
      <c r="D143">
        <f t="shared" si="10"/>
        <v>117.17138204</v>
      </c>
    </row>
    <row r="144" spans="1:7">
      <c r="A144">
        <v>143</v>
      </c>
      <c r="B144">
        <v>338</v>
      </c>
      <c r="C144">
        <f t="shared" si="9"/>
        <v>90.967851609999997</v>
      </c>
      <c r="D144">
        <f t="shared" si="10"/>
        <v>247.03214839</v>
      </c>
    </row>
    <row r="145" spans="1:7">
      <c r="A145">
        <v>144</v>
      </c>
      <c r="B145">
        <v>502</v>
      </c>
      <c r="C145">
        <f t="shared" si="9"/>
        <v>91.106783039999996</v>
      </c>
      <c r="D145">
        <f t="shared" si="10"/>
        <v>410.89321696000002</v>
      </c>
    </row>
    <row r="146" spans="1:7" ht="17.25">
      <c r="A146">
        <v>145</v>
      </c>
      <c r="B146">
        <v>578</v>
      </c>
      <c r="C146">
        <f t="shared" si="9"/>
        <v>91.245412250000001</v>
      </c>
      <c r="D146">
        <f t="shared" si="10"/>
        <v>486.75458774999998</v>
      </c>
      <c r="F146">
        <v>145</v>
      </c>
      <c r="G146" t="s">
        <v>15</v>
      </c>
    </row>
    <row r="147" spans="1:7">
      <c r="A147">
        <v>146</v>
      </c>
      <c r="B147">
        <v>468</v>
      </c>
      <c r="C147">
        <f t="shared" si="9"/>
        <v>91.383739240000011</v>
      </c>
      <c r="D147">
        <f t="shared" si="10"/>
        <v>376.61626075999999</v>
      </c>
    </row>
    <row r="148" spans="1:7">
      <c r="A148">
        <v>147</v>
      </c>
      <c r="B148">
        <v>282</v>
      </c>
      <c r="C148">
        <f t="shared" si="9"/>
        <v>91.521764009999998</v>
      </c>
      <c r="D148">
        <f t="shared" si="10"/>
        <v>190.47823599</v>
      </c>
    </row>
    <row r="149" spans="1:7">
      <c r="A149">
        <v>148</v>
      </c>
      <c r="B149">
        <v>189</v>
      </c>
      <c r="C149">
        <f t="shared" si="9"/>
        <v>91.659486560000005</v>
      </c>
      <c r="D149">
        <f t="shared" si="10"/>
        <v>97.340513439999995</v>
      </c>
    </row>
    <row r="150" spans="1:7">
      <c r="A150">
        <v>149</v>
      </c>
      <c r="B150">
        <v>153</v>
      </c>
      <c r="C150">
        <f t="shared" si="9"/>
        <v>91.796906890000002</v>
      </c>
      <c r="D150">
        <f t="shared" si="10"/>
        <v>61.203093109999998</v>
      </c>
    </row>
    <row r="151" spans="1:7">
      <c r="A151">
        <v>150</v>
      </c>
      <c r="B151">
        <v>142</v>
      </c>
      <c r="C151">
        <f t="shared" si="9"/>
        <v>91.934025000000005</v>
      </c>
      <c r="D151">
        <f t="shared" si="10"/>
        <v>50.065974999999995</v>
      </c>
    </row>
    <row r="152" spans="1:7">
      <c r="A152">
        <v>151</v>
      </c>
      <c r="B152">
        <v>151</v>
      </c>
      <c r="C152">
        <f t="shared" si="9"/>
        <v>92.070840889999999</v>
      </c>
      <c r="D152">
        <f t="shared" si="10"/>
        <v>58.929159110000001</v>
      </c>
    </row>
    <row r="153" spans="1:7">
      <c r="A153">
        <v>152</v>
      </c>
      <c r="B153">
        <v>150</v>
      </c>
      <c r="C153">
        <f t="shared" si="9"/>
        <v>92.207354559999999</v>
      </c>
      <c r="D153">
        <f t="shared" si="10"/>
        <v>57.792645440000001</v>
      </c>
    </row>
    <row r="154" spans="1:7">
      <c r="A154">
        <v>153</v>
      </c>
      <c r="B154">
        <v>144</v>
      </c>
      <c r="C154">
        <f t="shared" si="9"/>
        <v>92.343566010000004</v>
      </c>
      <c r="D154">
        <f t="shared" si="10"/>
        <v>51.656433989999996</v>
      </c>
    </row>
    <row r="155" spans="1:7">
      <c r="A155">
        <v>154</v>
      </c>
      <c r="B155">
        <v>145</v>
      </c>
      <c r="C155">
        <f t="shared" si="9"/>
        <v>92.479475239999999</v>
      </c>
      <c r="D155">
        <f t="shared" si="10"/>
        <v>52.520524760000001</v>
      </c>
    </row>
    <row r="156" spans="1:7">
      <c r="A156">
        <v>155</v>
      </c>
      <c r="B156">
        <v>124</v>
      </c>
      <c r="C156">
        <f t="shared" si="9"/>
        <v>92.61508225</v>
      </c>
      <c r="D156">
        <f t="shared" si="10"/>
        <v>31.38491775</v>
      </c>
    </row>
    <row r="157" spans="1:7">
      <c r="A157">
        <v>156</v>
      </c>
      <c r="B157">
        <v>117</v>
      </c>
      <c r="C157">
        <f t="shared" si="9"/>
        <v>92.750387039999993</v>
      </c>
      <c r="D157">
        <f t="shared" si="10"/>
        <v>24.249612960000007</v>
      </c>
    </row>
    <row r="158" spans="1:7">
      <c r="A158">
        <v>157</v>
      </c>
      <c r="B158">
        <v>123</v>
      </c>
      <c r="C158">
        <f t="shared" si="9"/>
        <v>92.885389610000004</v>
      </c>
      <c r="D158">
        <f t="shared" si="10"/>
        <v>30.114610389999996</v>
      </c>
    </row>
    <row r="159" spans="1:7">
      <c r="A159">
        <v>158</v>
      </c>
      <c r="B159">
        <v>135</v>
      </c>
      <c r="C159">
        <f t="shared" si="9"/>
        <v>93.020089960000007</v>
      </c>
      <c r="D159">
        <f t="shared" si="10"/>
        <v>41.979910039999993</v>
      </c>
    </row>
    <row r="160" spans="1:7">
      <c r="A160">
        <v>159</v>
      </c>
      <c r="B160">
        <v>159</v>
      </c>
      <c r="C160">
        <f t="shared" si="9"/>
        <v>93.154488090000001</v>
      </c>
      <c r="D160">
        <f t="shared" si="10"/>
        <v>65.845511909999999</v>
      </c>
    </row>
    <row r="161" spans="1:4">
      <c r="A161">
        <v>160</v>
      </c>
      <c r="B161">
        <v>203</v>
      </c>
      <c r="C161">
        <f t="shared" si="9"/>
        <v>93.288584</v>
      </c>
      <c r="D161">
        <f t="shared" si="10"/>
        <v>109.711416</v>
      </c>
    </row>
    <row r="162" spans="1:4">
      <c r="A162">
        <v>161</v>
      </c>
      <c r="B162">
        <v>228</v>
      </c>
      <c r="C162">
        <f t="shared" si="9"/>
        <v>93.422377690000005</v>
      </c>
      <c r="D162">
        <f t="shared" si="10"/>
        <v>134.57762230999998</v>
      </c>
    </row>
    <row r="163" spans="1:4">
      <c r="A163">
        <v>162</v>
      </c>
      <c r="B163">
        <v>250</v>
      </c>
      <c r="C163">
        <f t="shared" si="9"/>
        <v>93.55586916</v>
      </c>
      <c r="D163">
        <f t="shared" si="10"/>
        <v>156.44413084000001</v>
      </c>
    </row>
    <row r="164" spans="1:4">
      <c r="A164">
        <v>163</v>
      </c>
      <c r="B164">
        <v>258</v>
      </c>
      <c r="C164">
        <f t="shared" si="9"/>
        <v>93.689058410000001</v>
      </c>
      <c r="D164">
        <f t="shared" si="10"/>
        <v>164.31094159</v>
      </c>
    </row>
    <row r="165" spans="1:4">
      <c r="A165">
        <v>164</v>
      </c>
      <c r="B165">
        <v>262</v>
      </c>
      <c r="C165">
        <f t="shared" si="9"/>
        <v>93.821945440000007</v>
      </c>
      <c r="D165">
        <f t="shared" si="10"/>
        <v>168.17805455999999</v>
      </c>
    </row>
    <row r="166" spans="1:4">
      <c r="A166">
        <v>165</v>
      </c>
      <c r="B166">
        <v>306</v>
      </c>
      <c r="C166">
        <f t="shared" si="9"/>
        <v>93.954530250000005</v>
      </c>
      <c r="D166">
        <f t="shared" si="10"/>
        <v>212.04546975</v>
      </c>
    </row>
    <row r="167" spans="1:4">
      <c r="A167">
        <v>166</v>
      </c>
      <c r="B167">
        <v>346</v>
      </c>
      <c r="C167">
        <f t="shared" si="9"/>
        <v>94.086812839999993</v>
      </c>
      <c r="D167">
        <f t="shared" si="10"/>
        <v>251.91318716000001</v>
      </c>
    </row>
    <row r="168" spans="1:4">
      <c r="A168">
        <v>167</v>
      </c>
      <c r="B168">
        <v>383</v>
      </c>
      <c r="C168">
        <f t="shared" si="9"/>
        <v>94.218793210000001</v>
      </c>
      <c r="D168">
        <f t="shared" si="10"/>
        <v>288.78120679</v>
      </c>
    </row>
    <row r="169" spans="1:4">
      <c r="A169">
        <v>168</v>
      </c>
      <c r="B169">
        <v>389</v>
      </c>
      <c r="C169">
        <f t="shared" si="9"/>
        <v>94.35047136</v>
      </c>
      <c r="D169">
        <f t="shared" si="10"/>
        <v>294.64952863999997</v>
      </c>
    </row>
    <row r="170" spans="1:4">
      <c r="A170">
        <v>169</v>
      </c>
      <c r="B170">
        <v>367</v>
      </c>
      <c r="C170">
        <f t="shared" si="9"/>
        <v>94.481847290000005</v>
      </c>
      <c r="D170">
        <f t="shared" si="10"/>
        <v>272.51815270999998</v>
      </c>
    </row>
    <row r="171" spans="1:4">
      <c r="A171">
        <v>170</v>
      </c>
      <c r="B171">
        <v>366</v>
      </c>
      <c r="C171">
        <f t="shared" si="9"/>
        <v>94.612921</v>
      </c>
      <c r="D171">
        <f t="shared" si="10"/>
        <v>271.38707899999997</v>
      </c>
    </row>
    <row r="172" spans="1:4">
      <c r="A172">
        <v>171</v>
      </c>
      <c r="B172">
        <v>376</v>
      </c>
      <c r="C172">
        <f t="shared" si="9"/>
        <v>94.743692490000001</v>
      </c>
      <c r="D172">
        <f t="shared" si="10"/>
        <v>281.25630751</v>
      </c>
    </row>
    <row r="173" spans="1:4">
      <c r="A173">
        <v>172</v>
      </c>
      <c r="B173">
        <v>383</v>
      </c>
      <c r="C173">
        <f t="shared" si="9"/>
        <v>94.874161760000007</v>
      </c>
      <c r="D173">
        <f t="shared" si="10"/>
        <v>288.12583824000001</v>
      </c>
    </row>
    <row r="174" spans="1:4">
      <c r="A174">
        <v>173</v>
      </c>
      <c r="B174">
        <v>388</v>
      </c>
      <c r="C174">
        <f t="shared" si="9"/>
        <v>95.004328810000004</v>
      </c>
      <c r="D174">
        <f t="shared" si="10"/>
        <v>292.99567119</v>
      </c>
    </row>
    <row r="175" spans="1:4">
      <c r="A175">
        <v>174</v>
      </c>
      <c r="B175">
        <v>385</v>
      </c>
      <c r="C175">
        <f t="shared" si="9"/>
        <v>95.134193640000007</v>
      </c>
      <c r="D175">
        <f t="shared" si="10"/>
        <v>289.86580635999997</v>
      </c>
    </row>
    <row r="176" spans="1:4">
      <c r="A176">
        <v>175</v>
      </c>
      <c r="B176">
        <v>352</v>
      </c>
      <c r="C176">
        <f t="shared" si="9"/>
        <v>95.26375625</v>
      </c>
      <c r="D176">
        <f t="shared" si="10"/>
        <v>256.73624374999997</v>
      </c>
    </row>
    <row r="177" spans="1:7">
      <c r="A177">
        <v>176</v>
      </c>
      <c r="B177">
        <v>326</v>
      </c>
      <c r="C177">
        <f t="shared" si="9"/>
        <v>95.393016640000013</v>
      </c>
      <c r="D177">
        <f t="shared" si="10"/>
        <v>230.60698335999999</v>
      </c>
    </row>
    <row r="178" spans="1:7">
      <c r="A178">
        <v>177</v>
      </c>
      <c r="B178">
        <v>335</v>
      </c>
      <c r="C178">
        <f t="shared" si="9"/>
        <v>95.521974810000003</v>
      </c>
      <c r="D178">
        <f t="shared" si="10"/>
        <v>239.47802518999998</v>
      </c>
    </row>
    <row r="179" spans="1:7">
      <c r="A179">
        <v>178</v>
      </c>
      <c r="B179">
        <v>345</v>
      </c>
      <c r="C179">
        <f t="shared" si="9"/>
        <v>95.650630759999999</v>
      </c>
      <c r="D179">
        <f t="shared" si="10"/>
        <v>249.34936923999999</v>
      </c>
    </row>
    <row r="180" spans="1:7">
      <c r="A180">
        <v>179</v>
      </c>
      <c r="B180">
        <v>410</v>
      </c>
      <c r="C180">
        <f t="shared" si="9"/>
        <v>95.778984489999999</v>
      </c>
      <c r="D180">
        <f t="shared" si="10"/>
        <v>314.22101551000003</v>
      </c>
    </row>
    <row r="181" spans="1:7">
      <c r="A181">
        <v>180</v>
      </c>
      <c r="B181">
        <v>666</v>
      </c>
      <c r="C181">
        <f t="shared" si="9"/>
        <v>95.907036000000005</v>
      </c>
      <c r="D181">
        <f t="shared" si="10"/>
        <v>570.09296399999994</v>
      </c>
    </row>
    <row r="182" spans="1:7">
      <c r="A182">
        <v>181</v>
      </c>
      <c r="B182">
        <v>1071</v>
      </c>
      <c r="C182">
        <f t="shared" si="9"/>
        <v>96.034785290000002</v>
      </c>
      <c r="D182">
        <f t="shared" si="10"/>
        <v>974.96521471000005</v>
      </c>
    </row>
    <row r="183" spans="1:7" ht="17.25">
      <c r="A183">
        <v>182</v>
      </c>
      <c r="B183">
        <v>1437</v>
      </c>
      <c r="C183">
        <f t="shared" si="9"/>
        <v>96.162232360000004</v>
      </c>
      <c r="D183">
        <f t="shared" si="10"/>
        <v>1340.83776764</v>
      </c>
      <c r="F183">
        <v>182.5</v>
      </c>
      <c r="G183" t="s">
        <v>16</v>
      </c>
    </row>
    <row r="184" spans="1:7">
      <c r="A184">
        <v>183</v>
      </c>
      <c r="B184">
        <v>1329</v>
      </c>
      <c r="C184">
        <f t="shared" si="9"/>
        <v>96.289377209999998</v>
      </c>
      <c r="D184">
        <f t="shared" si="10"/>
        <v>1232.7106227899999</v>
      </c>
    </row>
    <row r="185" spans="1:7">
      <c r="A185">
        <v>184</v>
      </c>
      <c r="B185">
        <v>922</v>
      </c>
      <c r="C185">
        <f t="shared" si="9"/>
        <v>96.416219839999997</v>
      </c>
      <c r="D185">
        <f t="shared" si="10"/>
        <v>825.58378016000006</v>
      </c>
    </row>
    <row r="186" spans="1:7">
      <c r="A186">
        <v>185</v>
      </c>
      <c r="B186">
        <v>522</v>
      </c>
      <c r="C186">
        <f t="shared" si="9"/>
        <v>96.542760250000001</v>
      </c>
      <c r="D186">
        <f t="shared" si="10"/>
        <v>425.45723974999999</v>
      </c>
    </row>
    <row r="187" spans="1:7">
      <c r="A187">
        <v>186</v>
      </c>
      <c r="B187">
        <v>377</v>
      </c>
      <c r="C187">
        <f t="shared" si="9"/>
        <v>96.668998439999996</v>
      </c>
      <c r="D187">
        <f t="shared" si="10"/>
        <v>280.33100156</v>
      </c>
    </row>
    <row r="188" spans="1:7">
      <c r="A188">
        <v>187</v>
      </c>
      <c r="B188">
        <v>343</v>
      </c>
      <c r="C188">
        <f t="shared" si="9"/>
        <v>96.794934409999996</v>
      </c>
      <c r="D188">
        <f t="shared" si="10"/>
        <v>246.20506559</v>
      </c>
    </row>
    <row r="189" spans="1:7">
      <c r="A189">
        <v>188</v>
      </c>
      <c r="B189">
        <v>317</v>
      </c>
      <c r="C189">
        <f t="shared" si="9"/>
        <v>96.920568160000002</v>
      </c>
      <c r="D189">
        <f t="shared" si="10"/>
        <v>220.07943183999998</v>
      </c>
    </row>
    <row r="190" spans="1:7">
      <c r="A190">
        <v>189</v>
      </c>
      <c r="B190">
        <v>294</v>
      </c>
      <c r="C190">
        <f t="shared" si="9"/>
        <v>97.045899689999999</v>
      </c>
      <c r="D190">
        <f t="shared" si="10"/>
        <v>196.95410031</v>
      </c>
    </row>
    <row r="191" spans="1:7">
      <c r="A191">
        <v>190</v>
      </c>
      <c r="B191">
        <v>290</v>
      </c>
      <c r="C191">
        <f t="shared" si="9"/>
        <v>97.170929000000001</v>
      </c>
      <c r="D191">
        <f t="shared" si="10"/>
        <v>192.829071</v>
      </c>
    </row>
    <row r="192" spans="1:7">
      <c r="A192">
        <v>191</v>
      </c>
      <c r="B192">
        <v>302</v>
      </c>
      <c r="C192">
        <f t="shared" si="9"/>
        <v>97.295656089999994</v>
      </c>
      <c r="D192">
        <f t="shared" si="10"/>
        <v>204.70434391000001</v>
      </c>
    </row>
    <row r="193" spans="1:7">
      <c r="A193">
        <v>192</v>
      </c>
      <c r="B193">
        <v>358</v>
      </c>
      <c r="C193">
        <f t="shared" si="9"/>
        <v>97.420080960000007</v>
      </c>
      <c r="D193">
        <f t="shared" si="10"/>
        <v>260.57991903999999</v>
      </c>
    </row>
    <row r="194" spans="1:7">
      <c r="A194">
        <v>193</v>
      </c>
      <c r="B194">
        <v>516</v>
      </c>
      <c r="C194">
        <f t="shared" ref="C194:C257" si="11" xml:space="preserve"> -0.00015111*A194*A194 + 0.1823*A194 + 67.989</f>
        <v>97.544203610000011</v>
      </c>
      <c r="D194">
        <f t="shared" ref="D194:D257" si="12">B194-C194</f>
        <v>418.45579638999999</v>
      </c>
    </row>
    <row r="195" spans="1:7">
      <c r="A195">
        <v>194</v>
      </c>
      <c r="B195">
        <v>768</v>
      </c>
      <c r="C195">
        <f t="shared" si="11"/>
        <v>97.668024040000006</v>
      </c>
      <c r="D195">
        <f t="shared" si="12"/>
        <v>670.33197596000002</v>
      </c>
    </row>
    <row r="196" spans="1:7">
      <c r="A196">
        <v>195</v>
      </c>
      <c r="B196">
        <v>1035</v>
      </c>
      <c r="C196">
        <f t="shared" si="11"/>
        <v>97.791542249999992</v>
      </c>
      <c r="D196">
        <f t="shared" si="12"/>
        <v>937.20845774999998</v>
      </c>
    </row>
    <row r="197" spans="1:7" ht="17.25">
      <c r="A197">
        <v>196</v>
      </c>
      <c r="B197">
        <v>1136</v>
      </c>
      <c r="C197">
        <f t="shared" si="11"/>
        <v>97.914758239999998</v>
      </c>
      <c r="D197">
        <f t="shared" si="12"/>
        <v>1038.0852417599999</v>
      </c>
      <c r="F197">
        <v>196</v>
      </c>
      <c r="G197" t="s">
        <v>17</v>
      </c>
    </row>
    <row r="198" spans="1:7">
      <c r="A198">
        <v>197</v>
      </c>
      <c r="B198">
        <v>1026</v>
      </c>
      <c r="C198">
        <f t="shared" si="11"/>
        <v>98.037672010000009</v>
      </c>
      <c r="D198">
        <f t="shared" si="12"/>
        <v>927.96232798999995</v>
      </c>
    </row>
    <row r="199" spans="1:7">
      <c r="A199">
        <v>198</v>
      </c>
      <c r="B199">
        <v>784</v>
      </c>
      <c r="C199">
        <f t="shared" si="11"/>
        <v>98.160283560000011</v>
      </c>
      <c r="D199">
        <f t="shared" si="12"/>
        <v>685.83971643999996</v>
      </c>
    </row>
    <row r="200" spans="1:7">
      <c r="A200">
        <v>199</v>
      </c>
      <c r="B200">
        <v>564</v>
      </c>
      <c r="C200">
        <f t="shared" si="11"/>
        <v>98.282592890000004</v>
      </c>
      <c r="D200">
        <f t="shared" si="12"/>
        <v>465.71740711000001</v>
      </c>
    </row>
    <row r="201" spans="1:7">
      <c r="A201">
        <v>200</v>
      </c>
      <c r="B201">
        <v>431</v>
      </c>
      <c r="C201">
        <f t="shared" si="11"/>
        <v>98.404600000000002</v>
      </c>
      <c r="D201">
        <f t="shared" si="12"/>
        <v>332.59539999999998</v>
      </c>
    </row>
    <row r="202" spans="1:7">
      <c r="A202">
        <v>201</v>
      </c>
      <c r="B202">
        <v>454</v>
      </c>
      <c r="C202">
        <f t="shared" si="11"/>
        <v>98.526304890000006</v>
      </c>
      <c r="D202">
        <f t="shared" si="12"/>
        <v>355.47369510999999</v>
      </c>
    </row>
    <row r="203" spans="1:7">
      <c r="A203">
        <v>202</v>
      </c>
      <c r="B203">
        <v>680</v>
      </c>
      <c r="C203">
        <f t="shared" si="11"/>
        <v>98.647707560000001</v>
      </c>
      <c r="D203">
        <f t="shared" si="12"/>
        <v>581.35229244000004</v>
      </c>
    </row>
    <row r="204" spans="1:7">
      <c r="A204">
        <v>203</v>
      </c>
      <c r="B204">
        <v>1209</v>
      </c>
      <c r="C204">
        <f t="shared" si="11"/>
        <v>98.768808010000001</v>
      </c>
      <c r="D204">
        <f t="shared" si="12"/>
        <v>1110.2311919900001</v>
      </c>
    </row>
    <row r="205" spans="1:7" ht="17.25">
      <c r="A205">
        <v>204</v>
      </c>
      <c r="B205">
        <v>1813</v>
      </c>
      <c r="C205">
        <f t="shared" si="11"/>
        <v>98.889606240000006</v>
      </c>
      <c r="D205">
        <f t="shared" si="12"/>
        <v>1714.1103937600001</v>
      </c>
      <c r="F205">
        <v>204.5</v>
      </c>
      <c r="G205" t="s">
        <v>18</v>
      </c>
    </row>
    <row r="206" spans="1:7">
      <c r="A206">
        <v>205</v>
      </c>
      <c r="B206">
        <v>1907</v>
      </c>
      <c r="C206">
        <f t="shared" si="11"/>
        <v>99.010102250000003</v>
      </c>
      <c r="D206">
        <f t="shared" si="12"/>
        <v>1807.98989775</v>
      </c>
    </row>
    <row r="207" spans="1:7">
      <c r="A207">
        <v>206</v>
      </c>
      <c r="B207">
        <v>1397</v>
      </c>
      <c r="C207">
        <f t="shared" si="11"/>
        <v>99.13029603999999</v>
      </c>
      <c r="D207">
        <f t="shared" si="12"/>
        <v>1297.8697039599999</v>
      </c>
    </row>
    <row r="208" spans="1:7">
      <c r="A208">
        <v>207</v>
      </c>
      <c r="B208">
        <v>755</v>
      </c>
      <c r="C208">
        <f t="shared" si="11"/>
        <v>99.250187610000012</v>
      </c>
      <c r="D208">
        <f t="shared" si="12"/>
        <v>655.74981238999999</v>
      </c>
    </row>
    <row r="209" spans="1:4">
      <c r="A209">
        <v>208</v>
      </c>
      <c r="B209">
        <v>445</v>
      </c>
      <c r="C209">
        <f t="shared" si="11"/>
        <v>99.369776959999996</v>
      </c>
      <c r="D209">
        <f t="shared" si="12"/>
        <v>345.63022304000003</v>
      </c>
    </row>
    <row r="210" spans="1:4">
      <c r="A210">
        <v>209</v>
      </c>
      <c r="B210">
        <v>319</v>
      </c>
      <c r="C210">
        <f t="shared" si="11"/>
        <v>99.489064089999999</v>
      </c>
      <c r="D210">
        <f t="shared" si="12"/>
        <v>219.51093591</v>
      </c>
    </row>
    <row r="211" spans="1:4">
      <c r="A211">
        <v>210</v>
      </c>
      <c r="B211">
        <v>258</v>
      </c>
      <c r="C211">
        <f t="shared" si="11"/>
        <v>99.608049000000008</v>
      </c>
      <c r="D211">
        <f t="shared" si="12"/>
        <v>158.39195100000001</v>
      </c>
    </row>
    <row r="212" spans="1:4">
      <c r="A212">
        <v>211</v>
      </c>
      <c r="B212">
        <v>219</v>
      </c>
      <c r="C212">
        <f t="shared" si="11"/>
        <v>99.726731690000008</v>
      </c>
      <c r="D212">
        <f t="shared" si="12"/>
        <v>119.27326830999999</v>
      </c>
    </row>
    <row r="213" spans="1:4">
      <c r="A213">
        <v>212</v>
      </c>
      <c r="B213">
        <v>193</v>
      </c>
      <c r="C213">
        <f t="shared" si="11"/>
        <v>99.845112159999999</v>
      </c>
      <c r="D213">
        <f t="shared" si="12"/>
        <v>93.154887840000001</v>
      </c>
    </row>
    <row r="214" spans="1:4">
      <c r="A214">
        <v>213</v>
      </c>
      <c r="B214">
        <v>177</v>
      </c>
      <c r="C214">
        <f t="shared" si="11"/>
        <v>99.963190409999996</v>
      </c>
      <c r="D214">
        <f t="shared" si="12"/>
        <v>77.036809590000004</v>
      </c>
    </row>
    <row r="215" spans="1:4">
      <c r="A215">
        <v>214</v>
      </c>
      <c r="B215">
        <v>178</v>
      </c>
      <c r="C215">
        <f t="shared" si="11"/>
        <v>100.08096644</v>
      </c>
      <c r="D215">
        <f t="shared" si="12"/>
        <v>77.919033560000003</v>
      </c>
    </row>
    <row r="216" spans="1:4">
      <c r="A216">
        <v>215</v>
      </c>
      <c r="B216">
        <v>168</v>
      </c>
      <c r="C216">
        <f t="shared" si="11"/>
        <v>100.19844025</v>
      </c>
      <c r="D216">
        <f t="shared" si="12"/>
        <v>67.801559749999996</v>
      </c>
    </row>
    <row r="217" spans="1:4">
      <c r="A217">
        <v>216</v>
      </c>
      <c r="B217">
        <v>170</v>
      </c>
      <c r="C217">
        <f t="shared" si="11"/>
        <v>100.31561184</v>
      </c>
      <c r="D217">
        <f t="shared" si="12"/>
        <v>69.684388159999997</v>
      </c>
    </row>
    <row r="218" spans="1:4">
      <c r="A218">
        <v>217</v>
      </c>
      <c r="B218">
        <v>171</v>
      </c>
      <c r="C218">
        <f t="shared" si="11"/>
        <v>100.43248121000001</v>
      </c>
      <c r="D218">
        <f t="shared" si="12"/>
        <v>70.567518789999994</v>
      </c>
    </row>
    <row r="219" spans="1:4">
      <c r="A219">
        <v>218</v>
      </c>
      <c r="B219">
        <v>188</v>
      </c>
      <c r="C219">
        <f t="shared" si="11"/>
        <v>100.54904836</v>
      </c>
      <c r="D219">
        <f t="shared" si="12"/>
        <v>87.45095164</v>
      </c>
    </row>
    <row r="220" spans="1:4">
      <c r="A220">
        <v>219</v>
      </c>
      <c r="B220">
        <v>189</v>
      </c>
      <c r="C220">
        <f t="shared" si="11"/>
        <v>100.66531329</v>
      </c>
      <c r="D220">
        <f t="shared" si="12"/>
        <v>88.33468671</v>
      </c>
    </row>
    <row r="221" spans="1:4">
      <c r="A221">
        <v>220</v>
      </c>
      <c r="B221">
        <v>194</v>
      </c>
      <c r="C221">
        <f t="shared" si="11"/>
        <v>100.78127599999999</v>
      </c>
      <c r="D221">
        <f t="shared" si="12"/>
        <v>93.218724000000009</v>
      </c>
    </row>
    <row r="222" spans="1:4">
      <c r="A222">
        <v>221</v>
      </c>
      <c r="B222">
        <v>219</v>
      </c>
      <c r="C222">
        <f t="shared" si="11"/>
        <v>100.89693649</v>
      </c>
      <c r="D222">
        <f t="shared" si="12"/>
        <v>118.10306351</v>
      </c>
    </row>
    <row r="223" spans="1:4">
      <c r="A223">
        <v>222</v>
      </c>
      <c r="B223">
        <v>246</v>
      </c>
      <c r="C223">
        <f t="shared" si="11"/>
        <v>101.01229476</v>
      </c>
      <c r="D223">
        <f t="shared" si="12"/>
        <v>144.98770524</v>
      </c>
    </row>
    <row r="224" spans="1:4">
      <c r="A224">
        <v>223</v>
      </c>
      <c r="B224">
        <v>301</v>
      </c>
      <c r="C224">
        <f t="shared" si="11"/>
        <v>101.12735081</v>
      </c>
      <c r="D224">
        <f t="shared" si="12"/>
        <v>199.87264919</v>
      </c>
    </row>
    <row r="225" spans="1:4">
      <c r="A225">
        <v>224</v>
      </c>
      <c r="B225">
        <v>385</v>
      </c>
      <c r="C225">
        <f t="shared" si="11"/>
        <v>101.24210464000001</v>
      </c>
      <c r="D225">
        <f t="shared" si="12"/>
        <v>283.75789536000002</v>
      </c>
    </row>
    <row r="226" spans="1:4">
      <c r="A226">
        <v>225</v>
      </c>
      <c r="B226">
        <v>493</v>
      </c>
      <c r="C226">
        <f t="shared" si="11"/>
        <v>101.35655625000001</v>
      </c>
      <c r="D226">
        <f t="shared" si="12"/>
        <v>391.64344374999996</v>
      </c>
    </row>
    <row r="227" spans="1:4">
      <c r="A227">
        <v>226</v>
      </c>
      <c r="B227">
        <v>570</v>
      </c>
      <c r="C227">
        <f t="shared" si="11"/>
        <v>101.47070564000001</v>
      </c>
      <c r="D227">
        <f t="shared" si="12"/>
        <v>468.52929435999999</v>
      </c>
    </row>
    <row r="228" spans="1:4">
      <c r="A228">
        <v>227</v>
      </c>
      <c r="B228">
        <v>598</v>
      </c>
      <c r="C228">
        <f t="shared" si="11"/>
        <v>101.58455281000001</v>
      </c>
      <c r="D228">
        <f t="shared" si="12"/>
        <v>496.41544719000001</v>
      </c>
    </row>
    <row r="229" spans="1:4">
      <c r="A229">
        <v>228</v>
      </c>
      <c r="B229">
        <v>670</v>
      </c>
      <c r="C229">
        <f t="shared" si="11"/>
        <v>101.69809776</v>
      </c>
      <c r="D229">
        <f t="shared" si="12"/>
        <v>568.30190224</v>
      </c>
    </row>
    <row r="230" spans="1:4">
      <c r="A230">
        <v>229</v>
      </c>
      <c r="B230">
        <v>722</v>
      </c>
      <c r="C230">
        <f t="shared" si="11"/>
        <v>101.81134048999999</v>
      </c>
      <c r="D230">
        <f t="shared" si="12"/>
        <v>620.18865950999998</v>
      </c>
    </row>
    <row r="231" spans="1:4">
      <c r="A231">
        <v>230</v>
      </c>
      <c r="B231">
        <v>674</v>
      </c>
      <c r="C231">
        <f t="shared" si="11"/>
        <v>101.92428100000001</v>
      </c>
      <c r="D231">
        <f t="shared" si="12"/>
        <v>572.07571899999994</v>
      </c>
    </row>
    <row r="232" spans="1:4">
      <c r="A232">
        <v>231</v>
      </c>
      <c r="B232">
        <v>568</v>
      </c>
      <c r="C232">
        <f t="shared" si="11"/>
        <v>102.03691929</v>
      </c>
      <c r="D232">
        <f t="shared" si="12"/>
        <v>465.96308070999999</v>
      </c>
    </row>
    <row r="233" spans="1:4">
      <c r="A233">
        <v>232</v>
      </c>
      <c r="B233">
        <v>469</v>
      </c>
      <c r="C233">
        <f t="shared" si="11"/>
        <v>102.14925536</v>
      </c>
      <c r="D233">
        <f t="shared" si="12"/>
        <v>366.85074464000002</v>
      </c>
    </row>
    <row r="234" spans="1:4">
      <c r="A234">
        <v>233</v>
      </c>
      <c r="B234">
        <v>440</v>
      </c>
      <c r="C234">
        <f t="shared" si="11"/>
        <v>102.26128921</v>
      </c>
      <c r="D234">
        <f t="shared" si="12"/>
        <v>337.73871079000003</v>
      </c>
    </row>
    <row r="235" spans="1:4">
      <c r="A235">
        <v>234</v>
      </c>
      <c r="B235">
        <v>472</v>
      </c>
      <c r="C235">
        <f t="shared" si="11"/>
        <v>102.37302084000001</v>
      </c>
      <c r="D235">
        <f t="shared" si="12"/>
        <v>369.62697916000002</v>
      </c>
    </row>
    <row r="236" spans="1:4">
      <c r="A236">
        <v>235</v>
      </c>
      <c r="B236">
        <v>573</v>
      </c>
      <c r="C236">
        <f t="shared" si="11"/>
        <v>102.48445025000001</v>
      </c>
      <c r="D236">
        <f t="shared" si="12"/>
        <v>470.51554974999999</v>
      </c>
    </row>
    <row r="237" spans="1:4">
      <c r="A237">
        <v>236</v>
      </c>
      <c r="B237">
        <v>738</v>
      </c>
      <c r="C237">
        <f t="shared" si="11"/>
        <v>102.59557744</v>
      </c>
      <c r="D237">
        <f t="shared" si="12"/>
        <v>635.40442256000006</v>
      </c>
    </row>
    <row r="238" spans="1:4">
      <c r="A238">
        <v>237</v>
      </c>
      <c r="B238">
        <v>1146</v>
      </c>
      <c r="C238">
        <f t="shared" si="11"/>
        <v>102.70640241</v>
      </c>
      <c r="D238">
        <f t="shared" si="12"/>
        <v>1043.29359759</v>
      </c>
    </row>
    <row r="239" spans="1:4">
      <c r="A239">
        <v>238</v>
      </c>
      <c r="B239">
        <v>2452</v>
      </c>
      <c r="C239">
        <f t="shared" si="11"/>
        <v>102.81692516000001</v>
      </c>
      <c r="D239">
        <f t="shared" si="12"/>
        <v>2349.1830748399998</v>
      </c>
    </row>
    <row r="240" spans="1:4">
      <c r="A240">
        <v>239</v>
      </c>
      <c r="B240">
        <v>4771</v>
      </c>
      <c r="C240">
        <f t="shared" si="11"/>
        <v>102.92714569</v>
      </c>
      <c r="D240">
        <f t="shared" si="12"/>
        <v>4668.0728543100004</v>
      </c>
    </row>
    <row r="241" spans="1:7" ht="17.25">
      <c r="A241">
        <v>240</v>
      </c>
      <c r="B241">
        <v>6795</v>
      </c>
      <c r="C241">
        <f t="shared" si="11"/>
        <v>103.037064</v>
      </c>
      <c r="D241">
        <f t="shared" si="12"/>
        <v>6691.9629359999999</v>
      </c>
      <c r="F241">
        <v>240.5</v>
      </c>
      <c r="G241" t="s">
        <v>19</v>
      </c>
    </row>
    <row r="242" spans="1:7">
      <c r="A242">
        <v>241</v>
      </c>
      <c r="B242">
        <v>6331</v>
      </c>
      <c r="C242">
        <f t="shared" si="11"/>
        <v>103.14668009</v>
      </c>
      <c r="D242">
        <f t="shared" si="12"/>
        <v>6227.8533199100002</v>
      </c>
    </row>
    <row r="243" spans="1:7">
      <c r="A243">
        <v>242</v>
      </c>
      <c r="B243">
        <v>4098</v>
      </c>
      <c r="C243">
        <f t="shared" si="11"/>
        <v>103.25599396</v>
      </c>
      <c r="D243">
        <f t="shared" si="12"/>
        <v>3994.7440060399999</v>
      </c>
    </row>
    <row r="244" spans="1:7">
      <c r="A244">
        <v>243</v>
      </c>
      <c r="B244">
        <v>2000</v>
      </c>
      <c r="C244">
        <f t="shared" si="11"/>
        <v>103.36500561</v>
      </c>
      <c r="D244">
        <f t="shared" si="12"/>
        <v>1896.63499439</v>
      </c>
    </row>
    <row r="245" spans="1:7">
      <c r="A245">
        <v>244</v>
      </c>
      <c r="B245">
        <v>1128</v>
      </c>
      <c r="C245">
        <f t="shared" si="11"/>
        <v>103.47371504</v>
      </c>
      <c r="D245">
        <f t="shared" si="12"/>
        <v>1024.5262849599999</v>
      </c>
    </row>
    <row r="246" spans="1:7">
      <c r="A246">
        <v>245</v>
      </c>
      <c r="B246">
        <v>762</v>
      </c>
      <c r="C246">
        <f t="shared" si="11"/>
        <v>103.58212225</v>
      </c>
      <c r="D246">
        <f t="shared" si="12"/>
        <v>658.41787775</v>
      </c>
    </row>
    <row r="247" spans="1:7">
      <c r="A247">
        <v>246</v>
      </c>
      <c r="B247">
        <v>564</v>
      </c>
      <c r="C247">
        <f t="shared" si="11"/>
        <v>103.69022724</v>
      </c>
      <c r="D247">
        <f t="shared" si="12"/>
        <v>460.30977275999999</v>
      </c>
    </row>
    <row r="248" spans="1:7">
      <c r="A248">
        <v>247</v>
      </c>
      <c r="B248">
        <v>441</v>
      </c>
      <c r="C248">
        <f t="shared" si="11"/>
        <v>103.79803000999999</v>
      </c>
      <c r="D248">
        <f t="shared" si="12"/>
        <v>337.20196999000001</v>
      </c>
    </row>
    <row r="249" spans="1:7">
      <c r="A249">
        <v>248</v>
      </c>
      <c r="B249">
        <v>407</v>
      </c>
      <c r="C249">
        <f t="shared" si="11"/>
        <v>103.90553056</v>
      </c>
      <c r="D249">
        <f t="shared" si="12"/>
        <v>303.09446944000001</v>
      </c>
    </row>
    <row r="250" spans="1:7">
      <c r="A250">
        <v>249</v>
      </c>
      <c r="B250">
        <v>349</v>
      </c>
      <c r="C250">
        <f t="shared" si="11"/>
        <v>104.01272889000001</v>
      </c>
      <c r="D250">
        <f t="shared" si="12"/>
        <v>244.98727110999999</v>
      </c>
    </row>
    <row r="251" spans="1:7">
      <c r="A251">
        <v>250</v>
      </c>
      <c r="B251">
        <v>327</v>
      </c>
      <c r="C251">
        <f t="shared" si="11"/>
        <v>104.119625</v>
      </c>
      <c r="D251">
        <f t="shared" si="12"/>
        <v>222.88037500000002</v>
      </c>
    </row>
    <row r="252" spans="1:7">
      <c r="A252">
        <v>251</v>
      </c>
      <c r="B252">
        <v>320</v>
      </c>
      <c r="C252">
        <f t="shared" si="11"/>
        <v>104.22621889000001</v>
      </c>
      <c r="D252">
        <f t="shared" si="12"/>
        <v>215.77378110999999</v>
      </c>
    </row>
    <row r="253" spans="1:7">
      <c r="A253">
        <v>252</v>
      </c>
      <c r="B253">
        <v>341</v>
      </c>
      <c r="C253">
        <f t="shared" si="11"/>
        <v>104.33251056</v>
      </c>
      <c r="D253">
        <f t="shared" si="12"/>
        <v>236.66748944</v>
      </c>
    </row>
    <row r="254" spans="1:7">
      <c r="A254">
        <v>253</v>
      </c>
      <c r="B254">
        <v>383</v>
      </c>
      <c r="C254">
        <f t="shared" si="11"/>
        <v>104.43850001</v>
      </c>
      <c r="D254">
        <f t="shared" si="12"/>
        <v>278.56149999000002</v>
      </c>
    </row>
    <row r="255" spans="1:7">
      <c r="A255">
        <v>254</v>
      </c>
      <c r="B255">
        <v>476</v>
      </c>
      <c r="C255">
        <f t="shared" si="11"/>
        <v>104.54418724</v>
      </c>
      <c r="D255">
        <f t="shared" si="12"/>
        <v>371.45581276000001</v>
      </c>
    </row>
    <row r="256" spans="1:7">
      <c r="A256">
        <v>255</v>
      </c>
      <c r="B256">
        <v>666</v>
      </c>
      <c r="C256">
        <f t="shared" si="11"/>
        <v>104.64957225000001</v>
      </c>
      <c r="D256">
        <f t="shared" si="12"/>
        <v>561.35042774999999</v>
      </c>
    </row>
    <row r="257" spans="1:7" ht="17.25">
      <c r="A257">
        <v>256</v>
      </c>
      <c r="B257">
        <v>821</v>
      </c>
      <c r="C257">
        <f t="shared" si="11"/>
        <v>104.75465504</v>
      </c>
      <c r="D257">
        <f t="shared" si="12"/>
        <v>716.24534496000001</v>
      </c>
      <c r="F257">
        <v>256.5</v>
      </c>
      <c r="G257" t="s">
        <v>20</v>
      </c>
    </row>
    <row r="258" spans="1:7">
      <c r="A258">
        <v>257</v>
      </c>
      <c r="B258">
        <v>793</v>
      </c>
      <c r="C258">
        <f t="shared" ref="C258:C321" si="13" xml:space="preserve"> -0.00015111*A258*A258 + 0.1823*A258 + 67.989</f>
        <v>104.85943560999999</v>
      </c>
      <c r="D258">
        <f t="shared" ref="D258:D321" si="14">B258-C258</f>
        <v>688.14056439000001</v>
      </c>
    </row>
    <row r="259" spans="1:7">
      <c r="A259">
        <v>258</v>
      </c>
      <c r="B259">
        <v>623</v>
      </c>
      <c r="C259">
        <f t="shared" si="13"/>
        <v>104.96391396000001</v>
      </c>
      <c r="D259">
        <f t="shared" si="14"/>
        <v>518.03608603999999</v>
      </c>
    </row>
    <row r="260" spans="1:7">
      <c r="A260">
        <v>259</v>
      </c>
      <c r="B260">
        <v>414</v>
      </c>
      <c r="C260">
        <f t="shared" si="13"/>
        <v>105.06809009</v>
      </c>
      <c r="D260">
        <f t="shared" si="14"/>
        <v>308.93190991</v>
      </c>
    </row>
    <row r="261" spans="1:7">
      <c r="A261">
        <v>260</v>
      </c>
      <c r="B261">
        <v>314</v>
      </c>
      <c r="C261">
        <f t="shared" si="13"/>
        <v>105.171964</v>
      </c>
      <c r="D261">
        <f t="shared" si="14"/>
        <v>208.828036</v>
      </c>
    </row>
    <row r="262" spans="1:7">
      <c r="A262">
        <v>261</v>
      </c>
      <c r="B262">
        <v>283</v>
      </c>
      <c r="C262">
        <f t="shared" si="13"/>
        <v>105.27553569</v>
      </c>
      <c r="D262">
        <f t="shared" si="14"/>
        <v>177.72446431</v>
      </c>
    </row>
    <row r="263" spans="1:7">
      <c r="A263">
        <v>262</v>
      </c>
      <c r="B263">
        <v>276</v>
      </c>
      <c r="C263">
        <f t="shared" si="13"/>
        <v>105.37880516000001</v>
      </c>
      <c r="D263">
        <f t="shared" si="14"/>
        <v>170.62119483999999</v>
      </c>
    </row>
    <row r="264" spans="1:7">
      <c r="A264">
        <v>263</v>
      </c>
      <c r="B264">
        <v>266</v>
      </c>
      <c r="C264">
        <f t="shared" si="13"/>
        <v>105.48177241</v>
      </c>
      <c r="D264">
        <f t="shared" si="14"/>
        <v>160.51822758999998</v>
      </c>
    </row>
    <row r="265" spans="1:7">
      <c r="A265">
        <v>264</v>
      </c>
      <c r="B265">
        <v>246</v>
      </c>
      <c r="C265">
        <f t="shared" si="13"/>
        <v>105.58443744</v>
      </c>
      <c r="D265">
        <f t="shared" si="14"/>
        <v>140.41556256000001</v>
      </c>
    </row>
    <row r="266" spans="1:7">
      <c r="A266">
        <v>265</v>
      </c>
      <c r="B266">
        <v>250</v>
      </c>
      <c r="C266">
        <f t="shared" si="13"/>
        <v>105.68680025</v>
      </c>
      <c r="D266">
        <f t="shared" si="14"/>
        <v>144.31319975</v>
      </c>
    </row>
    <row r="267" spans="1:7">
      <c r="A267">
        <v>266</v>
      </c>
      <c r="B267">
        <v>263</v>
      </c>
      <c r="C267">
        <f t="shared" si="13"/>
        <v>105.78886084</v>
      </c>
      <c r="D267">
        <f t="shared" si="14"/>
        <v>157.21113916000002</v>
      </c>
    </row>
    <row r="268" spans="1:7">
      <c r="A268">
        <v>267</v>
      </c>
      <c r="B268">
        <v>294</v>
      </c>
      <c r="C268">
        <f t="shared" si="13"/>
        <v>105.89061921</v>
      </c>
      <c r="D268">
        <f t="shared" si="14"/>
        <v>188.10938078999999</v>
      </c>
    </row>
    <row r="269" spans="1:7">
      <c r="A269">
        <v>268</v>
      </c>
      <c r="B269">
        <v>291</v>
      </c>
      <c r="C269">
        <f t="shared" si="13"/>
        <v>105.99207536</v>
      </c>
      <c r="D269">
        <f t="shared" si="14"/>
        <v>185.00792464</v>
      </c>
    </row>
    <row r="270" spans="1:7">
      <c r="A270">
        <v>269</v>
      </c>
      <c r="B270">
        <v>275</v>
      </c>
      <c r="C270">
        <f t="shared" si="13"/>
        <v>106.09322929000001</v>
      </c>
      <c r="D270">
        <f t="shared" si="14"/>
        <v>168.90677070999999</v>
      </c>
    </row>
    <row r="271" spans="1:7">
      <c r="A271">
        <v>270</v>
      </c>
      <c r="B271">
        <v>256</v>
      </c>
      <c r="C271">
        <f t="shared" si="13"/>
        <v>106.194081</v>
      </c>
      <c r="D271">
        <f t="shared" si="14"/>
        <v>149.80591900000002</v>
      </c>
    </row>
    <row r="272" spans="1:7">
      <c r="A272">
        <v>271</v>
      </c>
      <c r="B272">
        <v>262</v>
      </c>
      <c r="C272">
        <f t="shared" si="13"/>
        <v>106.29463049</v>
      </c>
      <c r="D272">
        <f t="shared" si="14"/>
        <v>155.70536951</v>
      </c>
    </row>
    <row r="273" spans="1:4">
      <c r="A273">
        <v>272</v>
      </c>
      <c r="B273">
        <v>267</v>
      </c>
      <c r="C273">
        <f t="shared" si="13"/>
        <v>106.39487776</v>
      </c>
      <c r="D273">
        <f t="shared" si="14"/>
        <v>160.60512224000001</v>
      </c>
    </row>
    <row r="274" spans="1:4">
      <c r="A274">
        <v>273</v>
      </c>
      <c r="B274">
        <v>263</v>
      </c>
      <c r="C274">
        <f t="shared" si="13"/>
        <v>106.49482281</v>
      </c>
      <c r="D274">
        <f t="shared" si="14"/>
        <v>156.50517718999998</v>
      </c>
    </row>
    <row r="275" spans="1:4">
      <c r="A275">
        <v>274</v>
      </c>
      <c r="B275">
        <v>237</v>
      </c>
      <c r="C275">
        <f t="shared" si="13"/>
        <v>106.59446564</v>
      </c>
      <c r="D275">
        <f t="shared" si="14"/>
        <v>130.40553435999999</v>
      </c>
    </row>
    <row r="276" spans="1:4">
      <c r="A276">
        <v>275</v>
      </c>
      <c r="B276">
        <v>225</v>
      </c>
      <c r="C276">
        <f t="shared" si="13"/>
        <v>106.69380624999999</v>
      </c>
      <c r="D276">
        <f t="shared" si="14"/>
        <v>118.30619375000001</v>
      </c>
    </row>
    <row r="277" spans="1:4">
      <c r="A277">
        <v>276</v>
      </c>
      <c r="B277">
        <v>238</v>
      </c>
      <c r="C277">
        <f t="shared" si="13"/>
        <v>106.79284464</v>
      </c>
      <c r="D277">
        <f t="shared" si="14"/>
        <v>131.20715536</v>
      </c>
    </row>
    <row r="278" spans="1:4">
      <c r="A278">
        <v>277</v>
      </c>
      <c r="B278">
        <v>268</v>
      </c>
      <c r="C278">
        <f t="shared" si="13"/>
        <v>106.89158080999999</v>
      </c>
      <c r="D278">
        <f t="shared" si="14"/>
        <v>161.10841919000001</v>
      </c>
    </row>
    <row r="279" spans="1:4">
      <c r="A279">
        <v>278</v>
      </c>
      <c r="B279">
        <v>270</v>
      </c>
      <c r="C279">
        <f t="shared" si="13"/>
        <v>106.99001475999999</v>
      </c>
      <c r="D279">
        <f t="shared" si="14"/>
        <v>163.00998523999999</v>
      </c>
    </row>
    <row r="280" spans="1:4">
      <c r="A280">
        <v>279</v>
      </c>
      <c r="B280">
        <v>260</v>
      </c>
      <c r="C280">
        <f t="shared" si="13"/>
        <v>107.08814649</v>
      </c>
      <c r="D280">
        <f t="shared" si="14"/>
        <v>152.91185351000001</v>
      </c>
    </row>
    <row r="281" spans="1:4">
      <c r="A281">
        <v>280</v>
      </c>
      <c r="B281">
        <v>245</v>
      </c>
      <c r="C281">
        <f t="shared" si="13"/>
        <v>107.185976</v>
      </c>
      <c r="D281">
        <f t="shared" si="14"/>
        <v>137.81402400000002</v>
      </c>
    </row>
    <row r="282" spans="1:4">
      <c r="A282">
        <v>281</v>
      </c>
      <c r="B282">
        <v>249</v>
      </c>
      <c r="C282">
        <f t="shared" si="13"/>
        <v>107.28350329</v>
      </c>
      <c r="D282">
        <f t="shared" si="14"/>
        <v>141.71649671</v>
      </c>
    </row>
    <row r="283" spans="1:4">
      <c r="A283">
        <v>282</v>
      </c>
      <c r="B283">
        <v>265</v>
      </c>
      <c r="C283">
        <f t="shared" si="13"/>
        <v>107.38072836000001</v>
      </c>
      <c r="D283">
        <f t="shared" si="14"/>
        <v>157.61927163999999</v>
      </c>
    </row>
    <row r="284" spans="1:4">
      <c r="A284">
        <v>283</v>
      </c>
      <c r="B284">
        <v>254</v>
      </c>
      <c r="C284">
        <f t="shared" si="13"/>
        <v>107.47765121</v>
      </c>
      <c r="D284">
        <f t="shared" si="14"/>
        <v>146.52234879</v>
      </c>
    </row>
    <row r="285" spans="1:4">
      <c r="A285">
        <v>284</v>
      </c>
      <c r="B285">
        <v>229</v>
      </c>
      <c r="C285">
        <f t="shared" si="13"/>
        <v>107.57427183999999</v>
      </c>
      <c r="D285">
        <f t="shared" si="14"/>
        <v>121.42572816000001</v>
      </c>
    </row>
    <row r="286" spans="1:4">
      <c r="A286">
        <v>285</v>
      </c>
      <c r="B286">
        <v>210</v>
      </c>
      <c r="C286">
        <f t="shared" si="13"/>
        <v>107.67059025</v>
      </c>
      <c r="D286">
        <f t="shared" si="14"/>
        <v>102.32940975</v>
      </c>
    </row>
    <row r="287" spans="1:4">
      <c r="A287">
        <v>286</v>
      </c>
      <c r="B287">
        <v>211</v>
      </c>
      <c r="C287">
        <f t="shared" si="13"/>
        <v>107.76660644</v>
      </c>
      <c r="D287">
        <f t="shared" si="14"/>
        <v>103.23339356</v>
      </c>
    </row>
    <row r="288" spans="1:4">
      <c r="A288">
        <v>287</v>
      </c>
      <c r="B288">
        <v>220</v>
      </c>
      <c r="C288">
        <f t="shared" si="13"/>
        <v>107.86232041</v>
      </c>
      <c r="D288">
        <f t="shared" si="14"/>
        <v>112.13767959</v>
      </c>
    </row>
    <row r="289" spans="1:4">
      <c r="A289">
        <v>288</v>
      </c>
      <c r="B289">
        <v>229</v>
      </c>
      <c r="C289">
        <f t="shared" si="13"/>
        <v>107.95773216000001</v>
      </c>
      <c r="D289">
        <f t="shared" si="14"/>
        <v>121.04226783999999</v>
      </c>
    </row>
    <row r="290" spans="1:4">
      <c r="A290">
        <v>289</v>
      </c>
      <c r="B290">
        <v>198</v>
      </c>
      <c r="C290">
        <f t="shared" si="13"/>
        <v>108.05284169000001</v>
      </c>
      <c r="D290">
        <f t="shared" si="14"/>
        <v>89.947158309999992</v>
      </c>
    </row>
    <row r="291" spans="1:4">
      <c r="A291">
        <v>290</v>
      </c>
      <c r="B291">
        <v>188</v>
      </c>
      <c r="C291">
        <f t="shared" si="13"/>
        <v>108.147649</v>
      </c>
      <c r="D291">
        <f t="shared" si="14"/>
        <v>79.852350999999999</v>
      </c>
    </row>
    <row r="292" spans="1:4">
      <c r="A292">
        <v>291</v>
      </c>
      <c r="B292">
        <v>191</v>
      </c>
      <c r="C292">
        <f t="shared" si="13"/>
        <v>108.24215409</v>
      </c>
      <c r="D292">
        <f t="shared" si="14"/>
        <v>82.75784591</v>
      </c>
    </row>
    <row r="293" spans="1:4">
      <c r="A293">
        <v>292</v>
      </c>
      <c r="B293">
        <v>212</v>
      </c>
      <c r="C293">
        <f t="shared" si="13"/>
        <v>108.33635696</v>
      </c>
      <c r="D293">
        <f t="shared" si="14"/>
        <v>103.66364304</v>
      </c>
    </row>
    <row r="294" spans="1:4">
      <c r="A294">
        <v>293</v>
      </c>
      <c r="B294">
        <v>218</v>
      </c>
      <c r="C294">
        <f t="shared" si="13"/>
        <v>108.43025761</v>
      </c>
      <c r="D294">
        <f t="shared" si="14"/>
        <v>109.56974239</v>
      </c>
    </row>
    <row r="295" spans="1:4">
      <c r="A295">
        <v>294</v>
      </c>
      <c r="B295">
        <v>194</v>
      </c>
      <c r="C295">
        <f t="shared" si="13"/>
        <v>108.52385604</v>
      </c>
      <c r="D295">
        <f t="shared" si="14"/>
        <v>85.476143960000002</v>
      </c>
    </row>
    <row r="296" spans="1:4">
      <c r="A296">
        <v>295</v>
      </c>
      <c r="B296">
        <v>200</v>
      </c>
      <c r="C296">
        <f t="shared" si="13"/>
        <v>108.61715225</v>
      </c>
      <c r="D296">
        <f t="shared" si="14"/>
        <v>91.382847749999996</v>
      </c>
    </row>
    <row r="297" spans="1:4">
      <c r="A297">
        <v>296</v>
      </c>
      <c r="B297">
        <v>209</v>
      </c>
      <c r="C297">
        <f t="shared" si="13"/>
        <v>108.71014624</v>
      </c>
      <c r="D297">
        <f t="shared" si="14"/>
        <v>100.28985376</v>
      </c>
    </row>
    <row r="298" spans="1:4">
      <c r="A298">
        <v>297</v>
      </c>
      <c r="B298">
        <v>230</v>
      </c>
      <c r="C298">
        <f t="shared" si="13"/>
        <v>108.80283801</v>
      </c>
      <c r="D298">
        <f t="shared" si="14"/>
        <v>121.19716199</v>
      </c>
    </row>
    <row r="299" spans="1:4">
      <c r="A299">
        <v>298</v>
      </c>
      <c r="B299">
        <v>235</v>
      </c>
      <c r="C299">
        <f t="shared" si="13"/>
        <v>108.89522756</v>
      </c>
      <c r="D299">
        <f t="shared" si="14"/>
        <v>126.10477244</v>
      </c>
    </row>
    <row r="300" spans="1:4">
      <c r="A300">
        <v>299</v>
      </c>
      <c r="B300">
        <v>225</v>
      </c>
      <c r="C300">
        <f t="shared" si="13"/>
        <v>108.98731489000001</v>
      </c>
      <c r="D300">
        <f t="shared" si="14"/>
        <v>116.01268510999999</v>
      </c>
    </row>
    <row r="301" spans="1:4">
      <c r="A301">
        <v>300</v>
      </c>
      <c r="B301">
        <v>218</v>
      </c>
      <c r="C301">
        <f t="shared" si="13"/>
        <v>109.0791</v>
      </c>
      <c r="D301">
        <f t="shared" si="14"/>
        <v>108.9209</v>
      </c>
    </row>
    <row r="302" spans="1:4">
      <c r="A302">
        <v>301</v>
      </c>
      <c r="B302">
        <v>230</v>
      </c>
      <c r="C302">
        <f t="shared" si="13"/>
        <v>109.17058288999999</v>
      </c>
      <c r="D302">
        <f t="shared" si="14"/>
        <v>120.82941711000001</v>
      </c>
    </row>
    <row r="303" spans="1:4">
      <c r="A303">
        <v>302</v>
      </c>
      <c r="B303">
        <v>230</v>
      </c>
      <c r="C303">
        <f t="shared" si="13"/>
        <v>109.26176355999999</v>
      </c>
      <c r="D303">
        <f t="shared" si="14"/>
        <v>120.73823644000001</v>
      </c>
    </row>
    <row r="304" spans="1:4">
      <c r="A304">
        <v>303</v>
      </c>
      <c r="B304">
        <v>262</v>
      </c>
      <c r="C304">
        <f t="shared" si="13"/>
        <v>109.35264201000001</v>
      </c>
      <c r="D304">
        <f t="shared" si="14"/>
        <v>152.64735798999999</v>
      </c>
    </row>
    <row r="305" spans="1:4">
      <c r="A305">
        <v>304</v>
      </c>
      <c r="B305">
        <v>269</v>
      </c>
      <c r="C305">
        <f t="shared" si="13"/>
        <v>109.44321823999999</v>
      </c>
      <c r="D305">
        <f t="shared" si="14"/>
        <v>159.55678176000001</v>
      </c>
    </row>
    <row r="306" spans="1:4">
      <c r="A306">
        <v>305</v>
      </c>
      <c r="B306">
        <v>257</v>
      </c>
      <c r="C306">
        <f t="shared" si="13"/>
        <v>109.53349224999999</v>
      </c>
      <c r="D306">
        <f t="shared" si="14"/>
        <v>147.46650775000001</v>
      </c>
    </row>
    <row r="307" spans="1:4">
      <c r="A307">
        <v>306</v>
      </c>
      <c r="B307">
        <v>265</v>
      </c>
      <c r="C307">
        <f t="shared" si="13"/>
        <v>109.62346404</v>
      </c>
      <c r="D307">
        <f t="shared" si="14"/>
        <v>155.37653596000001</v>
      </c>
    </row>
    <row r="308" spans="1:4">
      <c r="A308">
        <v>307</v>
      </c>
      <c r="B308">
        <v>262</v>
      </c>
      <c r="C308">
        <f t="shared" si="13"/>
        <v>109.71313361</v>
      </c>
      <c r="D308">
        <f t="shared" si="14"/>
        <v>152.28686639</v>
      </c>
    </row>
    <row r="309" spans="1:4">
      <c r="A309">
        <v>308</v>
      </c>
      <c r="B309">
        <v>257</v>
      </c>
      <c r="C309">
        <f t="shared" si="13"/>
        <v>109.80250096</v>
      </c>
      <c r="D309">
        <f t="shared" si="14"/>
        <v>147.19749904</v>
      </c>
    </row>
    <row r="310" spans="1:4">
      <c r="A310">
        <v>309</v>
      </c>
      <c r="B310">
        <v>228</v>
      </c>
      <c r="C310">
        <f t="shared" si="13"/>
        <v>109.89156609</v>
      </c>
      <c r="D310">
        <f t="shared" si="14"/>
        <v>118.10843391</v>
      </c>
    </row>
    <row r="311" spans="1:4">
      <c r="A311">
        <v>310</v>
      </c>
      <c r="B311">
        <v>222</v>
      </c>
      <c r="C311">
        <f t="shared" si="13"/>
        <v>109.98032900000001</v>
      </c>
      <c r="D311">
        <f t="shared" si="14"/>
        <v>112.01967099999999</v>
      </c>
    </row>
    <row r="312" spans="1:4">
      <c r="A312">
        <v>311</v>
      </c>
      <c r="B312">
        <v>204</v>
      </c>
      <c r="C312">
        <f t="shared" si="13"/>
        <v>110.06878969</v>
      </c>
      <c r="D312">
        <f t="shared" si="14"/>
        <v>93.931210309999997</v>
      </c>
    </row>
    <row r="313" spans="1:4">
      <c r="A313">
        <v>312</v>
      </c>
      <c r="B313">
        <v>211</v>
      </c>
      <c r="C313">
        <f t="shared" si="13"/>
        <v>110.15694816</v>
      </c>
      <c r="D313">
        <f t="shared" si="14"/>
        <v>100.84305184</v>
      </c>
    </row>
    <row r="314" spans="1:4">
      <c r="A314">
        <v>313</v>
      </c>
      <c r="B314">
        <v>223</v>
      </c>
      <c r="C314">
        <f t="shared" si="13"/>
        <v>110.24480441</v>
      </c>
      <c r="D314">
        <f t="shared" si="14"/>
        <v>112.75519559</v>
      </c>
    </row>
    <row r="315" spans="1:4">
      <c r="A315">
        <v>314</v>
      </c>
      <c r="B315">
        <v>218</v>
      </c>
      <c r="C315">
        <f t="shared" si="13"/>
        <v>110.33235844000001</v>
      </c>
      <c r="D315">
        <f t="shared" si="14"/>
        <v>107.66764155999999</v>
      </c>
    </row>
    <row r="316" spans="1:4">
      <c r="A316">
        <v>315</v>
      </c>
      <c r="B316">
        <v>200</v>
      </c>
      <c r="C316">
        <f t="shared" si="13"/>
        <v>110.41961025000001</v>
      </c>
      <c r="D316">
        <f t="shared" si="14"/>
        <v>89.580389749999995</v>
      </c>
    </row>
    <row r="317" spans="1:4">
      <c r="A317">
        <v>316</v>
      </c>
      <c r="B317">
        <v>185</v>
      </c>
      <c r="C317">
        <f t="shared" si="13"/>
        <v>110.50655983999999</v>
      </c>
      <c r="D317">
        <f t="shared" si="14"/>
        <v>74.493440160000006</v>
      </c>
    </row>
    <row r="318" spans="1:4">
      <c r="A318">
        <v>317</v>
      </c>
      <c r="B318">
        <v>187</v>
      </c>
      <c r="C318">
        <f t="shared" si="13"/>
        <v>110.59320721</v>
      </c>
      <c r="D318">
        <f t="shared" si="14"/>
        <v>76.406792789999997</v>
      </c>
    </row>
    <row r="319" spans="1:4">
      <c r="A319">
        <v>318</v>
      </c>
      <c r="B319">
        <v>182</v>
      </c>
      <c r="C319">
        <f t="shared" si="13"/>
        <v>110.67955236</v>
      </c>
      <c r="D319">
        <f t="shared" si="14"/>
        <v>71.320447639999998</v>
      </c>
    </row>
    <row r="320" spans="1:4">
      <c r="A320">
        <v>319</v>
      </c>
      <c r="B320">
        <v>190</v>
      </c>
      <c r="C320">
        <f t="shared" si="13"/>
        <v>110.76559528999999</v>
      </c>
      <c r="D320">
        <f t="shared" si="14"/>
        <v>79.234404710000007</v>
      </c>
    </row>
    <row r="321" spans="1:4">
      <c r="A321">
        <v>320</v>
      </c>
      <c r="B321">
        <v>194</v>
      </c>
      <c r="C321">
        <f t="shared" si="13"/>
        <v>110.851336</v>
      </c>
      <c r="D321">
        <f t="shared" si="14"/>
        <v>83.148663999999997</v>
      </c>
    </row>
    <row r="322" spans="1:4">
      <c r="A322">
        <v>321</v>
      </c>
      <c r="B322">
        <v>179</v>
      </c>
      <c r="C322">
        <f t="shared" ref="C322:C385" si="15" xml:space="preserve"> -0.00015111*A322*A322 + 0.1823*A322 + 67.989</f>
        <v>110.93677449</v>
      </c>
      <c r="D322">
        <f t="shared" ref="D322:D385" si="16">B322-C322</f>
        <v>68.063225509999995</v>
      </c>
    </row>
    <row r="323" spans="1:4">
      <c r="A323">
        <v>322</v>
      </c>
      <c r="B323">
        <v>169</v>
      </c>
      <c r="C323">
        <f t="shared" si="15"/>
        <v>111.02191076</v>
      </c>
      <c r="D323">
        <f t="shared" si="16"/>
        <v>57.978089240000003</v>
      </c>
    </row>
    <row r="324" spans="1:4">
      <c r="A324">
        <v>323</v>
      </c>
      <c r="B324">
        <v>169</v>
      </c>
      <c r="C324">
        <f t="shared" si="15"/>
        <v>111.10674481000001</v>
      </c>
      <c r="D324">
        <f t="shared" si="16"/>
        <v>57.893255189999991</v>
      </c>
    </row>
    <row r="325" spans="1:4">
      <c r="A325">
        <v>324</v>
      </c>
      <c r="B325">
        <v>178</v>
      </c>
      <c r="C325">
        <f t="shared" si="15"/>
        <v>111.19127664</v>
      </c>
      <c r="D325">
        <f t="shared" si="16"/>
        <v>66.808723360000002</v>
      </c>
    </row>
    <row r="326" spans="1:4">
      <c r="A326">
        <v>325</v>
      </c>
      <c r="B326">
        <v>176</v>
      </c>
      <c r="C326">
        <f t="shared" si="15"/>
        <v>111.27550625000001</v>
      </c>
      <c r="D326">
        <f t="shared" si="16"/>
        <v>64.724493749999993</v>
      </c>
    </row>
    <row r="327" spans="1:4">
      <c r="A327">
        <v>326</v>
      </c>
      <c r="B327">
        <v>179</v>
      </c>
      <c r="C327">
        <f t="shared" si="15"/>
        <v>111.35943364000001</v>
      </c>
      <c r="D327">
        <f t="shared" si="16"/>
        <v>67.640566359999994</v>
      </c>
    </row>
    <row r="328" spans="1:4">
      <c r="A328">
        <v>327</v>
      </c>
      <c r="B328">
        <v>177</v>
      </c>
      <c r="C328">
        <f t="shared" si="15"/>
        <v>111.44305881</v>
      </c>
      <c r="D328">
        <f t="shared" si="16"/>
        <v>65.556941190000003</v>
      </c>
    </row>
    <row r="329" spans="1:4">
      <c r="A329">
        <v>328</v>
      </c>
      <c r="B329">
        <v>179</v>
      </c>
      <c r="C329">
        <f t="shared" si="15"/>
        <v>111.52638175999999</v>
      </c>
      <c r="D329">
        <f t="shared" si="16"/>
        <v>67.473618240000008</v>
      </c>
    </row>
    <row r="330" spans="1:4">
      <c r="A330">
        <v>329</v>
      </c>
      <c r="B330">
        <v>174</v>
      </c>
      <c r="C330">
        <f t="shared" si="15"/>
        <v>111.60940248999999</v>
      </c>
      <c r="D330">
        <f t="shared" si="16"/>
        <v>62.390597510000006</v>
      </c>
    </row>
    <row r="331" spans="1:4">
      <c r="A331">
        <v>330</v>
      </c>
      <c r="B331">
        <v>174</v>
      </c>
      <c r="C331">
        <f t="shared" si="15"/>
        <v>111.692121</v>
      </c>
      <c r="D331">
        <f t="shared" si="16"/>
        <v>62.307879</v>
      </c>
    </row>
    <row r="332" spans="1:4">
      <c r="A332">
        <v>331</v>
      </c>
      <c r="B332">
        <v>179</v>
      </c>
      <c r="C332">
        <f t="shared" si="15"/>
        <v>111.77453729</v>
      </c>
      <c r="D332">
        <f t="shared" si="16"/>
        <v>67.225462710000002</v>
      </c>
    </row>
    <row r="333" spans="1:4">
      <c r="A333">
        <v>332</v>
      </c>
      <c r="B333">
        <v>181</v>
      </c>
      <c r="C333">
        <f t="shared" si="15"/>
        <v>111.85665136</v>
      </c>
      <c r="D333">
        <f t="shared" si="16"/>
        <v>69.143348639999999</v>
      </c>
    </row>
    <row r="334" spans="1:4">
      <c r="A334">
        <v>333</v>
      </c>
      <c r="B334">
        <v>179</v>
      </c>
      <c r="C334">
        <f t="shared" si="15"/>
        <v>111.93846321000001</v>
      </c>
      <c r="D334">
        <f t="shared" si="16"/>
        <v>67.061536789999991</v>
      </c>
    </row>
    <row r="335" spans="1:4">
      <c r="A335">
        <v>334</v>
      </c>
      <c r="B335">
        <v>182</v>
      </c>
      <c r="C335">
        <f t="shared" si="15"/>
        <v>112.01997284000001</v>
      </c>
      <c r="D335">
        <f t="shared" si="16"/>
        <v>69.980027159999992</v>
      </c>
    </row>
    <row r="336" spans="1:4">
      <c r="A336">
        <v>335</v>
      </c>
      <c r="B336">
        <v>187</v>
      </c>
      <c r="C336">
        <f t="shared" si="15"/>
        <v>112.10118025</v>
      </c>
      <c r="D336">
        <f t="shared" si="16"/>
        <v>74.898819750000001</v>
      </c>
    </row>
    <row r="337" spans="1:7">
      <c r="A337">
        <v>336</v>
      </c>
      <c r="B337">
        <v>195</v>
      </c>
      <c r="C337">
        <f t="shared" si="15"/>
        <v>112.18208543999999</v>
      </c>
      <c r="D337">
        <f t="shared" si="16"/>
        <v>82.817914560000006</v>
      </c>
    </row>
    <row r="338" spans="1:7">
      <c r="A338">
        <v>337</v>
      </c>
      <c r="B338">
        <v>239</v>
      </c>
      <c r="C338">
        <f t="shared" si="15"/>
        <v>112.26268841000001</v>
      </c>
      <c r="D338">
        <f t="shared" si="16"/>
        <v>126.73731158999999</v>
      </c>
    </row>
    <row r="339" spans="1:7">
      <c r="A339">
        <v>338</v>
      </c>
      <c r="B339">
        <v>334</v>
      </c>
      <c r="C339">
        <f t="shared" si="15"/>
        <v>112.34298916</v>
      </c>
      <c r="D339">
        <f t="shared" si="16"/>
        <v>221.65701084</v>
      </c>
    </row>
    <row r="340" spans="1:7">
      <c r="A340">
        <v>339</v>
      </c>
      <c r="B340">
        <v>419</v>
      </c>
      <c r="C340">
        <f t="shared" si="15"/>
        <v>112.42298769</v>
      </c>
      <c r="D340">
        <f t="shared" si="16"/>
        <v>306.57701230999999</v>
      </c>
    </row>
    <row r="341" spans="1:7">
      <c r="A341">
        <v>340</v>
      </c>
      <c r="B341">
        <v>501</v>
      </c>
      <c r="C341">
        <f t="shared" si="15"/>
        <v>112.502684</v>
      </c>
      <c r="D341">
        <f t="shared" si="16"/>
        <v>388.49731600000001</v>
      </c>
    </row>
    <row r="342" spans="1:7">
      <c r="A342">
        <v>341</v>
      </c>
      <c r="B342">
        <v>547</v>
      </c>
      <c r="C342">
        <f t="shared" si="15"/>
        <v>112.58207809000001</v>
      </c>
      <c r="D342">
        <f t="shared" si="16"/>
        <v>434.41792191000002</v>
      </c>
    </row>
    <row r="343" spans="1:7">
      <c r="A343">
        <v>342</v>
      </c>
      <c r="B343">
        <v>682</v>
      </c>
      <c r="C343">
        <f t="shared" si="15"/>
        <v>112.66116996</v>
      </c>
      <c r="D343">
        <f t="shared" si="16"/>
        <v>569.33883003999995</v>
      </c>
    </row>
    <row r="344" spans="1:7">
      <c r="A344">
        <v>343</v>
      </c>
      <c r="B344">
        <v>1031</v>
      </c>
      <c r="C344">
        <f t="shared" si="15"/>
        <v>112.73995961</v>
      </c>
      <c r="D344">
        <f t="shared" si="16"/>
        <v>918.26004038999997</v>
      </c>
    </row>
    <row r="345" spans="1:7">
      <c r="A345">
        <v>344</v>
      </c>
      <c r="B345">
        <v>1546</v>
      </c>
      <c r="C345">
        <f t="shared" si="15"/>
        <v>112.81844704</v>
      </c>
      <c r="D345">
        <f t="shared" si="16"/>
        <v>1433.1815529600001</v>
      </c>
    </row>
    <row r="346" spans="1:7" ht="17.25">
      <c r="A346">
        <v>345</v>
      </c>
      <c r="B346">
        <v>1724</v>
      </c>
      <c r="C346">
        <f t="shared" si="15"/>
        <v>112.89663225</v>
      </c>
      <c r="D346">
        <f t="shared" si="16"/>
        <v>1611.10336775</v>
      </c>
      <c r="F346">
        <v>345</v>
      </c>
      <c r="G346" t="s">
        <v>21</v>
      </c>
    </row>
    <row r="347" spans="1:7">
      <c r="A347">
        <v>346</v>
      </c>
      <c r="B347">
        <v>1357</v>
      </c>
      <c r="C347">
        <f t="shared" si="15"/>
        <v>112.97451524</v>
      </c>
      <c r="D347">
        <f t="shared" si="16"/>
        <v>1244.0254847599999</v>
      </c>
    </row>
    <row r="348" spans="1:7">
      <c r="A348">
        <v>347</v>
      </c>
      <c r="B348">
        <v>860</v>
      </c>
      <c r="C348">
        <f t="shared" si="15"/>
        <v>113.05209601</v>
      </c>
      <c r="D348">
        <f t="shared" si="16"/>
        <v>746.94790398999999</v>
      </c>
    </row>
    <row r="349" spans="1:7">
      <c r="A349">
        <v>348</v>
      </c>
      <c r="B349">
        <v>590</v>
      </c>
      <c r="C349">
        <f t="shared" si="15"/>
        <v>113.12937456</v>
      </c>
      <c r="D349">
        <f t="shared" si="16"/>
        <v>476.87062544000003</v>
      </c>
    </row>
    <row r="350" spans="1:7">
      <c r="A350">
        <v>349</v>
      </c>
      <c r="B350">
        <v>516</v>
      </c>
      <c r="C350">
        <f t="shared" si="15"/>
        <v>113.20635089</v>
      </c>
      <c r="D350">
        <f t="shared" si="16"/>
        <v>402.79364910999999</v>
      </c>
    </row>
    <row r="351" spans="1:7">
      <c r="A351">
        <v>350</v>
      </c>
      <c r="B351">
        <v>470</v>
      </c>
      <c r="C351">
        <f t="shared" si="15"/>
        <v>113.28302500000001</v>
      </c>
      <c r="D351">
        <f t="shared" si="16"/>
        <v>356.71697499999999</v>
      </c>
    </row>
    <row r="352" spans="1:7">
      <c r="A352">
        <v>351</v>
      </c>
      <c r="B352">
        <v>396</v>
      </c>
      <c r="C352">
        <f t="shared" si="15"/>
        <v>113.35939689</v>
      </c>
      <c r="D352">
        <f t="shared" si="16"/>
        <v>282.64060311000003</v>
      </c>
    </row>
    <row r="353" spans="1:4">
      <c r="A353">
        <v>352</v>
      </c>
      <c r="B353">
        <v>299</v>
      </c>
      <c r="C353">
        <f t="shared" si="15"/>
        <v>113.43546656000001</v>
      </c>
      <c r="D353">
        <f t="shared" si="16"/>
        <v>185.56453343999999</v>
      </c>
    </row>
    <row r="354" spans="1:4">
      <c r="A354">
        <v>353</v>
      </c>
      <c r="B354">
        <v>246</v>
      </c>
      <c r="C354">
        <f t="shared" si="15"/>
        <v>113.51123401000001</v>
      </c>
      <c r="D354">
        <f t="shared" si="16"/>
        <v>132.48876598999999</v>
      </c>
    </row>
    <row r="355" spans="1:4">
      <c r="A355">
        <v>354</v>
      </c>
      <c r="B355">
        <v>237</v>
      </c>
      <c r="C355">
        <f t="shared" si="15"/>
        <v>113.58669924</v>
      </c>
      <c r="D355">
        <f t="shared" si="16"/>
        <v>123.41330076</v>
      </c>
    </row>
    <row r="356" spans="1:4">
      <c r="A356">
        <v>355</v>
      </c>
      <c r="B356">
        <v>229</v>
      </c>
      <c r="C356">
        <f t="shared" si="15"/>
        <v>113.66186225</v>
      </c>
      <c r="D356">
        <f t="shared" si="16"/>
        <v>115.33813775</v>
      </c>
    </row>
    <row r="357" spans="1:4">
      <c r="A357">
        <v>356</v>
      </c>
      <c r="B357">
        <v>222</v>
      </c>
      <c r="C357">
        <f t="shared" si="15"/>
        <v>113.73672304</v>
      </c>
      <c r="D357">
        <f t="shared" si="16"/>
        <v>108.26327696</v>
      </c>
    </row>
    <row r="358" spans="1:4">
      <c r="A358">
        <v>357</v>
      </c>
      <c r="B358">
        <v>206</v>
      </c>
      <c r="C358">
        <f t="shared" si="15"/>
        <v>113.81128160999999</v>
      </c>
      <c r="D358">
        <f t="shared" si="16"/>
        <v>92.188718390000005</v>
      </c>
    </row>
    <row r="359" spans="1:4">
      <c r="A359">
        <v>358</v>
      </c>
      <c r="B359">
        <v>188</v>
      </c>
      <c r="C359">
        <f t="shared" si="15"/>
        <v>113.88553795999999</v>
      </c>
      <c r="D359">
        <f t="shared" si="16"/>
        <v>74.114462040000006</v>
      </c>
    </row>
    <row r="360" spans="1:4">
      <c r="A360">
        <v>359</v>
      </c>
      <c r="B360">
        <v>205</v>
      </c>
      <c r="C360">
        <f t="shared" si="15"/>
        <v>113.95949209</v>
      </c>
      <c r="D360">
        <f t="shared" si="16"/>
        <v>91.040507910000002</v>
      </c>
    </row>
    <row r="361" spans="1:4">
      <c r="A361">
        <v>360</v>
      </c>
      <c r="B361">
        <v>202</v>
      </c>
      <c r="C361">
        <f t="shared" si="15"/>
        <v>114.03314400000001</v>
      </c>
      <c r="D361">
        <f t="shared" si="16"/>
        <v>87.966855999999993</v>
      </c>
    </row>
    <row r="362" spans="1:4">
      <c r="A362">
        <v>361</v>
      </c>
      <c r="B362">
        <v>212</v>
      </c>
      <c r="C362">
        <f t="shared" si="15"/>
        <v>114.10649369000001</v>
      </c>
      <c r="D362">
        <f t="shared" si="16"/>
        <v>97.893506309999992</v>
      </c>
    </row>
    <row r="363" spans="1:4">
      <c r="A363">
        <v>362</v>
      </c>
      <c r="B363">
        <v>212</v>
      </c>
      <c r="C363">
        <f t="shared" si="15"/>
        <v>114.17954116</v>
      </c>
      <c r="D363">
        <f t="shared" si="16"/>
        <v>97.820458840000001</v>
      </c>
    </row>
    <row r="364" spans="1:4">
      <c r="A364">
        <v>363</v>
      </c>
      <c r="B364">
        <v>207</v>
      </c>
      <c r="C364">
        <f t="shared" si="15"/>
        <v>114.25228641</v>
      </c>
      <c r="D364">
        <f t="shared" si="16"/>
        <v>92.747713590000004</v>
      </c>
    </row>
    <row r="365" spans="1:4">
      <c r="A365">
        <v>364</v>
      </c>
      <c r="B365">
        <v>205</v>
      </c>
      <c r="C365">
        <f t="shared" si="15"/>
        <v>114.32472944</v>
      </c>
      <c r="D365">
        <f t="shared" si="16"/>
        <v>90.675270560000001</v>
      </c>
    </row>
    <row r="366" spans="1:4">
      <c r="A366">
        <v>365</v>
      </c>
      <c r="B366">
        <v>186</v>
      </c>
      <c r="C366">
        <f t="shared" si="15"/>
        <v>114.39687024999999</v>
      </c>
      <c r="D366">
        <f t="shared" si="16"/>
        <v>71.603129750000008</v>
      </c>
    </row>
    <row r="367" spans="1:4">
      <c r="A367">
        <v>366</v>
      </c>
      <c r="B367">
        <v>187</v>
      </c>
      <c r="C367">
        <f t="shared" si="15"/>
        <v>114.46870884000001</v>
      </c>
      <c r="D367">
        <f t="shared" si="16"/>
        <v>72.531291159999995</v>
      </c>
    </row>
    <row r="368" spans="1:4">
      <c r="A368">
        <v>367</v>
      </c>
      <c r="B368">
        <v>169</v>
      </c>
      <c r="C368">
        <f t="shared" si="15"/>
        <v>114.54024520999999</v>
      </c>
      <c r="D368">
        <f t="shared" si="16"/>
        <v>54.459754790000005</v>
      </c>
    </row>
    <row r="369" spans="1:4">
      <c r="A369">
        <v>368</v>
      </c>
      <c r="B369">
        <v>173</v>
      </c>
      <c r="C369">
        <f t="shared" si="15"/>
        <v>114.61147936</v>
      </c>
      <c r="D369">
        <f t="shared" si="16"/>
        <v>58.388520639999996</v>
      </c>
    </row>
    <row r="370" spans="1:4">
      <c r="A370">
        <v>369</v>
      </c>
      <c r="B370">
        <v>192</v>
      </c>
      <c r="C370">
        <f t="shared" si="15"/>
        <v>114.68241129</v>
      </c>
      <c r="D370">
        <f t="shared" si="16"/>
        <v>77.317588709999995</v>
      </c>
    </row>
    <row r="371" spans="1:4">
      <c r="A371">
        <v>370</v>
      </c>
      <c r="B371">
        <v>194</v>
      </c>
      <c r="C371">
        <f t="shared" si="15"/>
        <v>114.753041</v>
      </c>
      <c r="D371">
        <f t="shared" si="16"/>
        <v>79.246959000000004</v>
      </c>
    </row>
    <row r="372" spans="1:4">
      <c r="A372">
        <v>371</v>
      </c>
      <c r="B372">
        <v>196</v>
      </c>
      <c r="C372">
        <f t="shared" si="15"/>
        <v>114.82336848999999</v>
      </c>
      <c r="D372">
        <f t="shared" si="16"/>
        <v>81.176631510000007</v>
      </c>
    </row>
    <row r="373" spans="1:4">
      <c r="A373">
        <v>372</v>
      </c>
      <c r="B373">
        <v>182</v>
      </c>
      <c r="C373">
        <f t="shared" si="15"/>
        <v>114.89339376</v>
      </c>
      <c r="D373">
        <f t="shared" si="16"/>
        <v>67.106606240000005</v>
      </c>
    </row>
    <row r="374" spans="1:4">
      <c r="A374">
        <v>373</v>
      </c>
      <c r="B374">
        <v>176</v>
      </c>
      <c r="C374">
        <f t="shared" si="15"/>
        <v>114.96311681</v>
      </c>
      <c r="D374">
        <f t="shared" si="16"/>
        <v>61.036883189999998</v>
      </c>
    </row>
    <row r="375" spans="1:4">
      <c r="A375">
        <v>374</v>
      </c>
      <c r="B375">
        <v>162</v>
      </c>
      <c r="C375">
        <f t="shared" si="15"/>
        <v>115.03253764</v>
      </c>
      <c r="D375">
        <f t="shared" si="16"/>
        <v>46.967462359999999</v>
      </c>
    </row>
    <row r="376" spans="1:4">
      <c r="A376">
        <v>375</v>
      </c>
      <c r="B376">
        <v>160</v>
      </c>
      <c r="C376">
        <f t="shared" si="15"/>
        <v>115.10165625</v>
      </c>
      <c r="D376">
        <f t="shared" si="16"/>
        <v>44.898343749999995</v>
      </c>
    </row>
    <row r="377" spans="1:4">
      <c r="A377">
        <v>376</v>
      </c>
      <c r="B377">
        <v>142</v>
      </c>
      <c r="C377">
        <f t="shared" si="15"/>
        <v>115.17047264</v>
      </c>
      <c r="D377">
        <f t="shared" si="16"/>
        <v>26.82952736</v>
      </c>
    </row>
    <row r="378" spans="1:4">
      <c r="A378">
        <v>377</v>
      </c>
      <c r="B378">
        <v>139</v>
      </c>
      <c r="C378">
        <f t="shared" si="15"/>
        <v>115.23898681</v>
      </c>
      <c r="D378">
        <f t="shared" si="16"/>
        <v>23.76101319</v>
      </c>
    </row>
    <row r="379" spans="1:4">
      <c r="A379">
        <v>378</v>
      </c>
      <c r="B379">
        <v>138</v>
      </c>
      <c r="C379">
        <f t="shared" si="15"/>
        <v>115.30719875999999</v>
      </c>
      <c r="D379">
        <f t="shared" si="16"/>
        <v>22.692801240000009</v>
      </c>
    </row>
    <row r="380" spans="1:4">
      <c r="A380">
        <v>379</v>
      </c>
      <c r="B380">
        <v>133</v>
      </c>
      <c r="C380">
        <f t="shared" si="15"/>
        <v>115.37510849</v>
      </c>
      <c r="D380">
        <f t="shared" si="16"/>
        <v>17.624891509999998</v>
      </c>
    </row>
    <row r="381" spans="1:4">
      <c r="A381">
        <v>380</v>
      </c>
      <c r="B381">
        <v>143</v>
      </c>
      <c r="C381">
        <f t="shared" si="15"/>
        <v>115.442716</v>
      </c>
      <c r="D381">
        <f t="shared" si="16"/>
        <v>27.557283999999996</v>
      </c>
    </row>
    <row r="382" spans="1:4">
      <c r="A382">
        <v>381</v>
      </c>
      <c r="B382">
        <v>162</v>
      </c>
      <c r="C382">
        <f t="shared" si="15"/>
        <v>115.51002129</v>
      </c>
      <c r="D382">
        <f t="shared" si="16"/>
        <v>46.489978710000003</v>
      </c>
    </row>
    <row r="383" spans="1:4">
      <c r="A383">
        <v>382</v>
      </c>
      <c r="B383">
        <v>197</v>
      </c>
      <c r="C383">
        <f t="shared" si="15"/>
        <v>115.57702436</v>
      </c>
      <c r="D383">
        <f t="shared" si="16"/>
        <v>81.422975640000004</v>
      </c>
    </row>
    <row r="384" spans="1:4">
      <c r="A384">
        <v>383</v>
      </c>
      <c r="B384">
        <v>226</v>
      </c>
      <c r="C384">
        <f t="shared" si="15"/>
        <v>115.64372521</v>
      </c>
      <c r="D384">
        <f t="shared" si="16"/>
        <v>110.35627479</v>
      </c>
    </row>
    <row r="385" spans="1:4">
      <c r="A385">
        <v>384</v>
      </c>
      <c r="B385">
        <v>230</v>
      </c>
      <c r="C385">
        <f t="shared" si="15"/>
        <v>115.71012383999999</v>
      </c>
      <c r="D385">
        <f t="shared" si="16"/>
        <v>114.28987616000001</v>
      </c>
    </row>
    <row r="386" spans="1:4">
      <c r="A386">
        <v>385</v>
      </c>
      <c r="B386">
        <v>259</v>
      </c>
      <c r="C386">
        <f t="shared" ref="C386:C449" si="17" xml:space="preserve"> -0.00015111*A386*A386 + 0.1823*A386 + 67.989</f>
        <v>115.77622024999999</v>
      </c>
      <c r="D386">
        <f t="shared" ref="D386:D449" si="18">B386-C386</f>
        <v>143.22377975000001</v>
      </c>
    </row>
    <row r="387" spans="1:4">
      <c r="A387">
        <v>386</v>
      </c>
      <c r="B387">
        <v>341</v>
      </c>
      <c r="C387">
        <f t="shared" si="17"/>
        <v>115.84201444</v>
      </c>
      <c r="D387">
        <f t="shared" si="18"/>
        <v>225.15798555999999</v>
      </c>
    </row>
    <row r="388" spans="1:4">
      <c r="A388">
        <v>387</v>
      </c>
      <c r="B388">
        <v>458</v>
      </c>
      <c r="C388">
        <f t="shared" si="17"/>
        <v>115.90750641</v>
      </c>
      <c r="D388">
        <f t="shared" si="18"/>
        <v>342.09249359</v>
      </c>
    </row>
    <row r="389" spans="1:4">
      <c r="A389">
        <v>388</v>
      </c>
      <c r="B389">
        <v>546</v>
      </c>
      <c r="C389">
        <f t="shared" si="17"/>
        <v>115.97269616</v>
      </c>
      <c r="D389">
        <f t="shared" si="18"/>
        <v>430.02730384</v>
      </c>
    </row>
    <row r="390" spans="1:4">
      <c r="A390">
        <v>389</v>
      </c>
      <c r="B390">
        <v>542</v>
      </c>
      <c r="C390">
        <f t="shared" si="17"/>
        <v>116.03758369000001</v>
      </c>
      <c r="D390">
        <f t="shared" si="18"/>
        <v>425.96241630999998</v>
      </c>
    </row>
    <row r="391" spans="1:4">
      <c r="A391">
        <v>390</v>
      </c>
      <c r="B391">
        <v>483</v>
      </c>
      <c r="C391">
        <f t="shared" si="17"/>
        <v>116.102169</v>
      </c>
      <c r="D391">
        <f t="shared" si="18"/>
        <v>366.897831</v>
      </c>
    </row>
    <row r="392" spans="1:4">
      <c r="A392">
        <v>391</v>
      </c>
      <c r="B392">
        <v>446</v>
      </c>
      <c r="C392">
        <f t="shared" si="17"/>
        <v>116.16645208999999</v>
      </c>
      <c r="D392">
        <f t="shared" si="18"/>
        <v>329.83354790999999</v>
      </c>
    </row>
    <row r="393" spans="1:4">
      <c r="A393">
        <v>392</v>
      </c>
      <c r="B393">
        <v>442</v>
      </c>
      <c r="C393">
        <f t="shared" si="17"/>
        <v>116.23043296</v>
      </c>
      <c r="D393">
        <f t="shared" si="18"/>
        <v>325.76956703999997</v>
      </c>
    </row>
    <row r="394" spans="1:4">
      <c r="A394">
        <v>393</v>
      </c>
      <c r="B394">
        <v>420</v>
      </c>
      <c r="C394">
        <f t="shared" si="17"/>
        <v>116.29411161</v>
      </c>
      <c r="D394">
        <f t="shared" si="18"/>
        <v>303.70588838999998</v>
      </c>
    </row>
    <row r="395" spans="1:4">
      <c r="A395">
        <v>394</v>
      </c>
      <c r="B395">
        <v>406</v>
      </c>
      <c r="C395">
        <f t="shared" si="17"/>
        <v>116.35748804000001</v>
      </c>
      <c r="D395">
        <f t="shared" si="18"/>
        <v>289.64251195999998</v>
      </c>
    </row>
    <row r="396" spans="1:4">
      <c r="A396">
        <v>395</v>
      </c>
      <c r="B396">
        <v>382</v>
      </c>
      <c r="C396">
        <f t="shared" si="17"/>
        <v>116.42056225</v>
      </c>
      <c r="D396">
        <f t="shared" si="18"/>
        <v>265.57943775000001</v>
      </c>
    </row>
    <row r="397" spans="1:4">
      <c r="A397">
        <v>396</v>
      </c>
      <c r="B397">
        <v>382</v>
      </c>
      <c r="C397">
        <f t="shared" si="17"/>
        <v>116.48333424</v>
      </c>
      <c r="D397">
        <f t="shared" si="18"/>
        <v>265.51666576000002</v>
      </c>
    </row>
    <row r="398" spans="1:4">
      <c r="A398">
        <v>397</v>
      </c>
      <c r="B398">
        <v>376</v>
      </c>
      <c r="C398">
        <f t="shared" si="17"/>
        <v>116.54580401</v>
      </c>
      <c r="D398">
        <f t="shared" si="18"/>
        <v>259.45419599000002</v>
      </c>
    </row>
    <row r="399" spans="1:4">
      <c r="A399">
        <v>398</v>
      </c>
      <c r="B399">
        <v>369</v>
      </c>
      <c r="C399">
        <f t="shared" si="17"/>
        <v>116.60797156</v>
      </c>
      <c r="D399">
        <f t="shared" si="18"/>
        <v>252.39202843999999</v>
      </c>
    </row>
    <row r="400" spans="1:4">
      <c r="A400">
        <v>399</v>
      </c>
      <c r="B400">
        <v>328</v>
      </c>
      <c r="C400">
        <f t="shared" si="17"/>
        <v>116.66983689</v>
      </c>
      <c r="D400">
        <f t="shared" si="18"/>
        <v>211.33016311</v>
      </c>
    </row>
    <row r="401" spans="1:4">
      <c r="A401">
        <v>400</v>
      </c>
      <c r="B401">
        <v>319</v>
      </c>
      <c r="C401">
        <f t="shared" si="17"/>
        <v>116.73140000000001</v>
      </c>
      <c r="D401">
        <f t="shared" si="18"/>
        <v>202.26859999999999</v>
      </c>
    </row>
    <row r="402" spans="1:4">
      <c r="A402">
        <v>401</v>
      </c>
      <c r="B402">
        <v>291</v>
      </c>
      <c r="C402">
        <f t="shared" si="17"/>
        <v>116.79266089000001</v>
      </c>
      <c r="D402">
        <f t="shared" si="18"/>
        <v>174.20733910999999</v>
      </c>
    </row>
    <row r="403" spans="1:4">
      <c r="A403">
        <v>402</v>
      </c>
      <c r="B403">
        <v>301</v>
      </c>
      <c r="C403">
        <f t="shared" si="17"/>
        <v>116.85361956</v>
      </c>
      <c r="D403">
        <f t="shared" si="18"/>
        <v>184.14638044</v>
      </c>
    </row>
    <row r="404" spans="1:4">
      <c r="A404">
        <v>403</v>
      </c>
      <c r="B404">
        <v>289</v>
      </c>
      <c r="C404">
        <f t="shared" si="17"/>
        <v>116.91427600999999</v>
      </c>
      <c r="D404">
        <f t="shared" si="18"/>
        <v>172.08572399000002</v>
      </c>
    </row>
    <row r="405" spans="1:4">
      <c r="A405">
        <v>404</v>
      </c>
      <c r="B405">
        <v>281</v>
      </c>
      <c r="C405">
        <f t="shared" si="17"/>
        <v>116.97463024</v>
      </c>
      <c r="D405">
        <f t="shared" si="18"/>
        <v>164.02536975999999</v>
      </c>
    </row>
    <row r="406" spans="1:4">
      <c r="A406">
        <v>405</v>
      </c>
      <c r="B406">
        <v>266</v>
      </c>
      <c r="C406">
        <f t="shared" si="17"/>
        <v>117.03468224999999</v>
      </c>
      <c r="D406">
        <f t="shared" si="18"/>
        <v>148.96531775</v>
      </c>
    </row>
    <row r="407" spans="1:4">
      <c r="A407">
        <v>406</v>
      </c>
      <c r="B407">
        <v>256</v>
      </c>
      <c r="C407">
        <f t="shared" si="17"/>
        <v>117.09443203999999</v>
      </c>
      <c r="D407">
        <f t="shared" si="18"/>
        <v>138.90556796000001</v>
      </c>
    </row>
    <row r="408" spans="1:4">
      <c r="A408">
        <v>407</v>
      </c>
      <c r="B408">
        <v>267</v>
      </c>
      <c r="C408">
        <f t="shared" si="17"/>
        <v>117.15387961</v>
      </c>
      <c r="D408">
        <f t="shared" si="18"/>
        <v>149.84612039000001</v>
      </c>
    </row>
    <row r="409" spans="1:4">
      <c r="A409">
        <v>408</v>
      </c>
      <c r="B409">
        <v>266</v>
      </c>
      <c r="C409">
        <f t="shared" si="17"/>
        <v>117.21302496</v>
      </c>
      <c r="D409">
        <f t="shared" si="18"/>
        <v>148.78697504000002</v>
      </c>
    </row>
    <row r="410" spans="1:4">
      <c r="A410">
        <v>409</v>
      </c>
      <c r="B410">
        <v>261</v>
      </c>
      <c r="C410">
        <f t="shared" si="17"/>
        <v>117.27186809</v>
      </c>
      <c r="D410">
        <f t="shared" si="18"/>
        <v>143.72813191</v>
      </c>
    </row>
    <row r="411" spans="1:4">
      <c r="A411">
        <v>410</v>
      </c>
      <c r="B411">
        <v>250</v>
      </c>
      <c r="C411">
        <f t="shared" si="17"/>
        <v>117.330409</v>
      </c>
      <c r="D411">
        <f t="shared" si="18"/>
        <v>132.669591</v>
      </c>
    </row>
    <row r="412" spans="1:4">
      <c r="A412">
        <v>411</v>
      </c>
      <c r="B412">
        <v>227</v>
      </c>
      <c r="C412">
        <f t="shared" si="17"/>
        <v>117.38864769</v>
      </c>
      <c r="D412">
        <f t="shared" si="18"/>
        <v>109.61135231</v>
      </c>
    </row>
    <row r="413" spans="1:4">
      <c r="A413">
        <v>412</v>
      </c>
      <c r="B413">
        <v>232</v>
      </c>
      <c r="C413">
        <f t="shared" si="17"/>
        <v>117.44658415999999</v>
      </c>
      <c r="D413">
        <f t="shared" si="18"/>
        <v>114.55341584000001</v>
      </c>
    </row>
    <row r="414" spans="1:4">
      <c r="A414">
        <v>413</v>
      </c>
      <c r="B414">
        <v>241</v>
      </c>
      <c r="C414">
        <f t="shared" si="17"/>
        <v>117.50421840999999</v>
      </c>
      <c r="D414">
        <f t="shared" si="18"/>
        <v>123.49578159000001</v>
      </c>
    </row>
    <row r="415" spans="1:4">
      <c r="A415">
        <v>414</v>
      </c>
      <c r="B415">
        <v>247</v>
      </c>
      <c r="C415">
        <f t="shared" si="17"/>
        <v>117.56155044</v>
      </c>
      <c r="D415">
        <f t="shared" si="18"/>
        <v>129.43844955999998</v>
      </c>
    </row>
    <row r="416" spans="1:4">
      <c r="A416">
        <v>415</v>
      </c>
      <c r="B416">
        <v>243</v>
      </c>
      <c r="C416">
        <f t="shared" si="17"/>
        <v>117.61858025000001</v>
      </c>
      <c r="D416">
        <f t="shared" si="18"/>
        <v>125.38141974999999</v>
      </c>
    </row>
    <row r="417" spans="1:4">
      <c r="A417">
        <v>416</v>
      </c>
      <c r="B417">
        <v>226</v>
      </c>
      <c r="C417">
        <f t="shared" si="17"/>
        <v>117.67530784</v>
      </c>
      <c r="D417">
        <f t="shared" si="18"/>
        <v>108.32469216</v>
      </c>
    </row>
    <row r="418" spans="1:4">
      <c r="A418">
        <v>417</v>
      </c>
      <c r="B418">
        <v>219</v>
      </c>
      <c r="C418">
        <f t="shared" si="17"/>
        <v>117.73173321</v>
      </c>
      <c r="D418">
        <f t="shared" si="18"/>
        <v>101.26826679</v>
      </c>
    </row>
    <row r="419" spans="1:4">
      <c r="A419">
        <v>418</v>
      </c>
      <c r="B419">
        <v>228</v>
      </c>
      <c r="C419">
        <f t="shared" si="17"/>
        <v>117.78785635999999</v>
      </c>
      <c r="D419">
        <f t="shared" si="18"/>
        <v>110.21214364000001</v>
      </c>
    </row>
    <row r="420" spans="1:4">
      <c r="A420">
        <v>419</v>
      </c>
      <c r="B420">
        <v>219</v>
      </c>
      <c r="C420">
        <f t="shared" si="17"/>
        <v>117.84367728999999</v>
      </c>
      <c r="D420">
        <f t="shared" si="18"/>
        <v>101.15632271000001</v>
      </c>
    </row>
    <row r="421" spans="1:4">
      <c r="A421">
        <v>420</v>
      </c>
      <c r="B421">
        <v>226</v>
      </c>
      <c r="C421">
        <f t="shared" si="17"/>
        <v>117.899196</v>
      </c>
      <c r="D421">
        <f t="shared" si="18"/>
        <v>108.100804</v>
      </c>
    </row>
    <row r="422" spans="1:4">
      <c r="A422">
        <v>421</v>
      </c>
      <c r="B422">
        <v>227</v>
      </c>
      <c r="C422">
        <f t="shared" si="17"/>
        <v>117.95441249</v>
      </c>
      <c r="D422">
        <f t="shared" si="18"/>
        <v>109.04558751</v>
      </c>
    </row>
    <row r="423" spans="1:4">
      <c r="A423">
        <v>422</v>
      </c>
      <c r="B423">
        <v>205</v>
      </c>
      <c r="C423">
        <f t="shared" si="17"/>
        <v>118.00932675999999</v>
      </c>
      <c r="D423">
        <f t="shared" si="18"/>
        <v>86.990673240000007</v>
      </c>
    </row>
    <row r="424" spans="1:4">
      <c r="A424">
        <v>423</v>
      </c>
      <c r="B424">
        <v>195</v>
      </c>
      <c r="C424">
        <f t="shared" si="17"/>
        <v>118.06393881</v>
      </c>
      <c r="D424">
        <f t="shared" si="18"/>
        <v>76.936061190000004</v>
      </c>
    </row>
    <row r="425" spans="1:4">
      <c r="A425">
        <v>424</v>
      </c>
      <c r="B425">
        <v>206</v>
      </c>
      <c r="C425">
        <f t="shared" si="17"/>
        <v>118.11824864</v>
      </c>
      <c r="D425">
        <f t="shared" si="18"/>
        <v>87.881751359999996</v>
      </c>
    </row>
    <row r="426" spans="1:4">
      <c r="A426">
        <v>425</v>
      </c>
      <c r="B426">
        <v>216</v>
      </c>
      <c r="C426">
        <f t="shared" si="17"/>
        <v>118.17225624999999</v>
      </c>
      <c r="D426">
        <f t="shared" si="18"/>
        <v>97.82774375000001</v>
      </c>
    </row>
    <row r="427" spans="1:4">
      <c r="A427">
        <v>426</v>
      </c>
      <c r="B427">
        <v>221</v>
      </c>
      <c r="C427">
        <f t="shared" si="17"/>
        <v>118.22596163999999</v>
      </c>
      <c r="D427">
        <f t="shared" si="18"/>
        <v>102.77403836000001</v>
      </c>
    </row>
    <row r="428" spans="1:4">
      <c r="A428">
        <v>427</v>
      </c>
      <c r="B428">
        <v>227</v>
      </c>
      <c r="C428">
        <f t="shared" si="17"/>
        <v>118.27936481</v>
      </c>
      <c r="D428">
        <f t="shared" si="18"/>
        <v>108.72063519</v>
      </c>
    </row>
    <row r="429" spans="1:4">
      <c r="A429">
        <v>428</v>
      </c>
      <c r="B429">
        <v>231</v>
      </c>
      <c r="C429">
        <f t="shared" si="17"/>
        <v>118.33246576000001</v>
      </c>
      <c r="D429">
        <f t="shared" si="18"/>
        <v>112.66753423999999</v>
      </c>
    </row>
    <row r="430" spans="1:4">
      <c r="A430">
        <v>429</v>
      </c>
      <c r="B430">
        <v>254</v>
      </c>
      <c r="C430">
        <f t="shared" si="17"/>
        <v>118.38526449</v>
      </c>
      <c r="D430">
        <f t="shared" si="18"/>
        <v>135.61473551</v>
      </c>
    </row>
    <row r="431" spans="1:4">
      <c r="A431">
        <v>430</v>
      </c>
      <c r="B431">
        <v>294</v>
      </c>
      <c r="C431">
        <f t="shared" si="17"/>
        <v>118.43776099999999</v>
      </c>
      <c r="D431">
        <f t="shared" si="18"/>
        <v>175.56223900000001</v>
      </c>
    </row>
    <row r="432" spans="1:4">
      <c r="A432">
        <v>431</v>
      </c>
      <c r="B432">
        <v>330</v>
      </c>
      <c r="C432">
        <f t="shared" si="17"/>
        <v>118.48995529</v>
      </c>
      <c r="D432">
        <f t="shared" si="18"/>
        <v>211.51004470999999</v>
      </c>
    </row>
    <row r="433" spans="1:7">
      <c r="A433">
        <v>432</v>
      </c>
      <c r="B433">
        <v>349</v>
      </c>
      <c r="C433">
        <f t="shared" si="17"/>
        <v>118.54184735999999</v>
      </c>
      <c r="D433">
        <f t="shared" si="18"/>
        <v>230.45815264000001</v>
      </c>
    </row>
    <row r="434" spans="1:7">
      <c r="A434">
        <v>433</v>
      </c>
      <c r="B434">
        <v>317</v>
      </c>
      <c r="C434">
        <f t="shared" si="17"/>
        <v>118.59343720999999</v>
      </c>
      <c r="D434">
        <f t="shared" si="18"/>
        <v>198.40656279000001</v>
      </c>
    </row>
    <row r="435" spans="1:7">
      <c r="A435">
        <v>434</v>
      </c>
      <c r="B435">
        <v>303</v>
      </c>
      <c r="C435">
        <f t="shared" si="17"/>
        <v>118.64472484000001</v>
      </c>
      <c r="D435">
        <f t="shared" si="18"/>
        <v>184.35527515999999</v>
      </c>
    </row>
    <row r="436" spans="1:7">
      <c r="A436">
        <v>435</v>
      </c>
      <c r="B436">
        <v>335</v>
      </c>
      <c r="C436">
        <f t="shared" si="17"/>
        <v>118.69571025</v>
      </c>
      <c r="D436">
        <f t="shared" si="18"/>
        <v>216.30428975000001</v>
      </c>
    </row>
    <row r="437" spans="1:7">
      <c r="A437">
        <v>436</v>
      </c>
      <c r="B437">
        <v>435</v>
      </c>
      <c r="C437">
        <f t="shared" si="17"/>
        <v>118.74639343999999</v>
      </c>
      <c r="D437">
        <f t="shared" si="18"/>
        <v>316.25360655999998</v>
      </c>
    </row>
    <row r="438" spans="1:7">
      <c r="A438">
        <v>437</v>
      </c>
      <c r="B438">
        <v>541</v>
      </c>
      <c r="C438">
        <f t="shared" si="17"/>
        <v>118.79677441</v>
      </c>
      <c r="D438">
        <f t="shared" si="18"/>
        <v>422.20322558999999</v>
      </c>
    </row>
    <row r="439" spans="1:7">
      <c r="A439">
        <v>438</v>
      </c>
      <c r="B439">
        <v>625</v>
      </c>
      <c r="C439">
        <f t="shared" si="17"/>
        <v>118.84685315999999</v>
      </c>
      <c r="D439">
        <f t="shared" si="18"/>
        <v>506.15314683999998</v>
      </c>
    </row>
    <row r="440" spans="1:7">
      <c r="A440">
        <v>439</v>
      </c>
      <c r="B440">
        <v>814</v>
      </c>
      <c r="C440">
        <f t="shared" si="17"/>
        <v>118.89662969</v>
      </c>
      <c r="D440">
        <f t="shared" si="18"/>
        <v>695.10337030999995</v>
      </c>
    </row>
    <row r="441" spans="1:7">
      <c r="A441">
        <v>440</v>
      </c>
      <c r="B441">
        <v>1279</v>
      </c>
      <c r="C441">
        <f t="shared" si="17"/>
        <v>118.94610399999999</v>
      </c>
      <c r="D441">
        <f t="shared" si="18"/>
        <v>1160.0538959999999</v>
      </c>
    </row>
    <row r="442" spans="1:7">
      <c r="A442">
        <v>441</v>
      </c>
      <c r="B442">
        <v>2210</v>
      </c>
      <c r="C442">
        <f t="shared" si="17"/>
        <v>118.99527609</v>
      </c>
      <c r="D442">
        <f t="shared" si="18"/>
        <v>2091.0047239099999</v>
      </c>
    </row>
    <row r="443" spans="1:7">
      <c r="A443">
        <v>442</v>
      </c>
      <c r="B443">
        <v>4752</v>
      </c>
      <c r="C443">
        <f t="shared" si="17"/>
        <v>119.04414595999999</v>
      </c>
      <c r="D443">
        <f t="shared" si="18"/>
        <v>4632.9558540400003</v>
      </c>
    </row>
    <row r="444" spans="1:7">
      <c r="A444">
        <v>443</v>
      </c>
      <c r="B444">
        <v>10696</v>
      </c>
      <c r="C444">
        <f t="shared" si="17"/>
        <v>119.09271361</v>
      </c>
      <c r="D444">
        <f t="shared" si="18"/>
        <v>10576.90728639</v>
      </c>
    </row>
    <row r="445" spans="1:7">
      <c r="A445">
        <v>444</v>
      </c>
      <c r="B445">
        <v>21199</v>
      </c>
      <c r="C445">
        <f t="shared" si="17"/>
        <v>119.14097903999999</v>
      </c>
      <c r="D445">
        <f t="shared" si="18"/>
        <v>21079.859020960001</v>
      </c>
    </row>
    <row r="446" spans="1:7" ht="17.25">
      <c r="A446">
        <v>445</v>
      </c>
      <c r="B446">
        <v>27667</v>
      </c>
      <c r="C446">
        <f t="shared" si="17"/>
        <v>119.18894225</v>
      </c>
      <c r="D446">
        <f t="shared" si="18"/>
        <v>27547.811057750001</v>
      </c>
      <c r="F446">
        <v>445.5</v>
      </c>
      <c r="G446" t="s">
        <v>22</v>
      </c>
    </row>
    <row r="447" spans="1:7">
      <c r="A447">
        <v>446</v>
      </c>
      <c r="B447">
        <v>25310</v>
      </c>
      <c r="C447">
        <f t="shared" si="17"/>
        <v>119.23660323999999</v>
      </c>
      <c r="D447">
        <f t="shared" si="18"/>
        <v>25190.763396760001</v>
      </c>
    </row>
    <row r="448" spans="1:7">
      <c r="A448">
        <v>447</v>
      </c>
      <c r="B448">
        <v>16169</v>
      </c>
      <c r="C448">
        <f t="shared" si="17"/>
        <v>119.28396201</v>
      </c>
      <c r="D448">
        <f t="shared" si="18"/>
        <v>16049.71603799</v>
      </c>
    </row>
    <row r="449" spans="1:4">
      <c r="A449">
        <v>448</v>
      </c>
      <c r="B449">
        <v>8245</v>
      </c>
      <c r="C449">
        <f t="shared" si="17"/>
        <v>119.33101856</v>
      </c>
      <c r="D449">
        <f t="shared" si="18"/>
        <v>8125.6689814399997</v>
      </c>
    </row>
    <row r="450" spans="1:4">
      <c r="A450">
        <v>449</v>
      </c>
      <c r="B450">
        <v>3968</v>
      </c>
      <c r="C450">
        <f t="shared" ref="C450:C513" si="19" xml:space="preserve"> -0.00015111*A450*A450 + 0.1823*A450 + 67.989</f>
        <v>119.37777289</v>
      </c>
      <c r="D450">
        <f t="shared" ref="D450:D513" si="20">B450-C450</f>
        <v>3848.62222711</v>
      </c>
    </row>
    <row r="451" spans="1:4">
      <c r="A451">
        <v>450</v>
      </c>
      <c r="B451">
        <v>1781</v>
      </c>
      <c r="C451">
        <f t="shared" si="19"/>
        <v>119.42422500000001</v>
      </c>
      <c r="D451">
        <f t="shared" si="20"/>
        <v>1661.575775</v>
      </c>
    </row>
    <row r="452" spans="1:4">
      <c r="A452">
        <v>451</v>
      </c>
      <c r="B452">
        <v>852</v>
      </c>
      <c r="C452">
        <f t="shared" si="19"/>
        <v>119.47037489</v>
      </c>
      <c r="D452">
        <f t="shared" si="20"/>
        <v>732.52962510999998</v>
      </c>
    </row>
    <row r="453" spans="1:4">
      <c r="A453">
        <v>452</v>
      </c>
      <c r="B453">
        <v>496</v>
      </c>
      <c r="C453">
        <f t="shared" si="19"/>
        <v>119.51622255999999</v>
      </c>
      <c r="D453">
        <f t="shared" si="20"/>
        <v>376.48377744000004</v>
      </c>
    </row>
    <row r="454" spans="1:4">
      <c r="A454">
        <v>453</v>
      </c>
      <c r="B454">
        <v>362</v>
      </c>
      <c r="C454">
        <f t="shared" si="19"/>
        <v>119.56176800999999</v>
      </c>
      <c r="D454">
        <f t="shared" si="20"/>
        <v>242.43823199000002</v>
      </c>
    </row>
    <row r="455" spans="1:4">
      <c r="A455">
        <v>454</v>
      </c>
      <c r="B455">
        <v>326</v>
      </c>
      <c r="C455">
        <f t="shared" si="19"/>
        <v>119.60701124000001</v>
      </c>
      <c r="D455">
        <f t="shared" si="20"/>
        <v>206.39298875999998</v>
      </c>
    </row>
    <row r="456" spans="1:4">
      <c r="A456">
        <v>455</v>
      </c>
      <c r="B456">
        <v>283</v>
      </c>
      <c r="C456">
        <f t="shared" si="19"/>
        <v>119.65195225000001</v>
      </c>
      <c r="D456">
        <f t="shared" si="20"/>
        <v>163.34804774999998</v>
      </c>
    </row>
    <row r="457" spans="1:4">
      <c r="A457">
        <v>456</v>
      </c>
      <c r="B457">
        <v>247</v>
      </c>
      <c r="C457">
        <f t="shared" si="19"/>
        <v>119.69659104</v>
      </c>
      <c r="D457">
        <f t="shared" si="20"/>
        <v>127.30340896</v>
      </c>
    </row>
    <row r="458" spans="1:4">
      <c r="A458">
        <v>457</v>
      </c>
      <c r="B458">
        <v>221</v>
      </c>
      <c r="C458">
        <f t="shared" si="19"/>
        <v>119.74092761</v>
      </c>
      <c r="D458">
        <f t="shared" si="20"/>
        <v>101.25907239</v>
      </c>
    </row>
    <row r="459" spans="1:4">
      <c r="A459">
        <v>458</v>
      </c>
      <c r="B459">
        <v>207</v>
      </c>
      <c r="C459">
        <f t="shared" si="19"/>
        <v>119.78496196</v>
      </c>
      <c r="D459">
        <f t="shared" si="20"/>
        <v>87.215038039999996</v>
      </c>
    </row>
    <row r="460" spans="1:4">
      <c r="A460">
        <v>459</v>
      </c>
      <c r="B460">
        <v>174</v>
      </c>
      <c r="C460">
        <f t="shared" si="19"/>
        <v>119.82869409</v>
      </c>
      <c r="D460">
        <f t="shared" si="20"/>
        <v>54.171305910000001</v>
      </c>
    </row>
    <row r="461" spans="1:4">
      <c r="A461">
        <v>460</v>
      </c>
      <c r="B461">
        <v>178</v>
      </c>
      <c r="C461">
        <f t="shared" si="19"/>
        <v>119.87212399999999</v>
      </c>
      <c r="D461">
        <f t="shared" si="20"/>
        <v>58.127876000000015</v>
      </c>
    </row>
    <row r="462" spans="1:4">
      <c r="A462">
        <v>461</v>
      </c>
      <c r="B462">
        <v>208</v>
      </c>
      <c r="C462">
        <f t="shared" si="19"/>
        <v>119.91525169000001</v>
      </c>
      <c r="D462">
        <f t="shared" si="20"/>
        <v>88.084748309999995</v>
      </c>
    </row>
    <row r="463" spans="1:4">
      <c r="A463">
        <v>462</v>
      </c>
      <c r="B463">
        <v>240</v>
      </c>
      <c r="C463">
        <f t="shared" si="19"/>
        <v>119.95807716</v>
      </c>
      <c r="D463">
        <f t="shared" si="20"/>
        <v>120.04192284</v>
      </c>
    </row>
    <row r="464" spans="1:4">
      <c r="A464">
        <v>463</v>
      </c>
      <c r="B464">
        <v>243</v>
      </c>
      <c r="C464">
        <f t="shared" si="19"/>
        <v>120.00060041</v>
      </c>
      <c r="D464">
        <f t="shared" si="20"/>
        <v>122.99939959</v>
      </c>
    </row>
    <row r="465" spans="1:4">
      <c r="A465">
        <v>464</v>
      </c>
      <c r="B465">
        <v>219</v>
      </c>
      <c r="C465">
        <f t="shared" si="19"/>
        <v>120.04282144</v>
      </c>
      <c r="D465">
        <f t="shared" si="20"/>
        <v>98.957178560000003</v>
      </c>
    </row>
    <row r="466" spans="1:4">
      <c r="A466">
        <v>465</v>
      </c>
      <c r="B466">
        <v>196</v>
      </c>
      <c r="C466">
        <f t="shared" si="19"/>
        <v>120.08474025</v>
      </c>
      <c r="D466">
        <f t="shared" si="20"/>
        <v>75.915259750000004</v>
      </c>
    </row>
    <row r="467" spans="1:4">
      <c r="A467">
        <v>466</v>
      </c>
      <c r="B467">
        <v>200</v>
      </c>
      <c r="C467">
        <f t="shared" si="19"/>
        <v>120.12635684</v>
      </c>
      <c r="D467">
        <f t="shared" si="20"/>
        <v>79.87364316</v>
      </c>
    </row>
    <row r="468" spans="1:4">
      <c r="A468">
        <v>467</v>
      </c>
      <c r="B468">
        <v>203</v>
      </c>
      <c r="C468">
        <f t="shared" si="19"/>
        <v>120.16767120999999</v>
      </c>
      <c r="D468">
        <f t="shared" si="20"/>
        <v>82.832328790000005</v>
      </c>
    </row>
    <row r="469" spans="1:4">
      <c r="A469">
        <v>468</v>
      </c>
      <c r="B469">
        <v>230</v>
      </c>
      <c r="C469">
        <f t="shared" si="19"/>
        <v>120.20868336000001</v>
      </c>
      <c r="D469">
        <f t="shared" si="20"/>
        <v>109.79131663999999</v>
      </c>
    </row>
    <row r="470" spans="1:4">
      <c r="A470">
        <v>469</v>
      </c>
      <c r="B470">
        <v>251</v>
      </c>
      <c r="C470">
        <f t="shared" si="19"/>
        <v>120.24939329</v>
      </c>
      <c r="D470">
        <f t="shared" si="20"/>
        <v>130.75060671</v>
      </c>
    </row>
    <row r="471" spans="1:4">
      <c r="A471">
        <v>470</v>
      </c>
      <c r="B471">
        <v>246</v>
      </c>
      <c r="C471">
        <f t="shared" si="19"/>
        <v>120.289801</v>
      </c>
      <c r="D471">
        <f t="shared" si="20"/>
        <v>125.710199</v>
      </c>
    </row>
    <row r="472" spans="1:4">
      <c r="A472">
        <v>471</v>
      </c>
      <c r="B472">
        <v>232</v>
      </c>
      <c r="C472">
        <f t="shared" si="19"/>
        <v>120.32990649</v>
      </c>
      <c r="D472">
        <f t="shared" si="20"/>
        <v>111.67009351</v>
      </c>
    </row>
    <row r="473" spans="1:4">
      <c r="A473">
        <v>472</v>
      </c>
      <c r="B473">
        <v>217</v>
      </c>
      <c r="C473">
        <f t="shared" si="19"/>
        <v>120.36970976000001</v>
      </c>
      <c r="D473">
        <f t="shared" si="20"/>
        <v>96.630290239999994</v>
      </c>
    </row>
    <row r="474" spans="1:4">
      <c r="A474">
        <v>473</v>
      </c>
      <c r="B474">
        <v>208</v>
      </c>
      <c r="C474">
        <f t="shared" si="19"/>
        <v>120.40921080999999</v>
      </c>
      <c r="D474">
        <f t="shared" si="20"/>
        <v>87.59078919000001</v>
      </c>
    </row>
    <row r="475" spans="1:4">
      <c r="A475">
        <v>474</v>
      </c>
      <c r="B475">
        <v>204</v>
      </c>
      <c r="C475">
        <f t="shared" si="19"/>
        <v>120.44840963999999</v>
      </c>
      <c r="D475">
        <f t="shared" si="20"/>
        <v>83.551590360000006</v>
      </c>
    </row>
    <row r="476" spans="1:4">
      <c r="A476">
        <v>475</v>
      </c>
      <c r="B476">
        <v>195</v>
      </c>
      <c r="C476">
        <f t="shared" si="19"/>
        <v>120.48730625</v>
      </c>
      <c r="D476">
        <f t="shared" si="20"/>
        <v>74.512693749999997</v>
      </c>
    </row>
    <row r="477" spans="1:4">
      <c r="A477">
        <v>476</v>
      </c>
      <c r="B477">
        <v>181</v>
      </c>
      <c r="C477">
        <f t="shared" si="19"/>
        <v>120.52590064</v>
      </c>
      <c r="D477">
        <f t="shared" si="20"/>
        <v>60.474099359999997</v>
      </c>
    </row>
    <row r="478" spans="1:4">
      <c r="A478">
        <v>477</v>
      </c>
      <c r="B478">
        <v>172</v>
      </c>
      <c r="C478">
        <f t="shared" si="19"/>
        <v>120.56419281000001</v>
      </c>
      <c r="D478">
        <f t="shared" si="20"/>
        <v>51.435807189999991</v>
      </c>
    </row>
    <row r="479" spans="1:4">
      <c r="A479">
        <v>478</v>
      </c>
      <c r="B479">
        <v>189</v>
      </c>
      <c r="C479">
        <f t="shared" si="19"/>
        <v>120.60218276000001</v>
      </c>
      <c r="D479">
        <f t="shared" si="20"/>
        <v>68.397817239999995</v>
      </c>
    </row>
    <row r="480" spans="1:4">
      <c r="A480">
        <v>479</v>
      </c>
      <c r="B480">
        <v>227</v>
      </c>
      <c r="C480">
        <f t="shared" si="19"/>
        <v>120.63987048999999</v>
      </c>
      <c r="D480">
        <f t="shared" si="20"/>
        <v>106.36012951000001</v>
      </c>
    </row>
    <row r="481" spans="1:4">
      <c r="A481">
        <v>480</v>
      </c>
      <c r="B481">
        <v>262</v>
      </c>
      <c r="C481">
        <f t="shared" si="19"/>
        <v>120.677256</v>
      </c>
      <c r="D481">
        <f t="shared" si="20"/>
        <v>141.322744</v>
      </c>
    </row>
    <row r="482" spans="1:4">
      <c r="A482">
        <v>481</v>
      </c>
      <c r="B482">
        <v>232</v>
      </c>
      <c r="C482">
        <f t="shared" si="19"/>
        <v>120.71433929</v>
      </c>
      <c r="D482">
        <f t="shared" si="20"/>
        <v>111.28566071</v>
      </c>
    </row>
    <row r="483" spans="1:4">
      <c r="A483">
        <v>482</v>
      </c>
      <c r="B483">
        <v>194</v>
      </c>
      <c r="C483">
        <f t="shared" si="19"/>
        <v>120.75112036</v>
      </c>
      <c r="D483">
        <f t="shared" si="20"/>
        <v>73.248879639999998</v>
      </c>
    </row>
    <row r="484" spans="1:4">
      <c r="A484">
        <v>483</v>
      </c>
      <c r="B484">
        <v>165</v>
      </c>
      <c r="C484">
        <f t="shared" si="19"/>
        <v>120.78759921</v>
      </c>
      <c r="D484">
        <f t="shared" si="20"/>
        <v>44.212400790000004</v>
      </c>
    </row>
    <row r="485" spans="1:4">
      <c r="A485">
        <v>484</v>
      </c>
      <c r="B485">
        <v>156</v>
      </c>
      <c r="C485">
        <f t="shared" si="19"/>
        <v>120.82377584</v>
      </c>
      <c r="D485">
        <f t="shared" si="20"/>
        <v>35.176224160000004</v>
      </c>
    </row>
    <row r="486" spans="1:4">
      <c r="A486">
        <v>485</v>
      </c>
      <c r="B486">
        <v>151</v>
      </c>
      <c r="C486">
        <f t="shared" si="19"/>
        <v>120.85965024999999</v>
      </c>
      <c r="D486">
        <f t="shared" si="20"/>
        <v>30.140349750000013</v>
      </c>
    </row>
    <row r="487" spans="1:4">
      <c r="A487">
        <v>486</v>
      </c>
      <c r="B487">
        <v>135</v>
      </c>
      <c r="C487">
        <f t="shared" si="19"/>
        <v>120.89522244</v>
      </c>
      <c r="D487">
        <f t="shared" si="20"/>
        <v>14.104777560000002</v>
      </c>
    </row>
    <row r="488" spans="1:4">
      <c r="A488">
        <v>487</v>
      </c>
      <c r="B488">
        <v>151</v>
      </c>
      <c r="C488">
        <f t="shared" si="19"/>
        <v>120.93049241</v>
      </c>
      <c r="D488">
        <f t="shared" si="20"/>
        <v>30.069507590000001</v>
      </c>
    </row>
    <row r="489" spans="1:4">
      <c r="A489">
        <v>488</v>
      </c>
      <c r="B489">
        <v>153</v>
      </c>
      <c r="C489">
        <f t="shared" si="19"/>
        <v>120.96546015999999</v>
      </c>
      <c r="D489">
        <f t="shared" si="20"/>
        <v>32.034539840000008</v>
      </c>
    </row>
    <row r="490" spans="1:4">
      <c r="A490">
        <v>489</v>
      </c>
      <c r="B490">
        <v>158</v>
      </c>
      <c r="C490">
        <f t="shared" si="19"/>
        <v>121.00012569</v>
      </c>
      <c r="D490">
        <f t="shared" si="20"/>
        <v>36.999874309999996</v>
      </c>
    </row>
    <row r="491" spans="1:4">
      <c r="A491">
        <v>490</v>
      </c>
      <c r="B491">
        <v>165</v>
      </c>
      <c r="C491">
        <f t="shared" si="19"/>
        <v>121.03448900000001</v>
      </c>
      <c r="D491">
        <f t="shared" si="20"/>
        <v>43.965510999999992</v>
      </c>
    </row>
    <row r="492" spans="1:4">
      <c r="A492">
        <v>491</v>
      </c>
      <c r="B492">
        <v>160</v>
      </c>
      <c r="C492">
        <f t="shared" si="19"/>
        <v>121.06855009</v>
      </c>
      <c r="D492">
        <f t="shared" si="20"/>
        <v>38.931449909999998</v>
      </c>
    </row>
    <row r="493" spans="1:4">
      <c r="A493">
        <v>492</v>
      </c>
      <c r="B493">
        <v>154</v>
      </c>
      <c r="C493">
        <f t="shared" si="19"/>
        <v>121.10230895999999</v>
      </c>
      <c r="D493">
        <f t="shared" si="20"/>
        <v>32.897691040000012</v>
      </c>
    </row>
    <row r="494" spans="1:4">
      <c r="A494">
        <v>493</v>
      </c>
      <c r="B494">
        <v>152</v>
      </c>
      <c r="C494">
        <f t="shared" si="19"/>
        <v>121.13576560999999</v>
      </c>
      <c r="D494">
        <f t="shared" si="20"/>
        <v>30.864234390000007</v>
      </c>
    </row>
    <row r="495" spans="1:4">
      <c r="A495">
        <v>494</v>
      </c>
      <c r="B495">
        <v>176</v>
      </c>
      <c r="C495">
        <f t="shared" si="19"/>
        <v>121.16892003999999</v>
      </c>
      <c r="D495">
        <f t="shared" si="20"/>
        <v>54.831079960000011</v>
      </c>
    </row>
    <row r="496" spans="1:4">
      <c r="A496">
        <v>495</v>
      </c>
      <c r="B496">
        <v>213</v>
      </c>
      <c r="C496">
        <f t="shared" si="19"/>
        <v>121.20177225</v>
      </c>
      <c r="D496">
        <f t="shared" si="20"/>
        <v>91.798227749999995</v>
      </c>
    </row>
    <row r="497" spans="1:4">
      <c r="A497">
        <v>496</v>
      </c>
      <c r="B497">
        <v>251</v>
      </c>
      <c r="C497">
        <f t="shared" si="19"/>
        <v>121.23432224000001</v>
      </c>
      <c r="D497">
        <f t="shared" si="20"/>
        <v>129.76567775999999</v>
      </c>
    </row>
    <row r="498" spans="1:4">
      <c r="A498">
        <v>497</v>
      </c>
      <c r="B498">
        <v>276</v>
      </c>
      <c r="C498">
        <f t="shared" si="19"/>
        <v>121.26657001</v>
      </c>
      <c r="D498">
        <f t="shared" si="20"/>
        <v>154.73342998999999</v>
      </c>
    </row>
    <row r="499" spans="1:4">
      <c r="A499">
        <v>498</v>
      </c>
      <c r="B499">
        <v>250</v>
      </c>
      <c r="C499">
        <f t="shared" si="19"/>
        <v>121.29851556</v>
      </c>
      <c r="D499">
        <f t="shared" si="20"/>
        <v>128.70148444</v>
      </c>
    </row>
    <row r="500" spans="1:4">
      <c r="A500">
        <v>499</v>
      </c>
      <c r="B500">
        <v>200</v>
      </c>
      <c r="C500">
        <f t="shared" si="19"/>
        <v>121.33015889000001</v>
      </c>
      <c r="D500">
        <f t="shared" si="20"/>
        <v>78.669841109999993</v>
      </c>
    </row>
    <row r="501" spans="1:4">
      <c r="A501">
        <v>500</v>
      </c>
      <c r="B501">
        <v>177</v>
      </c>
      <c r="C501">
        <f t="shared" si="19"/>
        <v>121.36149999999999</v>
      </c>
      <c r="D501">
        <f t="shared" si="20"/>
        <v>55.638500000000008</v>
      </c>
    </row>
    <row r="502" spans="1:4">
      <c r="A502">
        <v>501</v>
      </c>
      <c r="B502">
        <v>163</v>
      </c>
      <c r="C502">
        <f t="shared" si="19"/>
        <v>121.39253889</v>
      </c>
      <c r="D502">
        <f t="shared" si="20"/>
        <v>41.607461110000003</v>
      </c>
    </row>
    <row r="503" spans="1:4">
      <c r="A503">
        <v>502</v>
      </c>
      <c r="B503">
        <v>138</v>
      </c>
      <c r="C503">
        <f t="shared" si="19"/>
        <v>121.42327556000001</v>
      </c>
      <c r="D503">
        <f t="shared" si="20"/>
        <v>16.576724439999992</v>
      </c>
    </row>
    <row r="504" spans="1:4">
      <c r="A504">
        <v>503</v>
      </c>
      <c r="B504">
        <v>141</v>
      </c>
      <c r="C504">
        <f t="shared" si="19"/>
        <v>121.45371001000001</v>
      </c>
      <c r="D504">
        <f t="shared" si="20"/>
        <v>19.546289989999991</v>
      </c>
    </row>
    <row r="505" spans="1:4">
      <c r="A505">
        <v>504</v>
      </c>
      <c r="B505">
        <v>146</v>
      </c>
      <c r="C505">
        <f t="shared" si="19"/>
        <v>121.48384224</v>
      </c>
      <c r="D505">
        <f t="shared" si="20"/>
        <v>24.516157759999999</v>
      </c>
    </row>
    <row r="506" spans="1:4">
      <c r="A506">
        <v>505</v>
      </c>
      <c r="B506">
        <v>155</v>
      </c>
      <c r="C506">
        <f t="shared" si="19"/>
        <v>121.51367225</v>
      </c>
      <c r="D506">
        <f t="shared" si="20"/>
        <v>33.486327750000001</v>
      </c>
    </row>
    <row r="507" spans="1:4">
      <c r="A507">
        <v>506</v>
      </c>
      <c r="B507">
        <v>186</v>
      </c>
      <c r="C507">
        <f t="shared" si="19"/>
        <v>121.54320003999999</v>
      </c>
      <c r="D507">
        <f t="shared" si="20"/>
        <v>64.456799960000012</v>
      </c>
    </row>
    <row r="508" spans="1:4">
      <c r="A508">
        <v>507</v>
      </c>
      <c r="B508">
        <v>249</v>
      </c>
      <c r="C508">
        <f t="shared" si="19"/>
        <v>121.57242560999998</v>
      </c>
      <c r="D508">
        <f t="shared" si="20"/>
        <v>127.42757439000002</v>
      </c>
    </row>
    <row r="509" spans="1:4">
      <c r="A509">
        <v>508</v>
      </c>
      <c r="B509">
        <v>308</v>
      </c>
      <c r="C509">
        <f t="shared" si="19"/>
        <v>121.60134896</v>
      </c>
      <c r="D509">
        <f t="shared" si="20"/>
        <v>186.39865104</v>
      </c>
    </row>
    <row r="510" spans="1:4">
      <c r="A510">
        <v>509</v>
      </c>
      <c r="B510">
        <v>338</v>
      </c>
      <c r="C510">
        <f t="shared" si="19"/>
        <v>121.62997009</v>
      </c>
      <c r="D510">
        <f t="shared" si="20"/>
        <v>216.37002991</v>
      </c>
    </row>
    <row r="511" spans="1:4">
      <c r="A511">
        <v>510</v>
      </c>
      <c r="B511">
        <v>383</v>
      </c>
      <c r="C511">
        <f t="shared" si="19"/>
        <v>121.658289</v>
      </c>
      <c r="D511">
        <f t="shared" si="20"/>
        <v>261.34171100000003</v>
      </c>
    </row>
    <row r="512" spans="1:4">
      <c r="A512">
        <v>511</v>
      </c>
      <c r="B512">
        <v>472</v>
      </c>
      <c r="C512">
        <f t="shared" si="19"/>
        <v>121.68630569</v>
      </c>
      <c r="D512">
        <f t="shared" si="20"/>
        <v>350.31369431000002</v>
      </c>
    </row>
    <row r="513" spans="1:7">
      <c r="A513">
        <v>512</v>
      </c>
      <c r="B513">
        <v>643</v>
      </c>
      <c r="C513">
        <f t="shared" si="19"/>
        <v>121.71402015999999</v>
      </c>
      <c r="D513">
        <f t="shared" si="20"/>
        <v>521.28597983999998</v>
      </c>
    </row>
    <row r="514" spans="1:7">
      <c r="A514">
        <v>513</v>
      </c>
      <c r="B514">
        <v>849</v>
      </c>
      <c r="C514">
        <f t="shared" ref="C514:C577" si="21" xml:space="preserve"> -0.00015111*A514*A514 + 0.1823*A514 + 67.989</f>
        <v>121.74143240999999</v>
      </c>
      <c r="D514">
        <f t="shared" ref="D514:D577" si="22">B514-C514</f>
        <v>727.25856758999998</v>
      </c>
    </row>
    <row r="515" spans="1:7">
      <c r="A515">
        <v>514</v>
      </c>
      <c r="B515">
        <v>1067</v>
      </c>
      <c r="C515">
        <f t="shared" si="21"/>
        <v>121.76854243999999</v>
      </c>
      <c r="D515">
        <f t="shared" si="22"/>
        <v>945.23145755999997</v>
      </c>
    </row>
    <row r="516" spans="1:7">
      <c r="A516">
        <v>515</v>
      </c>
      <c r="B516">
        <v>1753</v>
      </c>
      <c r="C516">
        <f t="shared" si="21"/>
        <v>121.79535024999998</v>
      </c>
      <c r="D516">
        <f t="shared" si="22"/>
        <v>1631.20464975</v>
      </c>
    </row>
    <row r="517" spans="1:7">
      <c r="A517">
        <v>516</v>
      </c>
      <c r="B517">
        <v>3308</v>
      </c>
      <c r="C517">
        <f t="shared" si="21"/>
        <v>121.82185584000001</v>
      </c>
      <c r="D517">
        <f t="shared" si="22"/>
        <v>3186.1781441600001</v>
      </c>
    </row>
    <row r="518" spans="1:7">
      <c r="A518">
        <v>517</v>
      </c>
      <c r="B518">
        <v>5701</v>
      </c>
      <c r="C518">
        <f t="shared" si="21"/>
        <v>121.84805921</v>
      </c>
      <c r="D518">
        <f t="shared" si="22"/>
        <v>5579.1519407899996</v>
      </c>
    </row>
    <row r="519" spans="1:7" ht="17.25">
      <c r="A519">
        <v>518</v>
      </c>
      <c r="B519">
        <v>7266</v>
      </c>
      <c r="C519">
        <f t="shared" si="21"/>
        <v>121.87396036</v>
      </c>
      <c r="D519">
        <f t="shared" si="22"/>
        <v>7144.1260396400003</v>
      </c>
      <c r="F519">
        <v>518</v>
      </c>
      <c r="G519" t="s">
        <v>23</v>
      </c>
    </row>
    <row r="520" spans="1:7">
      <c r="A520">
        <v>519</v>
      </c>
      <c r="B520">
        <v>6517</v>
      </c>
      <c r="C520">
        <f t="shared" si="21"/>
        <v>121.89955929</v>
      </c>
      <c r="D520">
        <f t="shared" si="22"/>
        <v>6395.1004407099999</v>
      </c>
    </row>
    <row r="521" spans="1:7">
      <c r="A521">
        <v>520</v>
      </c>
      <c r="B521">
        <v>4329</v>
      </c>
      <c r="C521">
        <f t="shared" si="21"/>
        <v>121.92485600000001</v>
      </c>
      <c r="D521">
        <f t="shared" si="22"/>
        <v>4207.0751440000004</v>
      </c>
    </row>
    <row r="522" spans="1:7">
      <c r="A522">
        <v>521</v>
      </c>
      <c r="B522">
        <v>2472</v>
      </c>
      <c r="C522">
        <f t="shared" si="21"/>
        <v>121.94985048999999</v>
      </c>
      <c r="D522">
        <f t="shared" si="22"/>
        <v>2350.0501495100002</v>
      </c>
    </row>
    <row r="523" spans="1:7">
      <c r="A523">
        <v>522</v>
      </c>
      <c r="B523">
        <v>1277</v>
      </c>
      <c r="C523">
        <f t="shared" si="21"/>
        <v>121.97454275999999</v>
      </c>
      <c r="D523">
        <f t="shared" si="22"/>
        <v>1155.0254572399999</v>
      </c>
    </row>
    <row r="524" spans="1:7">
      <c r="A524">
        <v>523</v>
      </c>
      <c r="B524">
        <v>594</v>
      </c>
      <c r="C524">
        <f t="shared" si="21"/>
        <v>121.99893281000001</v>
      </c>
      <c r="D524">
        <f t="shared" si="22"/>
        <v>472.00106718999996</v>
      </c>
    </row>
    <row r="525" spans="1:7">
      <c r="A525">
        <v>524</v>
      </c>
      <c r="B525">
        <v>330</v>
      </c>
      <c r="C525">
        <f t="shared" si="21"/>
        <v>122.02302064</v>
      </c>
      <c r="D525">
        <f t="shared" si="22"/>
        <v>207.97697936</v>
      </c>
    </row>
    <row r="526" spans="1:7">
      <c r="A526">
        <v>525</v>
      </c>
      <c r="B526">
        <v>239</v>
      </c>
      <c r="C526">
        <f t="shared" si="21"/>
        <v>122.04680625</v>
      </c>
      <c r="D526">
        <f t="shared" si="22"/>
        <v>116.95319375</v>
      </c>
    </row>
    <row r="527" spans="1:7">
      <c r="A527">
        <v>526</v>
      </c>
      <c r="B527">
        <v>207</v>
      </c>
      <c r="C527">
        <f t="shared" si="21"/>
        <v>122.07028964</v>
      </c>
      <c r="D527">
        <f t="shared" si="22"/>
        <v>84.929710360000001</v>
      </c>
    </row>
    <row r="528" spans="1:7">
      <c r="A528">
        <v>527</v>
      </c>
      <c r="B528">
        <v>175</v>
      </c>
      <c r="C528">
        <f t="shared" si="21"/>
        <v>122.09347081</v>
      </c>
      <c r="D528">
        <f t="shared" si="22"/>
        <v>52.906529190000001</v>
      </c>
    </row>
    <row r="529" spans="1:4">
      <c r="A529">
        <v>528</v>
      </c>
      <c r="B529">
        <v>158</v>
      </c>
      <c r="C529">
        <f t="shared" si="21"/>
        <v>122.11634975999999</v>
      </c>
      <c r="D529">
        <f t="shared" si="22"/>
        <v>35.883650240000009</v>
      </c>
    </row>
    <row r="530" spans="1:4">
      <c r="A530">
        <v>529</v>
      </c>
      <c r="B530">
        <v>154</v>
      </c>
      <c r="C530">
        <f t="shared" si="21"/>
        <v>122.13892648999999</v>
      </c>
      <c r="D530">
        <f t="shared" si="22"/>
        <v>31.861073510000011</v>
      </c>
    </row>
    <row r="531" spans="1:4">
      <c r="A531">
        <v>530</v>
      </c>
      <c r="B531">
        <v>152</v>
      </c>
      <c r="C531">
        <f t="shared" si="21"/>
        <v>122.16120100000001</v>
      </c>
      <c r="D531">
        <f t="shared" si="22"/>
        <v>29.838798999999995</v>
      </c>
    </row>
    <row r="532" spans="1:4">
      <c r="A532">
        <v>531</v>
      </c>
      <c r="B532">
        <v>148</v>
      </c>
      <c r="C532">
        <f t="shared" si="21"/>
        <v>122.18317329</v>
      </c>
      <c r="D532">
        <f t="shared" si="22"/>
        <v>25.816826710000001</v>
      </c>
    </row>
    <row r="533" spans="1:4">
      <c r="A533">
        <v>532</v>
      </c>
      <c r="B533">
        <v>146</v>
      </c>
      <c r="C533">
        <f t="shared" si="21"/>
        <v>122.20484336</v>
      </c>
      <c r="D533">
        <f t="shared" si="22"/>
        <v>23.795156640000002</v>
      </c>
    </row>
    <row r="534" spans="1:4">
      <c r="A534">
        <v>533</v>
      </c>
      <c r="B534">
        <v>156</v>
      </c>
      <c r="C534">
        <f t="shared" si="21"/>
        <v>122.22621121</v>
      </c>
      <c r="D534">
        <f t="shared" si="22"/>
        <v>33.773788789999998</v>
      </c>
    </row>
    <row r="535" spans="1:4">
      <c r="A535">
        <v>534</v>
      </c>
      <c r="B535">
        <v>152</v>
      </c>
      <c r="C535">
        <f t="shared" si="21"/>
        <v>122.24727684</v>
      </c>
      <c r="D535">
        <f t="shared" si="22"/>
        <v>29.752723160000002</v>
      </c>
    </row>
    <row r="536" spans="1:4">
      <c r="A536">
        <v>535</v>
      </c>
      <c r="B536">
        <v>143</v>
      </c>
      <c r="C536">
        <f t="shared" si="21"/>
        <v>122.26804024999998</v>
      </c>
      <c r="D536">
        <f t="shared" si="22"/>
        <v>20.731959750000016</v>
      </c>
    </row>
    <row r="537" spans="1:4">
      <c r="A537">
        <v>536</v>
      </c>
      <c r="B537">
        <v>130</v>
      </c>
      <c r="C537">
        <f t="shared" si="21"/>
        <v>122.28850144</v>
      </c>
      <c r="D537">
        <f t="shared" si="22"/>
        <v>7.7114985599999955</v>
      </c>
    </row>
    <row r="538" spans="1:4">
      <c r="A538">
        <v>537</v>
      </c>
      <c r="B538">
        <v>130</v>
      </c>
      <c r="C538">
        <f t="shared" si="21"/>
        <v>122.30866041</v>
      </c>
      <c r="D538">
        <f t="shared" si="22"/>
        <v>7.6913395899999983</v>
      </c>
    </row>
    <row r="539" spans="1:4">
      <c r="A539">
        <v>538</v>
      </c>
      <c r="B539">
        <v>142</v>
      </c>
      <c r="C539">
        <f t="shared" si="21"/>
        <v>122.32851715999999</v>
      </c>
      <c r="D539">
        <f t="shared" si="22"/>
        <v>19.67148284000001</v>
      </c>
    </row>
    <row r="540" spans="1:4">
      <c r="A540">
        <v>539</v>
      </c>
      <c r="B540">
        <v>167</v>
      </c>
      <c r="C540">
        <f t="shared" si="21"/>
        <v>122.34807169</v>
      </c>
      <c r="D540">
        <f t="shared" si="22"/>
        <v>44.651928310000002</v>
      </c>
    </row>
    <row r="541" spans="1:4">
      <c r="A541">
        <v>540</v>
      </c>
      <c r="B541">
        <v>171</v>
      </c>
      <c r="C541">
        <f t="shared" si="21"/>
        <v>122.367324</v>
      </c>
      <c r="D541">
        <f t="shared" si="22"/>
        <v>48.632676000000004</v>
      </c>
    </row>
    <row r="542" spans="1:4">
      <c r="A542">
        <v>541</v>
      </c>
      <c r="B542">
        <v>161</v>
      </c>
      <c r="C542">
        <f t="shared" si="21"/>
        <v>122.38627409</v>
      </c>
      <c r="D542">
        <f t="shared" si="22"/>
        <v>38.613725909999999</v>
      </c>
    </row>
    <row r="543" spans="1:4">
      <c r="A543">
        <v>542</v>
      </c>
      <c r="B543">
        <v>183</v>
      </c>
      <c r="C543">
        <f t="shared" si="21"/>
        <v>122.40492196</v>
      </c>
      <c r="D543">
        <f t="shared" si="22"/>
        <v>60.595078040000004</v>
      </c>
    </row>
    <row r="544" spans="1:4">
      <c r="A544">
        <v>543</v>
      </c>
      <c r="B544">
        <v>223</v>
      </c>
      <c r="C544">
        <f t="shared" si="21"/>
        <v>122.42326761000001</v>
      </c>
      <c r="D544">
        <f t="shared" si="22"/>
        <v>100.57673238999999</v>
      </c>
    </row>
    <row r="545" spans="1:4">
      <c r="A545">
        <v>544</v>
      </c>
      <c r="B545">
        <v>231</v>
      </c>
      <c r="C545">
        <f t="shared" si="21"/>
        <v>122.44131104</v>
      </c>
      <c r="D545">
        <f t="shared" si="22"/>
        <v>108.55868896</v>
      </c>
    </row>
    <row r="546" spans="1:4">
      <c r="A546">
        <v>545</v>
      </c>
      <c r="B546">
        <v>215</v>
      </c>
      <c r="C546">
        <f t="shared" si="21"/>
        <v>122.45905225</v>
      </c>
      <c r="D546">
        <f t="shared" si="22"/>
        <v>92.540947750000001</v>
      </c>
    </row>
    <row r="547" spans="1:4">
      <c r="A547">
        <v>546</v>
      </c>
      <c r="B547">
        <v>163</v>
      </c>
      <c r="C547">
        <f t="shared" si="21"/>
        <v>122.47649124</v>
      </c>
      <c r="D547">
        <f t="shared" si="22"/>
        <v>40.523508759999999</v>
      </c>
    </row>
    <row r="548" spans="1:4">
      <c r="A548">
        <v>547</v>
      </c>
      <c r="B548">
        <v>143</v>
      </c>
      <c r="C548">
        <f t="shared" si="21"/>
        <v>122.49362800999999</v>
      </c>
      <c r="D548">
        <f t="shared" si="22"/>
        <v>20.506371990000005</v>
      </c>
    </row>
    <row r="549" spans="1:4">
      <c r="A549">
        <v>548</v>
      </c>
      <c r="B549">
        <v>126</v>
      </c>
      <c r="C549">
        <f t="shared" si="21"/>
        <v>122.51046255999999</v>
      </c>
      <c r="D549">
        <f t="shared" si="22"/>
        <v>3.4895374400000065</v>
      </c>
    </row>
    <row r="550" spans="1:4">
      <c r="A550">
        <v>549</v>
      </c>
      <c r="B550">
        <v>138</v>
      </c>
      <c r="C550">
        <f t="shared" si="21"/>
        <v>122.52699489</v>
      </c>
      <c r="D550">
        <f t="shared" si="22"/>
        <v>15.473005110000003</v>
      </c>
    </row>
    <row r="551" spans="1:4">
      <c r="A551">
        <v>550</v>
      </c>
      <c r="B551">
        <v>131</v>
      </c>
      <c r="C551">
        <f t="shared" si="21"/>
        <v>122.54322500000001</v>
      </c>
      <c r="D551">
        <f t="shared" si="22"/>
        <v>8.4567749999999933</v>
      </c>
    </row>
    <row r="552" spans="1:4">
      <c r="A552">
        <v>551</v>
      </c>
      <c r="B552">
        <v>134</v>
      </c>
      <c r="C552">
        <f t="shared" si="21"/>
        <v>122.55915289000001</v>
      </c>
      <c r="D552">
        <f t="shared" si="22"/>
        <v>11.440847109999993</v>
      </c>
    </row>
    <row r="553" spans="1:4">
      <c r="A553">
        <v>552</v>
      </c>
      <c r="B553">
        <v>122</v>
      </c>
      <c r="C553">
        <f t="shared" si="21"/>
        <v>122.57477856</v>
      </c>
      <c r="D553">
        <f t="shared" si="22"/>
        <v>-0.57477855999999861</v>
      </c>
    </row>
    <row r="554" spans="1:4">
      <c r="A554">
        <v>553</v>
      </c>
      <c r="B554">
        <v>115</v>
      </c>
      <c r="C554">
        <f t="shared" si="21"/>
        <v>122.59010201</v>
      </c>
      <c r="D554">
        <f t="shared" si="22"/>
        <v>-7.5901020099999954</v>
      </c>
    </row>
    <row r="555" spans="1:4">
      <c r="A555">
        <v>554</v>
      </c>
      <c r="B555">
        <v>115</v>
      </c>
      <c r="C555">
        <f t="shared" si="21"/>
        <v>122.60512324</v>
      </c>
      <c r="D555">
        <f t="shared" si="22"/>
        <v>-7.6051232399999975</v>
      </c>
    </row>
    <row r="556" spans="1:4">
      <c r="A556">
        <v>555</v>
      </c>
      <c r="B556">
        <v>109</v>
      </c>
      <c r="C556">
        <f t="shared" si="21"/>
        <v>122.61984224999999</v>
      </c>
      <c r="D556">
        <f t="shared" si="22"/>
        <v>-13.619842249999991</v>
      </c>
    </row>
    <row r="557" spans="1:4">
      <c r="A557">
        <v>556</v>
      </c>
      <c r="B557">
        <v>114</v>
      </c>
      <c r="C557">
        <f t="shared" si="21"/>
        <v>122.63425903999999</v>
      </c>
      <c r="D557">
        <f t="shared" si="22"/>
        <v>-8.6342590399999892</v>
      </c>
    </row>
    <row r="558" spans="1:4">
      <c r="A558">
        <v>557</v>
      </c>
      <c r="B558">
        <v>132</v>
      </c>
      <c r="C558">
        <f t="shared" si="21"/>
        <v>122.64837360999999</v>
      </c>
      <c r="D558">
        <f t="shared" si="22"/>
        <v>9.3516263900000069</v>
      </c>
    </row>
    <row r="559" spans="1:4">
      <c r="A559">
        <v>558</v>
      </c>
      <c r="B559">
        <v>169</v>
      </c>
      <c r="C559">
        <f t="shared" si="21"/>
        <v>122.66218596</v>
      </c>
      <c r="D559">
        <f t="shared" si="22"/>
        <v>46.337814039999998</v>
      </c>
    </row>
    <row r="560" spans="1:4">
      <c r="A560">
        <v>559</v>
      </c>
      <c r="B560">
        <v>212</v>
      </c>
      <c r="C560">
        <f t="shared" si="21"/>
        <v>122.67569609</v>
      </c>
      <c r="D560">
        <f t="shared" si="22"/>
        <v>89.324303909999998</v>
      </c>
    </row>
    <row r="561" spans="1:4">
      <c r="A561">
        <v>560</v>
      </c>
      <c r="B561">
        <v>270</v>
      </c>
      <c r="C561">
        <f t="shared" si="21"/>
        <v>122.68890399999999</v>
      </c>
      <c r="D561">
        <f t="shared" si="22"/>
        <v>147.31109600000002</v>
      </c>
    </row>
    <row r="562" spans="1:4">
      <c r="A562">
        <v>561</v>
      </c>
      <c r="B562">
        <v>283</v>
      </c>
      <c r="C562">
        <f t="shared" si="21"/>
        <v>122.70180969</v>
      </c>
      <c r="D562">
        <f t="shared" si="22"/>
        <v>160.29819031</v>
      </c>
    </row>
    <row r="563" spans="1:4">
      <c r="A563">
        <v>562</v>
      </c>
      <c r="B563">
        <v>247</v>
      </c>
      <c r="C563">
        <f t="shared" si="21"/>
        <v>122.71441315999999</v>
      </c>
      <c r="D563">
        <f t="shared" si="22"/>
        <v>124.28558684000001</v>
      </c>
    </row>
    <row r="564" spans="1:4">
      <c r="A564">
        <v>563</v>
      </c>
      <c r="B564">
        <v>207</v>
      </c>
      <c r="C564">
        <f t="shared" si="21"/>
        <v>122.72671440999999</v>
      </c>
      <c r="D564">
        <f t="shared" si="22"/>
        <v>84.273285590000015</v>
      </c>
    </row>
    <row r="565" spans="1:4">
      <c r="A565">
        <v>564</v>
      </c>
      <c r="B565">
        <v>206</v>
      </c>
      <c r="C565">
        <f t="shared" si="21"/>
        <v>122.73871344</v>
      </c>
      <c r="D565">
        <f t="shared" si="22"/>
        <v>83.261286560000002</v>
      </c>
    </row>
    <row r="566" spans="1:4">
      <c r="A566">
        <v>565</v>
      </c>
      <c r="B566">
        <v>203</v>
      </c>
      <c r="C566">
        <f t="shared" si="21"/>
        <v>122.75041025</v>
      </c>
      <c r="D566">
        <f t="shared" si="22"/>
        <v>80.249589749999998</v>
      </c>
    </row>
    <row r="567" spans="1:4">
      <c r="A567">
        <v>566</v>
      </c>
      <c r="B567">
        <v>189</v>
      </c>
      <c r="C567">
        <f t="shared" si="21"/>
        <v>122.76180484</v>
      </c>
      <c r="D567">
        <f t="shared" si="22"/>
        <v>66.238195160000004</v>
      </c>
    </row>
    <row r="568" spans="1:4">
      <c r="A568">
        <v>567</v>
      </c>
      <c r="B568">
        <v>150</v>
      </c>
      <c r="C568">
        <f t="shared" si="21"/>
        <v>122.77289721</v>
      </c>
      <c r="D568">
        <f t="shared" si="22"/>
        <v>27.227102790000004</v>
      </c>
    </row>
    <row r="569" spans="1:4">
      <c r="A569">
        <v>568</v>
      </c>
      <c r="B569">
        <v>128</v>
      </c>
      <c r="C569">
        <f t="shared" si="21"/>
        <v>122.78368735999999</v>
      </c>
      <c r="D569">
        <f t="shared" si="22"/>
        <v>5.2163126400000124</v>
      </c>
    </row>
    <row r="570" spans="1:4">
      <c r="A570">
        <v>569</v>
      </c>
      <c r="B570">
        <v>120</v>
      </c>
      <c r="C570">
        <f t="shared" si="21"/>
        <v>122.79417528999998</v>
      </c>
      <c r="D570">
        <f t="shared" si="22"/>
        <v>-2.7941752899999841</v>
      </c>
    </row>
    <row r="571" spans="1:4">
      <c r="A571">
        <v>570</v>
      </c>
      <c r="B571">
        <v>109</v>
      </c>
      <c r="C571">
        <f t="shared" si="21"/>
        <v>122.80436099999999</v>
      </c>
      <c r="D571">
        <f t="shared" si="22"/>
        <v>-13.804360999999986</v>
      </c>
    </row>
    <row r="572" spans="1:4">
      <c r="A572">
        <v>571</v>
      </c>
      <c r="B572">
        <v>100</v>
      </c>
      <c r="C572">
        <f t="shared" si="21"/>
        <v>122.81424448999999</v>
      </c>
      <c r="D572">
        <f t="shared" si="22"/>
        <v>-22.814244489999993</v>
      </c>
    </row>
    <row r="573" spans="1:4">
      <c r="A573">
        <v>572</v>
      </c>
      <c r="B573">
        <v>100</v>
      </c>
      <c r="C573">
        <f t="shared" si="21"/>
        <v>122.82382576000001</v>
      </c>
      <c r="D573">
        <f t="shared" si="22"/>
        <v>-22.823825760000005</v>
      </c>
    </row>
    <row r="574" spans="1:4">
      <c r="A574">
        <v>573</v>
      </c>
      <c r="B574">
        <v>95</v>
      </c>
      <c r="C574">
        <f t="shared" si="21"/>
        <v>122.83310480999999</v>
      </c>
      <c r="D574">
        <f t="shared" si="22"/>
        <v>-27.833104809999995</v>
      </c>
    </row>
    <row r="575" spans="1:4">
      <c r="A575">
        <v>574</v>
      </c>
      <c r="B575">
        <v>94</v>
      </c>
      <c r="C575">
        <f t="shared" si="21"/>
        <v>122.84208164</v>
      </c>
      <c r="D575">
        <f t="shared" si="22"/>
        <v>-28.842081640000004</v>
      </c>
    </row>
    <row r="576" spans="1:4">
      <c r="A576">
        <v>575</v>
      </c>
      <c r="B576">
        <v>100</v>
      </c>
      <c r="C576">
        <f t="shared" si="21"/>
        <v>122.85075624999999</v>
      </c>
      <c r="D576">
        <f t="shared" si="22"/>
        <v>-22.850756249999989</v>
      </c>
    </row>
    <row r="577" spans="1:4">
      <c r="A577">
        <v>576</v>
      </c>
      <c r="B577">
        <v>100</v>
      </c>
      <c r="C577">
        <f t="shared" si="21"/>
        <v>122.85912863999999</v>
      </c>
      <c r="D577">
        <f t="shared" si="22"/>
        <v>-22.859128639999994</v>
      </c>
    </row>
    <row r="578" spans="1:4">
      <c r="A578">
        <v>577</v>
      </c>
      <c r="B578">
        <v>89</v>
      </c>
      <c r="C578">
        <f t="shared" ref="C578:C641" si="23" xml:space="preserve"> -0.00015111*A578*A578 + 0.1823*A578 + 67.989</f>
        <v>122.86719881</v>
      </c>
      <c r="D578">
        <f t="shared" ref="D578:D641" si="24">B578-C578</f>
        <v>-33.867198810000005</v>
      </c>
    </row>
    <row r="579" spans="1:4">
      <c r="A579">
        <v>578</v>
      </c>
      <c r="B579">
        <v>91</v>
      </c>
      <c r="C579">
        <f t="shared" si="23"/>
        <v>122.87496676000001</v>
      </c>
      <c r="D579">
        <f t="shared" si="24"/>
        <v>-31.874966760000007</v>
      </c>
    </row>
    <row r="580" spans="1:4">
      <c r="A580">
        <v>579</v>
      </c>
      <c r="B580">
        <v>101</v>
      </c>
      <c r="C580">
        <f t="shared" si="23"/>
        <v>122.88243249</v>
      </c>
      <c r="D580">
        <f t="shared" si="24"/>
        <v>-21.882432489999999</v>
      </c>
    </row>
    <row r="581" spans="1:4">
      <c r="A581">
        <v>580</v>
      </c>
      <c r="B581">
        <v>98</v>
      </c>
      <c r="C581">
        <f t="shared" si="23"/>
        <v>122.889596</v>
      </c>
      <c r="D581">
        <f t="shared" si="24"/>
        <v>-24.889595999999997</v>
      </c>
    </row>
    <row r="582" spans="1:4">
      <c r="A582">
        <v>581</v>
      </c>
      <c r="B582">
        <v>98</v>
      </c>
      <c r="C582">
        <f t="shared" si="23"/>
        <v>122.89645729</v>
      </c>
      <c r="D582">
        <f t="shared" si="24"/>
        <v>-24.896457290000001</v>
      </c>
    </row>
    <row r="583" spans="1:4">
      <c r="A583">
        <v>582</v>
      </c>
      <c r="B583">
        <v>89</v>
      </c>
      <c r="C583">
        <f t="shared" si="23"/>
        <v>122.90301636</v>
      </c>
      <c r="D583">
        <f t="shared" si="24"/>
        <v>-33.903016359999995</v>
      </c>
    </row>
    <row r="584" spans="1:4">
      <c r="A584">
        <v>583</v>
      </c>
      <c r="B584">
        <v>93</v>
      </c>
      <c r="C584">
        <f t="shared" si="23"/>
        <v>122.90927320999998</v>
      </c>
      <c r="D584">
        <f t="shared" si="24"/>
        <v>-29.909273209999981</v>
      </c>
    </row>
    <row r="585" spans="1:4">
      <c r="A585">
        <v>584</v>
      </c>
      <c r="B585">
        <v>89</v>
      </c>
      <c r="C585">
        <f t="shared" si="23"/>
        <v>122.91522784</v>
      </c>
      <c r="D585">
        <f t="shared" si="24"/>
        <v>-33.91522784</v>
      </c>
    </row>
    <row r="586" spans="1:4">
      <c r="A586">
        <v>585</v>
      </c>
      <c r="B586">
        <v>102</v>
      </c>
      <c r="C586">
        <f t="shared" si="23"/>
        <v>122.92088025000001</v>
      </c>
      <c r="D586">
        <f t="shared" si="24"/>
        <v>-20.92088025000001</v>
      </c>
    </row>
    <row r="587" spans="1:4">
      <c r="A587">
        <v>586</v>
      </c>
      <c r="B587">
        <v>113</v>
      </c>
      <c r="C587">
        <f t="shared" si="23"/>
        <v>122.92623043999998</v>
      </c>
      <c r="D587">
        <f t="shared" si="24"/>
        <v>-9.9262304399999834</v>
      </c>
    </row>
    <row r="588" spans="1:4">
      <c r="A588">
        <v>587</v>
      </c>
      <c r="B588">
        <v>114</v>
      </c>
      <c r="C588">
        <f t="shared" si="23"/>
        <v>122.93127841</v>
      </c>
      <c r="D588">
        <f t="shared" si="24"/>
        <v>-8.9312784100000044</v>
      </c>
    </row>
    <row r="589" spans="1:4">
      <c r="A589">
        <v>588</v>
      </c>
      <c r="B589">
        <v>119</v>
      </c>
      <c r="C589">
        <f t="shared" si="23"/>
        <v>122.93602415999999</v>
      </c>
      <c r="D589">
        <f t="shared" si="24"/>
        <v>-3.9360241599999881</v>
      </c>
    </row>
    <row r="590" spans="1:4">
      <c r="A590">
        <v>589</v>
      </c>
      <c r="B590">
        <v>129</v>
      </c>
      <c r="C590">
        <f t="shared" si="23"/>
        <v>122.94046768999999</v>
      </c>
      <c r="D590">
        <f t="shared" si="24"/>
        <v>6.0595323100000087</v>
      </c>
    </row>
    <row r="591" spans="1:4">
      <c r="A591">
        <v>590</v>
      </c>
      <c r="B591">
        <v>165</v>
      </c>
      <c r="C591">
        <f t="shared" si="23"/>
        <v>122.94460899999999</v>
      </c>
      <c r="D591">
        <f t="shared" si="24"/>
        <v>42.055391000000014</v>
      </c>
    </row>
    <row r="592" spans="1:4">
      <c r="A592">
        <v>591</v>
      </c>
      <c r="B592">
        <v>229</v>
      </c>
      <c r="C592">
        <f t="shared" si="23"/>
        <v>122.94844809</v>
      </c>
      <c r="D592">
        <f t="shared" si="24"/>
        <v>106.05155191</v>
      </c>
    </row>
    <row r="593" spans="1:4">
      <c r="A593">
        <v>592</v>
      </c>
      <c r="B593">
        <v>353</v>
      </c>
      <c r="C593">
        <f t="shared" si="23"/>
        <v>122.95198496</v>
      </c>
      <c r="D593">
        <f t="shared" si="24"/>
        <v>230.04801504</v>
      </c>
    </row>
    <row r="594" spans="1:4">
      <c r="A594">
        <v>593</v>
      </c>
      <c r="B594">
        <v>553</v>
      </c>
      <c r="C594">
        <f t="shared" si="23"/>
        <v>122.95521961</v>
      </c>
      <c r="D594">
        <f t="shared" si="24"/>
        <v>430.04478039000003</v>
      </c>
    </row>
    <row r="595" spans="1:4">
      <c r="A595">
        <v>594</v>
      </c>
      <c r="B595">
        <v>707</v>
      </c>
      <c r="C595">
        <f t="shared" si="23"/>
        <v>122.95815203999999</v>
      </c>
      <c r="D595">
        <f t="shared" si="24"/>
        <v>584.04184796000004</v>
      </c>
    </row>
    <row r="596" spans="1:4">
      <c r="A596">
        <v>595</v>
      </c>
      <c r="B596">
        <v>716</v>
      </c>
      <c r="C596">
        <f t="shared" si="23"/>
        <v>122.96078224999999</v>
      </c>
      <c r="D596">
        <f t="shared" si="24"/>
        <v>593.03921775000003</v>
      </c>
    </row>
    <row r="597" spans="1:4">
      <c r="A597">
        <v>596</v>
      </c>
      <c r="B597">
        <v>616</v>
      </c>
      <c r="C597">
        <f t="shared" si="23"/>
        <v>122.96311023999999</v>
      </c>
      <c r="D597">
        <f t="shared" si="24"/>
        <v>493.03688976000001</v>
      </c>
    </row>
    <row r="598" spans="1:4">
      <c r="A598">
        <v>597</v>
      </c>
      <c r="B598">
        <v>508</v>
      </c>
      <c r="C598">
        <f t="shared" si="23"/>
        <v>122.96513600999998</v>
      </c>
      <c r="D598">
        <f t="shared" si="24"/>
        <v>385.03486399000002</v>
      </c>
    </row>
    <row r="599" spans="1:4">
      <c r="A599">
        <v>598</v>
      </c>
      <c r="B599">
        <v>435</v>
      </c>
      <c r="C599">
        <f t="shared" si="23"/>
        <v>122.96685956</v>
      </c>
      <c r="D599">
        <f t="shared" si="24"/>
        <v>312.03314044000001</v>
      </c>
    </row>
    <row r="600" spans="1:4">
      <c r="A600">
        <v>599</v>
      </c>
      <c r="B600">
        <v>430</v>
      </c>
      <c r="C600">
        <f t="shared" si="23"/>
        <v>122.96828089</v>
      </c>
      <c r="D600">
        <f t="shared" si="24"/>
        <v>307.03171910999998</v>
      </c>
    </row>
    <row r="601" spans="1:4">
      <c r="A601">
        <v>600</v>
      </c>
      <c r="B601">
        <v>481</v>
      </c>
      <c r="C601">
        <f t="shared" si="23"/>
        <v>122.96939999999999</v>
      </c>
      <c r="D601">
        <f t="shared" si="24"/>
        <v>358.03059999999999</v>
      </c>
    </row>
    <row r="602" spans="1:4">
      <c r="A602">
        <v>601</v>
      </c>
      <c r="B602">
        <v>466</v>
      </c>
      <c r="C602">
        <f t="shared" si="23"/>
        <v>122.97021688999999</v>
      </c>
      <c r="D602">
        <f t="shared" si="24"/>
        <v>343.02978311000004</v>
      </c>
    </row>
    <row r="603" spans="1:4">
      <c r="A603">
        <v>602</v>
      </c>
      <c r="B603">
        <v>385</v>
      </c>
      <c r="C603">
        <f t="shared" si="23"/>
        <v>122.97073155999999</v>
      </c>
      <c r="D603">
        <f t="shared" si="24"/>
        <v>262.02926844000001</v>
      </c>
    </row>
    <row r="604" spans="1:4">
      <c r="A604">
        <v>603</v>
      </c>
      <c r="B604">
        <v>304</v>
      </c>
      <c r="C604">
        <f t="shared" si="23"/>
        <v>122.97094401</v>
      </c>
      <c r="D604">
        <f t="shared" si="24"/>
        <v>181.02905599000002</v>
      </c>
    </row>
    <row r="605" spans="1:4">
      <c r="A605">
        <v>604</v>
      </c>
      <c r="B605">
        <v>267</v>
      </c>
      <c r="C605">
        <f t="shared" si="23"/>
        <v>122.97085423999999</v>
      </c>
      <c r="D605">
        <f t="shared" si="24"/>
        <v>144.02914576000001</v>
      </c>
    </row>
    <row r="606" spans="1:4">
      <c r="A606">
        <v>605</v>
      </c>
      <c r="B606">
        <v>228</v>
      </c>
      <c r="C606">
        <f t="shared" si="23"/>
        <v>122.97046225</v>
      </c>
      <c r="D606">
        <f t="shared" si="24"/>
        <v>105.02953775</v>
      </c>
    </row>
    <row r="607" spans="1:4">
      <c r="A607">
        <v>606</v>
      </c>
      <c r="B607">
        <v>203</v>
      </c>
      <c r="C607">
        <f t="shared" si="23"/>
        <v>122.96976803999999</v>
      </c>
      <c r="D607">
        <f t="shared" si="24"/>
        <v>80.030231960000009</v>
      </c>
    </row>
    <row r="608" spans="1:4">
      <c r="A608">
        <v>607</v>
      </c>
      <c r="B608">
        <v>191</v>
      </c>
      <c r="C608">
        <f t="shared" si="23"/>
        <v>122.96877160999999</v>
      </c>
      <c r="D608">
        <f t="shared" si="24"/>
        <v>68.03122839000001</v>
      </c>
    </row>
    <row r="609" spans="1:4">
      <c r="A609">
        <v>608</v>
      </c>
      <c r="B609">
        <v>200</v>
      </c>
      <c r="C609">
        <f t="shared" si="23"/>
        <v>122.96747295999999</v>
      </c>
      <c r="D609">
        <f t="shared" si="24"/>
        <v>77.032527040000005</v>
      </c>
    </row>
    <row r="610" spans="1:4">
      <c r="A610">
        <v>609</v>
      </c>
      <c r="B610">
        <v>192</v>
      </c>
      <c r="C610">
        <f t="shared" si="23"/>
        <v>122.96587208999999</v>
      </c>
      <c r="D610">
        <f t="shared" si="24"/>
        <v>69.034127910000009</v>
      </c>
    </row>
    <row r="611" spans="1:4">
      <c r="A611">
        <v>610</v>
      </c>
      <c r="B611">
        <v>179</v>
      </c>
      <c r="C611">
        <f t="shared" si="23"/>
        <v>122.96396899999999</v>
      </c>
      <c r="D611">
        <f t="shared" si="24"/>
        <v>56.036031000000008</v>
      </c>
    </row>
    <row r="612" spans="1:4">
      <c r="A612">
        <v>611</v>
      </c>
      <c r="B612">
        <v>167</v>
      </c>
      <c r="C612">
        <f t="shared" si="23"/>
        <v>122.96176369</v>
      </c>
      <c r="D612">
        <f t="shared" si="24"/>
        <v>44.038236310000002</v>
      </c>
    </row>
    <row r="613" spans="1:4">
      <c r="A613">
        <v>612</v>
      </c>
      <c r="B613">
        <v>156</v>
      </c>
      <c r="C613">
        <f t="shared" si="23"/>
        <v>122.95925616</v>
      </c>
      <c r="D613">
        <f t="shared" si="24"/>
        <v>33.040743840000005</v>
      </c>
    </row>
    <row r="614" spans="1:4">
      <c r="A614">
        <v>613</v>
      </c>
      <c r="B614">
        <v>157</v>
      </c>
      <c r="C614">
        <f t="shared" si="23"/>
        <v>122.95644641</v>
      </c>
      <c r="D614">
        <f t="shared" si="24"/>
        <v>34.043553590000002</v>
      </c>
    </row>
    <row r="615" spans="1:4">
      <c r="A615">
        <v>614</v>
      </c>
      <c r="B615">
        <v>155</v>
      </c>
      <c r="C615">
        <f t="shared" si="23"/>
        <v>122.95333443999999</v>
      </c>
      <c r="D615">
        <f t="shared" si="24"/>
        <v>32.046665560000008</v>
      </c>
    </row>
    <row r="616" spans="1:4">
      <c r="A616">
        <v>615</v>
      </c>
      <c r="B616">
        <v>157</v>
      </c>
      <c r="C616">
        <f t="shared" si="23"/>
        <v>122.94992024999999</v>
      </c>
      <c r="D616">
        <f t="shared" si="24"/>
        <v>34.050079750000009</v>
      </c>
    </row>
    <row r="617" spans="1:4">
      <c r="A617">
        <v>616</v>
      </c>
      <c r="B617">
        <v>177</v>
      </c>
      <c r="C617">
        <f t="shared" si="23"/>
        <v>122.94620384</v>
      </c>
      <c r="D617">
        <f t="shared" si="24"/>
        <v>54.053796160000005</v>
      </c>
    </row>
    <row r="618" spans="1:4">
      <c r="A618">
        <v>617</v>
      </c>
      <c r="B618">
        <v>193</v>
      </c>
      <c r="C618">
        <f t="shared" si="23"/>
        <v>122.94218520999999</v>
      </c>
      <c r="D618">
        <f t="shared" si="24"/>
        <v>70.057814790000009</v>
      </c>
    </row>
    <row r="619" spans="1:4">
      <c r="A619">
        <v>618</v>
      </c>
      <c r="B619">
        <v>205</v>
      </c>
      <c r="C619">
        <f t="shared" si="23"/>
        <v>122.93786435999999</v>
      </c>
      <c r="D619">
        <f t="shared" si="24"/>
        <v>82.062135640000008</v>
      </c>
    </row>
    <row r="620" spans="1:4">
      <c r="A620">
        <v>619</v>
      </c>
      <c r="B620">
        <v>221</v>
      </c>
      <c r="C620">
        <f t="shared" si="23"/>
        <v>122.93324129</v>
      </c>
      <c r="D620">
        <f t="shared" si="24"/>
        <v>98.066758710000002</v>
      </c>
    </row>
    <row r="621" spans="1:4">
      <c r="A621">
        <v>620</v>
      </c>
      <c r="B621">
        <v>215</v>
      </c>
      <c r="C621">
        <f t="shared" si="23"/>
        <v>122.928316</v>
      </c>
      <c r="D621">
        <f t="shared" si="24"/>
        <v>92.071684000000005</v>
      </c>
    </row>
    <row r="622" spans="1:4">
      <c r="A622">
        <v>621</v>
      </c>
      <c r="B622">
        <v>237</v>
      </c>
      <c r="C622">
        <f t="shared" si="23"/>
        <v>122.92308849</v>
      </c>
      <c r="D622">
        <f t="shared" si="24"/>
        <v>114.07691151</v>
      </c>
    </row>
    <row r="623" spans="1:4">
      <c r="A623">
        <v>622</v>
      </c>
      <c r="B623">
        <v>300</v>
      </c>
      <c r="C623">
        <f t="shared" si="23"/>
        <v>122.91755875999999</v>
      </c>
      <c r="D623">
        <f t="shared" si="24"/>
        <v>177.08244124000001</v>
      </c>
    </row>
    <row r="624" spans="1:4">
      <c r="A624">
        <v>623</v>
      </c>
      <c r="B624">
        <v>390</v>
      </c>
      <c r="C624">
        <f t="shared" si="23"/>
        <v>122.91172680999999</v>
      </c>
      <c r="D624">
        <f t="shared" si="24"/>
        <v>267.08827319</v>
      </c>
    </row>
    <row r="625" spans="1:4">
      <c r="A625">
        <v>624</v>
      </c>
      <c r="B625">
        <v>480</v>
      </c>
      <c r="C625">
        <f t="shared" si="23"/>
        <v>122.90559263999998</v>
      </c>
      <c r="D625">
        <f t="shared" si="24"/>
        <v>357.09440735999999</v>
      </c>
    </row>
    <row r="626" spans="1:4">
      <c r="A626">
        <v>625</v>
      </c>
      <c r="B626">
        <v>502</v>
      </c>
      <c r="C626">
        <f t="shared" si="23"/>
        <v>122.89915625</v>
      </c>
      <c r="D626">
        <f t="shared" si="24"/>
        <v>379.10084374999997</v>
      </c>
    </row>
    <row r="627" spans="1:4">
      <c r="A627">
        <v>626</v>
      </c>
      <c r="B627">
        <v>459</v>
      </c>
      <c r="C627">
        <f t="shared" si="23"/>
        <v>122.89241763999999</v>
      </c>
      <c r="D627">
        <f t="shared" si="24"/>
        <v>336.10758236000004</v>
      </c>
    </row>
    <row r="628" spans="1:4">
      <c r="A628">
        <v>627</v>
      </c>
      <c r="B628">
        <v>417</v>
      </c>
      <c r="C628">
        <f t="shared" si="23"/>
        <v>122.88537681</v>
      </c>
      <c r="D628">
        <f t="shared" si="24"/>
        <v>294.11462318999997</v>
      </c>
    </row>
    <row r="629" spans="1:4">
      <c r="A629">
        <v>628</v>
      </c>
      <c r="B629">
        <v>358</v>
      </c>
      <c r="C629">
        <f t="shared" si="23"/>
        <v>122.87803375999999</v>
      </c>
      <c r="D629">
        <f t="shared" si="24"/>
        <v>235.12196624000001</v>
      </c>
    </row>
    <row r="630" spans="1:4">
      <c r="A630">
        <v>629</v>
      </c>
      <c r="B630">
        <v>318</v>
      </c>
      <c r="C630">
        <f t="shared" si="23"/>
        <v>122.87038849</v>
      </c>
      <c r="D630">
        <f t="shared" si="24"/>
        <v>195.12961151000002</v>
      </c>
    </row>
    <row r="631" spans="1:4">
      <c r="A631">
        <v>630</v>
      </c>
      <c r="B631">
        <v>291</v>
      </c>
      <c r="C631">
        <f t="shared" si="23"/>
        <v>122.86244099999999</v>
      </c>
      <c r="D631">
        <f t="shared" si="24"/>
        <v>168.13755900000001</v>
      </c>
    </row>
    <row r="632" spans="1:4">
      <c r="A632">
        <v>631</v>
      </c>
      <c r="B632">
        <v>279</v>
      </c>
      <c r="C632">
        <f t="shared" si="23"/>
        <v>122.85419128999999</v>
      </c>
      <c r="D632">
        <f t="shared" si="24"/>
        <v>156.14580871000001</v>
      </c>
    </row>
    <row r="633" spans="1:4">
      <c r="A633">
        <v>632</v>
      </c>
      <c r="B633">
        <v>274</v>
      </c>
      <c r="C633">
        <f t="shared" si="23"/>
        <v>122.84563936000001</v>
      </c>
      <c r="D633">
        <f t="shared" si="24"/>
        <v>151.15436063999999</v>
      </c>
    </row>
    <row r="634" spans="1:4">
      <c r="A634">
        <v>633</v>
      </c>
      <c r="B634">
        <v>248</v>
      </c>
      <c r="C634">
        <f t="shared" si="23"/>
        <v>122.83678521</v>
      </c>
      <c r="D634">
        <f t="shared" si="24"/>
        <v>125.16321479</v>
      </c>
    </row>
    <row r="635" spans="1:4">
      <c r="A635">
        <v>634</v>
      </c>
      <c r="B635">
        <v>236</v>
      </c>
      <c r="C635">
        <f t="shared" si="23"/>
        <v>122.82762883999999</v>
      </c>
      <c r="D635">
        <f t="shared" si="24"/>
        <v>113.17237116000001</v>
      </c>
    </row>
    <row r="636" spans="1:4">
      <c r="A636">
        <v>635</v>
      </c>
      <c r="B636">
        <v>226</v>
      </c>
      <c r="C636">
        <f t="shared" si="23"/>
        <v>122.81817024999999</v>
      </c>
      <c r="D636">
        <f t="shared" si="24"/>
        <v>103.18182975000001</v>
      </c>
    </row>
    <row r="637" spans="1:4">
      <c r="A637">
        <v>636</v>
      </c>
      <c r="B637">
        <v>228</v>
      </c>
      <c r="C637">
        <f t="shared" si="23"/>
        <v>122.80840943999999</v>
      </c>
      <c r="D637">
        <f t="shared" si="24"/>
        <v>105.19159056000001</v>
      </c>
    </row>
    <row r="638" spans="1:4">
      <c r="A638">
        <v>637</v>
      </c>
      <c r="B638">
        <v>260</v>
      </c>
      <c r="C638">
        <f t="shared" si="23"/>
        <v>122.79834640999999</v>
      </c>
      <c r="D638">
        <f t="shared" si="24"/>
        <v>137.20165359000001</v>
      </c>
    </row>
    <row r="639" spans="1:4">
      <c r="A639">
        <v>638</v>
      </c>
      <c r="B639">
        <v>342</v>
      </c>
      <c r="C639">
        <f t="shared" si="23"/>
        <v>122.78798115999999</v>
      </c>
      <c r="D639">
        <f t="shared" si="24"/>
        <v>219.21201884000001</v>
      </c>
    </row>
    <row r="640" spans="1:4">
      <c r="A640">
        <v>639</v>
      </c>
      <c r="B640">
        <v>434</v>
      </c>
      <c r="C640">
        <f t="shared" si="23"/>
        <v>122.77731369</v>
      </c>
      <c r="D640">
        <f t="shared" si="24"/>
        <v>311.22268630999997</v>
      </c>
    </row>
    <row r="641" spans="1:4">
      <c r="A641">
        <v>640</v>
      </c>
      <c r="B641">
        <v>498</v>
      </c>
      <c r="C641">
        <f t="shared" si="23"/>
        <v>122.766344</v>
      </c>
      <c r="D641">
        <f t="shared" si="24"/>
        <v>375.233656</v>
      </c>
    </row>
    <row r="642" spans="1:4">
      <c r="A642">
        <v>641</v>
      </c>
      <c r="B642">
        <v>490</v>
      </c>
      <c r="C642">
        <f t="shared" ref="C642:C705" si="25" xml:space="preserve"> -0.00015111*A642*A642 + 0.1823*A642 + 67.989</f>
        <v>122.75507209</v>
      </c>
      <c r="D642">
        <f t="shared" ref="D642:D705" si="26">B642-C642</f>
        <v>367.24492791</v>
      </c>
    </row>
    <row r="643" spans="1:4">
      <c r="A643">
        <v>642</v>
      </c>
      <c r="B643">
        <v>459</v>
      </c>
      <c r="C643">
        <f t="shared" si="25"/>
        <v>122.74349795999998</v>
      </c>
      <c r="D643">
        <f t="shared" si="26"/>
        <v>336.25650203999999</v>
      </c>
    </row>
    <row r="644" spans="1:4">
      <c r="A644">
        <v>643</v>
      </c>
      <c r="B644">
        <v>427</v>
      </c>
      <c r="C644">
        <f t="shared" si="25"/>
        <v>122.73162160999999</v>
      </c>
      <c r="D644">
        <f t="shared" si="26"/>
        <v>304.26837839000001</v>
      </c>
    </row>
    <row r="645" spans="1:4">
      <c r="A645">
        <v>644</v>
      </c>
      <c r="B645">
        <v>382</v>
      </c>
      <c r="C645">
        <f t="shared" si="25"/>
        <v>122.71944303999999</v>
      </c>
      <c r="D645">
        <f t="shared" si="26"/>
        <v>259.28055696000001</v>
      </c>
    </row>
    <row r="646" spans="1:4">
      <c r="A646">
        <v>645</v>
      </c>
      <c r="B646">
        <v>358</v>
      </c>
      <c r="C646">
        <f t="shared" si="25"/>
        <v>122.70696224999998</v>
      </c>
      <c r="D646">
        <f t="shared" si="26"/>
        <v>235.29303775000002</v>
      </c>
    </row>
    <row r="647" spans="1:4">
      <c r="A647">
        <v>646</v>
      </c>
      <c r="B647">
        <v>364</v>
      </c>
      <c r="C647">
        <f t="shared" si="25"/>
        <v>122.69417924</v>
      </c>
      <c r="D647">
        <f t="shared" si="26"/>
        <v>241.30582076000002</v>
      </c>
    </row>
    <row r="648" spans="1:4">
      <c r="A648">
        <v>647</v>
      </c>
      <c r="B648">
        <v>376</v>
      </c>
      <c r="C648">
        <f t="shared" si="25"/>
        <v>122.68109401000001</v>
      </c>
      <c r="D648">
        <f t="shared" si="26"/>
        <v>253.31890598999999</v>
      </c>
    </row>
    <row r="649" spans="1:4">
      <c r="A649">
        <v>648</v>
      </c>
      <c r="B649">
        <v>424</v>
      </c>
      <c r="C649">
        <f t="shared" si="25"/>
        <v>122.66770656</v>
      </c>
      <c r="D649">
        <f t="shared" si="26"/>
        <v>301.33229344</v>
      </c>
    </row>
    <row r="650" spans="1:4">
      <c r="A650">
        <v>649</v>
      </c>
      <c r="B650">
        <v>432</v>
      </c>
      <c r="C650">
        <f t="shared" si="25"/>
        <v>122.65401688999999</v>
      </c>
      <c r="D650">
        <f t="shared" si="26"/>
        <v>309.34598311000002</v>
      </c>
    </row>
    <row r="651" spans="1:4">
      <c r="A651">
        <v>650</v>
      </c>
      <c r="B651">
        <v>409</v>
      </c>
      <c r="C651">
        <f t="shared" si="25"/>
        <v>122.64002499999999</v>
      </c>
      <c r="D651">
        <f t="shared" si="26"/>
        <v>286.35997500000002</v>
      </c>
    </row>
    <row r="652" spans="1:4">
      <c r="A652">
        <v>651</v>
      </c>
      <c r="B652">
        <v>385</v>
      </c>
      <c r="C652">
        <f t="shared" si="25"/>
        <v>122.62573089</v>
      </c>
      <c r="D652">
        <f t="shared" si="26"/>
        <v>262.37426911</v>
      </c>
    </row>
    <row r="653" spans="1:4">
      <c r="A653">
        <v>652</v>
      </c>
      <c r="B653">
        <v>385</v>
      </c>
      <c r="C653">
        <f t="shared" si="25"/>
        <v>122.61113456</v>
      </c>
      <c r="D653">
        <f t="shared" si="26"/>
        <v>262.38886544000002</v>
      </c>
    </row>
    <row r="654" spans="1:4">
      <c r="A654">
        <v>653</v>
      </c>
      <c r="B654">
        <v>357</v>
      </c>
      <c r="C654">
        <f t="shared" si="25"/>
        <v>122.59623601</v>
      </c>
      <c r="D654">
        <f t="shared" si="26"/>
        <v>234.40376399000002</v>
      </c>
    </row>
    <row r="655" spans="1:4">
      <c r="A655">
        <v>654</v>
      </c>
      <c r="B655">
        <v>328</v>
      </c>
      <c r="C655">
        <f t="shared" si="25"/>
        <v>122.58103524000001</v>
      </c>
      <c r="D655">
        <f t="shared" si="26"/>
        <v>205.41896475999999</v>
      </c>
    </row>
    <row r="656" spans="1:4">
      <c r="A656">
        <v>655</v>
      </c>
      <c r="B656">
        <v>285</v>
      </c>
      <c r="C656">
        <f t="shared" si="25"/>
        <v>122.56553224999999</v>
      </c>
      <c r="D656">
        <f t="shared" si="26"/>
        <v>162.43446775000001</v>
      </c>
    </row>
    <row r="657" spans="1:7">
      <c r="A657">
        <v>656</v>
      </c>
      <c r="B657">
        <v>264</v>
      </c>
      <c r="C657">
        <f t="shared" si="25"/>
        <v>122.54972703999999</v>
      </c>
      <c r="D657">
        <f t="shared" si="26"/>
        <v>141.45027296000001</v>
      </c>
    </row>
    <row r="658" spans="1:7">
      <c r="A658">
        <v>657</v>
      </c>
      <c r="B658">
        <v>263</v>
      </c>
      <c r="C658">
        <f t="shared" si="25"/>
        <v>122.53361960999999</v>
      </c>
      <c r="D658">
        <f t="shared" si="26"/>
        <v>140.46638039000001</v>
      </c>
    </row>
    <row r="659" spans="1:7">
      <c r="A659">
        <v>658</v>
      </c>
      <c r="B659">
        <v>258</v>
      </c>
      <c r="C659">
        <f t="shared" si="25"/>
        <v>122.51720995999999</v>
      </c>
      <c r="D659">
        <f t="shared" si="26"/>
        <v>135.48279004</v>
      </c>
    </row>
    <row r="660" spans="1:7">
      <c r="A660">
        <v>659</v>
      </c>
      <c r="B660">
        <v>260</v>
      </c>
      <c r="C660">
        <f t="shared" si="25"/>
        <v>122.50049808999999</v>
      </c>
      <c r="D660">
        <f t="shared" si="26"/>
        <v>137.49950190999999</v>
      </c>
    </row>
    <row r="661" spans="1:7">
      <c r="A661">
        <v>660</v>
      </c>
      <c r="B661">
        <v>292</v>
      </c>
      <c r="C661">
        <f t="shared" si="25"/>
        <v>122.483484</v>
      </c>
      <c r="D661">
        <f t="shared" si="26"/>
        <v>169.516516</v>
      </c>
    </row>
    <row r="662" spans="1:7">
      <c r="A662">
        <v>661</v>
      </c>
      <c r="B662">
        <v>367</v>
      </c>
      <c r="C662">
        <f t="shared" si="25"/>
        <v>122.46616769000001</v>
      </c>
      <c r="D662">
        <f t="shared" si="26"/>
        <v>244.53383230999998</v>
      </c>
    </row>
    <row r="663" spans="1:7">
      <c r="A663">
        <v>662</v>
      </c>
      <c r="B663">
        <v>513</v>
      </c>
      <c r="C663">
        <f t="shared" si="25"/>
        <v>122.44854915999998</v>
      </c>
      <c r="D663">
        <f t="shared" si="26"/>
        <v>390.55145084000003</v>
      </c>
    </row>
    <row r="664" spans="1:7">
      <c r="A664">
        <v>663</v>
      </c>
      <c r="B664">
        <v>700</v>
      </c>
      <c r="C664">
        <f t="shared" si="25"/>
        <v>122.43062841</v>
      </c>
      <c r="D664">
        <f t="shared" si="26"/>
        <v>577.56937158999995</v>
      </c>
    </row>
    <row r="665" spans="1:7">
      <c r="A665">
        <v>664</v>
      </c>
      <c r="B665">
        <v>925</v>
      </c>
      <c r="C665">
        <f t="shared" si="25"/>
        <v>122.41240543999999</v>
      </c>
      <c r="D665">
        <f t="shared" si="26"/>
        <v>802.58759456000007</v>
      </c>
    </row>
    <row r="666" spans="1:7" ht="17.25">
      <c r="A666">
        <v>665</v>
      </c>
      <c r="B666">
        <v>1012</v>
      </c>
      <c r="C666">
        <f t="shared" si="25"/>
        <v>122.39388024999998</v>
      </c>
      <c r="D666">
        <f t="shared" si="26"/>
        <v>889.60611975000006</v>
      </c>
      <c r="F666">
        <v>665</v>
      </c>
      <c r="G666" t="s">
        <v>24</v>
      </c>
    </row>
    <row r="667" spans="1:7">
      <c r="A667">
        <v>666</v>
      </c>
      <c r="B667">
        <v>889</v>
      </c>
      <c r="C667">
        <f t="shared" si="25"/>
        <v>122.37505284</v>
      </c>
      <c r="D667">
        <f t="shared" si="26"/>
        <v>766.62494716000003</v>
      </c>
    </row>
    <row r="668" spans="1:7">
      <c r="A668">
        <v>667</v>
      </c>
      <c r="B668">
        <v>675</v>
      </c>
      <c r="C668">
        <f t="shared" si="25"/>
        <v>122.35592321</v>
      </c>
      <c r="D668">
        <f t="shared" si="26"/>
        <v>552.64407678999999</v>
      </c>
    </row>
    <row r="669" spans="1:7">
      <c r="A669">
        <v>668</v>
      </c>
      <c r="B669">
        <v>516</v>
      </c>
      <c r="C669">
        <f t="shared" si="25"/>
        <v>122.33649136</v>
      </c>
      <c r="D669">
        <f t="shared" si="26"/>
        <v>393.66350864000003</v>
      </c>
    </row>
    <row r="670" spans="1:7">
      <c r="A670">
        <v>669</v>
      </c>
      <c r="B670">
        <v>435</v>
      </c>
      <c r="C670">
        <f t="shared" si="25"/>
        <v>122.31675728999998</v>
      </c>
      <c r="D670">
        <f t="shared" si="26"/>
        <v>312.68324271</v>
      </c>
    </row>
    <row r="671" spans="1:7">
      <c r="A671">
        <v>670</v>
      </c>
      <c r="B671">
        <v>457</v>
      </c>
      <c r="C671">
        <f t="shared" si="25"/>
        <v>122.29672099999999</v>
      </c>
      <c r="D671">
        <f t="shared" si="26"/>
        <v>334.70327900000001</v>
      </c>
    </row>
    <row r="672" spans="1:7">
      <c r="A672">
        <v>671</v>
      </c>
      <c r="B672">
        <v>485</v>
      </c>
      <c r="C672">
        <f t="shared" si="25"/>
        <v>122.27638248999999</v>
      </c>
      <c r="D672">
        <f t="shared" si="26"/>
        <v>362.72361751</v>
      </c>
    </row>
    <row r="673" spans="1:4">
      <c r="A673">
        <v>672</v>
      </c>
      <c r="B673">
        <v>518</v>
      </c>
      <c r="C673">
        <f t="shared" si="25"/>
        <v>122.25574175999998</v>
      </c>
      <c r="D673">
        <f t="shared" si="26"/>
        <v>395.74425824000002</v>
      </c>
    </row>
    <row r="674" spans="1:4">
      <c r="A674">
        <v>673</v>
      </c>
      <c r="B674">
        <v>508</v>
      </c>
      <c r="C674">
        <f t="shared" si="25"/>
        <v>122.23479881</v>
      </c>
      <c r="D674">
        <f t="shared" si="26"/>
        <v>385.76520118999997</v>
      </c>
    </row>
    <row r="675" spans="1:4">
      <c r="A675">
        <v>674</v>
      </c>
      <c r="B675">
        <v>476</v>
      </c>
      <c r="C675">
        <f t="shared" si="25"/>
        <v>122.21355364</v>
      </c>
      <c r="D675">
        <f t="shared" si="26"/>
        <v>353.78644636000001</v>
      </c>
    </row>
    <row r="676" spans="1:4">
      <c r="A676">
        <v>675</v>
      </c>
      <c r="B676">
        <v>469</v>
      </c>
      <c r="C676">
        <f t="shared" si="25"/>
        <v>122.19200625000001</v>
      </c>
      <c r="D676">
        <f t="shared" si="26"/>
        <v>346.80799374999998</v>
      </c>
    </row>
    <row r="677" spans="1:4">
      <c r="A677">
        <v>676</v>
      </c>
      <c r="B677">
        <v>454</v>
      </c>
      <c r="C677">
        <f t="shared" si="25"/>
        <v>122.17015663999999</v>
      </c>
      <c r="D677">
        <f t="shared" si="26"/>
        <v>331.82984336000004</v>
      </c>
    </row>
    <row r="678" spans="1:4">
      <c r="A678">
        <v>677</v>
      </c>
      <c r="B678">
        <v>421</v>
      </c>
      <c r="C678">
        <f t="shared" si="25"/>
        <v>122.14800480999999</v>
      </c>
      <c r="D678">
        <f t="shared" si="26"/>
        <v>298.85199519000003</v>
      </c>
    </row>
    <row r="679" spans="1:4">
      <c r="A679">
        <v>678</v>
      </c>
      <c r="B679">
        <v>393</v>
      </c>
      <c r="C679">
        <f t="shared" si="25"/>
        <v>122.12555076</v>
      </c>
      <c r="D679">
        <f t="shared" si="26"/>
        <v>270.87444923999999</v>
      </c>
    </row>
    <row r="680" spans="1:4">
      <c r="A680">
        <v>679</v>
      </c>
      <c r="B680">
        <v>377</v>
      </c>
      <c r="C680">
        <f t="shared" si="25"/>
        <v>122.10279448999998</v>
      </c>
      <c r="D680">
        <f t="shared" si="26"/>
        <v>254.89720551000002</v>
      </c>
    </row>
    <row r="681" spans="1:4">
      <c r="A681">
        <v>680</v>
      </c>
      <c r="B681">
        <v>377</v>
      </c>
      <c r="C681">
        <f t="shared" si="25"/>
        <v>122.079736</v>
      </c>
      <c r="D681">
        <f t="shared" si="26"/>
        <v>254.920264</v>
      </c>
    </row>
    <row r="682" spans="1:4">
      <c r="A682">
        <v>681</v>
      </c>
      <c r="B682">
        <v>367</v>
      </c>
      <c r="C682">
        <f t="shared" si="25"/>
        <v>122.05637529000001</v>
      </c>
      <c r="D682">
        <f t="shared" si="26"/>
        <v>244.94362470999999</v>
      </c>
    </row>
    <row r="683" spans="1:4">
      <c r="A683">
        <v>682</v>
      </c>
      <c r="B683">
        <v>421</v>
      </c>
      <c r="C683">
        <f t="shared" si="25"/>
        <v>122.03271236</v>
      </c>
      <c r="D683">
        <f t="shared" si="26"/>
        <v>298.96728764</v>
      </c>
    </row>
    <row r="684" spans="1:4">
      <c r="A684">
        <v>683</v>
      </c>
      <c r="B684">
        <v>501</v>
      </c>
      <c r="C684">
        <f t="shared" si="25"/>
        <v>122.00874721</v>
      </c>
      <c r="D684">
        <f t="shared" si="26"/>
        <v>378.99125278999998</v>
      </c>
    </row>
    <row r="685" spans="1:4">
      <c r="A685">
        <v>684</v>
      </c>
      <c r="B685">
        <v>551</v>
      </c>
      <c r="C685">
        <f t="shared" si="25"/>
        <v>121.98447983999999</v>
      </c>
      <c r="D685">
        <f t="shared" si="26"/>
        <v>429.01552015999999</v>
      </c>
    </row>
    <row r="686" spans="1:4">
      <c r="A686">
        <v>685</v>
      </c>
      <c r="B686">
        <v>597</v>
      </c>
      <c r="C686">
        <f t="shared" si="25"/>
        <v>121.95991024999999</v>
      </c>
      <c r="D686">
        <f t="shared" si="26"/>
        <v>475.04008974999999</v>
      </c>
    </row>
    <row r="687" spans="1:4">
      <c r="A687">
        <v>686</v>
      </c>
      <c r="B687">
        <v>705</v>
      </c>
      <c r="C687">
        <f t="shared" si="25"/>
        <v>121.93503843999999</v>
      </c>
      <c r="D687">
        <f t="shared" si="26"/>
        <v>583.06496156000003</v>
      </c>
    </row>
    <row r="688" spans="1:4">
      <c r="A688">
        <v>687</v>
      </c>
      <c r="B688">
        <v>923</v>
      </c>
      <c r="C688">
        <f t="shared" si="25"/>
        <v>121.90986441</v>
      </c>
      <c r="D688">
        <f t="shared" si="26"/>
        <v>801.09013559000005</v>
      </c>
    </row>
    <row r="689" spans="1:7">
      <c r="A689">
        <v>688</v>
      </c>
      <c r="B689">
        <v>1486</v>
      </c>
      <c r="C689">
        <f t="shared" si="25"/>
        <v>121.88438816</v>
      </c>
      <c r="D689">
        <f t="shared" si="26"/>
        <v>1364.1156118399999</v>
      </c>
    </row>
    <row r="690" spans="1:7">
      <c r="A690">
        <v>689</v>
      </c>
      <c r="B690">
        <v>2885</v>
      </c>
      <c r="C690">
        <f t="shared" si="25"/>
        <v>121.85860968999999</v>
      </c>
      <c r="D690">
        <f t="shared" si="26"/>
        <v>2763.1413903100001</v>
      </c>
    </row>
    <row r="691" spans="1:7">
      <c r="A691">
        <v>690</v>
      </c>
      <c r="B691">
        <v>5128</v>
      </c>
      <c r="C691">
        <f t="shared" si="25"/>
        <v>121.83252899999999</v>
      </c>
      <c r="D691">
        <f t="shared" si="26"/>
        <v>5006.1674709999998</v>
      </c>
    </row>
    <row r="692" spans="1:7">
      <c r="A692">
        <v>691</v>
      </c>
      <c r="B692">
        <v>7272</v>
      </c>
      <c r="C692">
        <f t="shared" si="25"/>
        <v>121.80614608999998</v>
      </c>
      <c r="D692">
        <f t="shared" si="26"/>
        <v>7150.1938539100001</v>
      </c>
    </row>
    <row r="693" spans="1:7" ht="17.25">
      <c r="A693">
        <v>692</v>
      </c>
      <c r="B693">
        <v>7498</v>
      </c>
      <c r="C693">
        <f t="shared" si="25"/>
        <v>121.77946095999999</v>
      </c>
      <c r="D693">
        <f t="shared" si="26"/>
        <v>7376.2205390400004</v>
      </c>
      <c r="F693">
        <v>692</v>
      </c>
      <c r="G693" t="s">
        <v>25</v>
      </c>
    </row>
    <row r="694" spans="1:7">
      <c r="A694">
        <v>693</v>
      </c>
      <c r="B694">
        <v>6063</v>
      </c>
      <c r="C694">
        <f t="shared" si="25"/>
        <v>121.75247361</v>
      </c>
      <c r="D694">
        <f t="shared" si="26"/>
        <v>5941.2475263899996</v>
      </c>
    </row>
    <row r="695" spans="1:7">
      <c r="A695">
        <v>694</v>
      </c>
      <c r="B695">
        <v>4156</v>
      </c>
      <c r="C695">
        <f t="shared" si="25"/>
        <v>121.72518404</v>
      </c>
      <c r="D695">
        <f t="shared" si="26"/>
        <v>4034.2748159600001</v>
      </c>
    </row>
    <row r="696" spans="1:7">
      <c r="A696">
        <v>695</v>
      </c>
      <c r="B696">
        <v>2578</v>
      </c>
      <c r="C696">
        <f t="shared" si="25"/>
        <v>121.69759225</v>
      </c>
      <c r="D696">
        <f t="shared" si="26"/>
        <v>2456.3024077499999</v>
      </c>
    </row>
    <row r="697" spans="1:7">
      <c r="A697">
        <v>696</v>
      </c>
      <c r="B697">
        <v>1372</v>
      </c>
      <c r="C697">
        <f t="shared" si="25"/>
        <v>121.66969823999999</v>
      </c>
      <c r="D697">
        <f t="shared" si="26"/>
        <v>1250.3303017600001</v>
      </c>
    </row>
    <row r="698" spans="1:7">
      <c r="A698">
        <v>697</v>
      </c>
      <c r="B698">
        <v>734</v>
      </c>
      <c r="C698">
        <f t="shared" si="25"/>
        <v>121.64150201</v>
      </c>
      <c r="D698">
        <f t="shared" si="26"/>
        <v>612.35849799000005</v>
      </c>
    </row>
    <row r="699" spans="1:7">
      <c r="A699">
        <v>698</v>
      </c>
      <c r="B699">
        <v>477</v>
      </c>
      <c r="C699">
        <f t="shared" si="25"/>
        <v>121.61300356</v>
      </c>
      <c r="D699">
        <f t="shared" si="26"/>
        <v>355.38699644000002</v>
      </c>
    </row>
    <row r="700" spans="1:7">
      <c r="A700">
        <v>699</v>
      </c>
      <c r="B700">
        <v>399</v>
      </c>
      <c r="C700">
        <f t="shared" si="25"/>
        <v>121.58420288999999</v>
      </c>
      <c r="D700">
        <f t="shared" si="26"/>
        <v>277.41579711000003</v>
      </c>
    </row>
    <row r="701" spans="1:7">
      <c r="A701">
        <v>700</v>
      </c>
      <c r="B701">
        <v>374</v>
      </c>
      <c r="C701">
        <f t="shared" si="25"/>
        <v>121.5551</v>
      </c>
      <c r="D701">
        <f t="shared" si="26"/>
        <v>252.44490000000002</v>
      </c>
    </row>
    <row r="702" spans="1:7">
      <c r="A702">
        <v>701</v>
      </c>
      <c r="B702">
        <v>351</v>
      </c>
      <c r="C702">
        <f t="shared" si="25"/>
        <v>121.52569489</v>
      </c>
      <c r="D702">
        <f t="shared" si="26"/>
        <v>229.47430510999999</v>
      </c>
    </row>
    <row r="703" spans="1:7">
      <c r="A703">
        <v>702</v>
      </c>
      <c r="B703">
        <v>343</v>
      </c>
      <c r="C703">
        <f t="shared" si="25"/>
        <v>121.49598756</v>
      </c>
      <c r="D703">
        <f t="shared" si="26"/>
        <v>221.50401244</v>
      </c>
    </row>
    <row r="704" spans="1:7">
      <c r="A704">
        <v>703</v>
      </c>
      <c r="B704">
        <v>343</v>
      </c>
      <c r="C704">
        <f t="shared" si="25"/>
        <v>121.46597800999997</v>
      </c>
      <c r="D704">
        <f t="shared" si="26"/>
        <v>221.53402199000004</v>
      </c>
    </row>
    <row r="705" spans="1:4">
      <c r="A705">
        <v>704</v>
      </c>
      <c r="B705">
        <v>332</v>
      </c>
      <c r="C705">
        <f t="shared" si="25"/>
        <v>121.43566624</v>
      </c>
      <c r="D705">
        <f t="shared" si="26"/>
        <v>210.56433376000001</v>
      </c>
    </row>
    <row r="706" spans="1:4">
      <c r="A706">
        <v>705</v>
      </c>
      <c r="B706">
        <v>322</v>
      </c>
      <c r="C706">
        <f t="shared" ref="C706:C769" si="27" xml:space="preserve"> -0.00015111*A706*A706 + 0.1823*A706 + 67.989</f>
        <v>121.40505225000001</v>
      </c>
      <c r="D706">
        <f t="shared" ref="D706:D769" si="28">B706-C706</f>
        <v>200.59494774999999</v>
      </c>
    </row>
    <row r="707" spans="1:4">
      <c r="A707">
        <v>706</v>
      </c>
      <c r="B707">
        <v>316</v>
      </c>
      <c r="C707">
        <f t="shared" si="27"/>
        <v>121.37413604000001</v>
      </c>
      <c r="D707">
        <f t="shared" si="28"/>
        <v>194.62586396</v>
      </c>
    </row>
    <row r="708" spans="1:4">
      <c r="A708">
        <v>707</v>
      </c>
      <c r="B708">
        <v>300</v>
      </c>
      <c r="C708">
        <f t="shared" si="27"/>
        <v>121.34291761</v>
      </c>
      <c r="D708">
        <f t="shared" si="28"/>
        <v>178.65708239</v>
      </c>
    </row>
    <row r="709" spans="1:4">
      <c r="A709">
        <v>708</v>
      </c>
      <c r="B709">
        <v>285</v>
      </c>
      <c r="C709">
        <f t="shared" si="27"/>
        <v>121.31139696</v>
      </c>
      <c r="D709">
        <f t="shared" si="28"/>
        <v>163.68860304</v>
      </c>
    </row>
    <row r="710" spans="1:4">
      <c r="A710">
        <v>709</v>
      </c>
      <c r="B710">
        <v>299</v>
      </c>
      <c r="C710">
        <f t="shared" si="27"/>
        <v>121.27957409</v>
      </c>
      <c r="D710">
        <f t="shared" si="28"/>
        <v>177.72042591000002</v>
      </c>
    </row>
    <row r="711" spans="1:4">
      <c r="A711">
        <v>710</v>
      </c>
      <c r="B711">
        <v>301</v>
      </c>
      <c r="C711">
        <f t="shared" si="27"/>
        <v>121.24744899999999</v>
      </c>
      <c r="D711">
        <f t="shared" si="28"/>
        <v>179.75255100000001</v>
      </c>
    </row>
    <row r="712" spans="1:4">
      <c r="A712">
        <v>711</v>
      </c>
      <c r="B712">
        <v>314</v>
      </c>
      <c r="C712">
        <f t="shared" si="27"/>
        <v>121.21502168999999</v>
      </c>
      <c r="D712">
        <f t="shared" si="28"/>
        <v>192.78497831000001</v>
      </c>
    </row>
    <row r="713" spans="1:4">
      <c r="A713">
        <v>712</v>
      </c>
      <c r="B713">
        <v>318</v>
      </c>
      <c r="C713">
        <f t="shared" si="27"/>
        <v>121.18229215999999</v>
      </c>
      <c r="D713">
        <f t="shared" si="28"/>
        <v>196.81770784000003</v>
      </c>
    </row>
    <row r="714" spans="1:4">
      <c r="A714">
        <v>713</v>
      </c>
      <c r="B714">
        <v>339</v>
      </c>
      <c r="C714">
        <f t="shared" si="27"/>
        <v>121.14926041</v>
      </c>
      <c r="D714">
        <f t="shared" si="28"/>
        <v>217.85073958999999</v>
      </c>
    </row>
    <row r="715" spans="1:4">
      <c r="A715">
        <v>714</v>
      </c>
      <c r="B715">
        <v>338</v>
      </c>
      <c r="C715">
        <f t="shared" si="27"/>
        <v>121.11592643999998</v>
      </c>
      <c r="D715">
        <f t="shared" si="28"/>
        <v>216.88407356000002</v>
      </c>
    </row>
    <row r="716" spans="1:4">
      <c r="A716">
        <v>715</v>
      </c>
      <c r="B716">
        <v>328</v>
      </c>
      <c r="C716">
        <f t="shared" si="27"/>
        <v>121.08229024999999</v>
      </c>
      <c r="D716">
        <f t="shared" si="28"/>
        <v>206.91770975000003</v>
      </c>
    </row>
    <row r="717" spans="1:4">
      <c r="A717">
        <v>716</v>
      </c>
      <c r="B717">
        <v>328</v>
      </c>
      <c r="C717">
        <f t="shared" si="27"/>
        <v>121.04835183999998</v>
      </c>
      <c r="D717">
        <f t="shared" si="28"/>
        <v>206.95164816000002</v>
      </c>
    </row>
    <row r="718" spans="1:4">
      <c r="A718">
        <v>717</v>
      </c>
      <c r="B718">
        <v>308</v>
      </c>
      <c r="C718">
        <f t="shared" si="27"/>
        <v>121.01411121000001</v>
      </c>
      <c r="D718">
        <f t="shared" si="28"/>
        <v>186.98588878999999</v>
      </c>
    </row>
    <row r="719" spans="1:4">
      <c r="A719">
        <v>718</v>
      </c>
      <c r="B719">
        <v>296</v>
      </c>
      <c r="C719">
        <f t="shared" si="27"/>
        <v>120.97956836</v>
      </c>
      <c r="D719">
        <f t="shared" si="28"/>
        <v>175.02043164</v>
      </c>
    </row>
    <row r="720" spans="1:4">
      <c r="A720">
        <v>719</v>
      </c>
      <c r="B720">
        <v>276</v>
      </c>
      <c r="C720">
        <f t="shared" si="27"/>
        <v>120.94472329</v>
      </c>
      <c r="D720">
        <f t="shared" si="28"/>
        <v>155.05527670999999</v>
      </c>
    </row>
    <row r="721" spans="1:4">
      <c r="A721">
        <v>720</v>
      </c>
      <c r="B721">
        <v>287</v>
      </c>
      <c r="C721">
        <f t="shared" si="27"/>
        <v>120.909576</v>
      </c>
      <c r="D721">
        <f t="shared" si="28"/>
        <v>166.09042399999998</v>
      </c>
    </row>
    <row r="722" spans="1:4">
      <c r="A722">
        <v>721</v>
      </c>
      <c r="B722">
        <v>266</v>
      </c>
      <c r="C722">
        <f t="shared" si="27"/>
        <v>120.87412648999999</v>
      </c>
      <c r="D722">
        <f t="shared" si="28"/>
        <v>145.12587351000002</v>
      </c>
    </row>
    <row r="723" spans="1:4">
      <c r="A723">
        <v>722</v>
      </c>
      <c r="B723">
        <v>266</v>
      </c>
      <c r="C723">
        <f t="shared" si="27"/>
        <v>120.83837475999999</v>
      </c>
      <c r="D723">
        <f t="shared" si="28"/>
        <v>145.16162524000001</v>
      </c>
    </row>
    <row r="724" spans="1:4">
      <c r="A724">
        <v>723</v>
      </c>
      <c r="B724">
        <v>256</v>
      </c>
      <c r="C724">
        <f t="shared" si="27"/>
        <v>120.80232081</v>
      </c>
      <c r="D724">
        <f t="shared" si="28"/>
        <v>135.19767919</v>
      </c>
    </row>
    <row r="725" spans="1:4">
      <c r="A725">
        <v>724</v>
      </c>
      <c r="B725">
        <v>257</v>
      </c>
      <c r="C725">
        <f t="shared" si="27"/>
        <v>120.76596463999999</v>
      </c>
      <c r="D725">
        <f t="shared" si="28"/>
        <v>136.23403536000001</v>
      </c>
    </row>
    <row r="726" spans="1:4">
      <c r="A726">
        <v>725</v>
      </c>
      <c r="B726">
        <v>258</v>
      </c>
      <c r="C726">
        <f t="shared" si="27"/>
        <v>120.72930624999999</v>
      </c>
      <c r="D726">
        <f t="shared" si="28"/>
        <v>137.27069375000002</v>
      </c>
    </row>
    <row r="727" spans="1:4">
      <c r="A727">
        <v>726</v>
      </c>
      <c r="B727">
        <v>255</v>
      </c>
      <c r="C727">
        <f t="shared" si="27"/>
        <v>120.69234563999998</v>
      </c>
      <c r="D727">
        <f t="shared" si="28"/>
        <v>134.30765436000002</v>
      </c>
    </row>
    <row r="728" spans="1:4">
      <c r="A728">
        <v>727</v>
      </c>
      <c r="B728">
        <v>250</v>
      </c>
      <c r="C728">
        <f t="shared" si="27"/>
        <v>120.65508280999998</v>
      </c>
      <c r="D728">
        <f t="shared" si="28"/>
        <v>129.34491719000002</v>
      </c>
    </row>
    <row r="729" spans="1:4">
      <c r="A729">
        <v>728</v>
      </c>
      <c r="B729">
        <v>261</v>
      </c>
      <c r="C729">
        <f t="shared" si="27"/>
        <v>120.61751775999998</v>
      </c>
      <c r="D729">
        <f t="shared" si="28"/>
        <v>140.38248224</v>
      </c>
    </row>
    <row r="730" spans="1:4">
      <c r="A730">
        <v>729</v>
      </c>
      <c r="B730">
        <v>276</v>
      </c>
      <c r="C730">
        <f t="shared" si="27"/>
        <v>120.57965048999998</v>
      </c>
      <c r="D730">
        <f t="shared" si="28"/>
        <v>155.42034951000002</v>
      </c>
    </row>
    <row r="731" spans="1:4">
      <c r="A731">
        <v>730</v>
      </c>
      <c r="B731">
        <v>276</v>
      </c>
      <c r="C731">
        <f t="shared" si="27"/>
        <v>120.54148099999999</v>
      </c>
      <c r="D731">
        <f t="shared" si="28"/>
        <v>155.45851900000002</v>
      </c>
    </row>
    <row r="732" spans="1:4">
      <c r="A732">
        <v>731</v>
      </c>
      <c r="B732">
        <v>271</v>
      </c>
      <c r="C732">
        <f t="shared" si="27"/>
        <v>120.50300929000001</v>
      </c>
      <c r="D732">
        <f t="shared" si="28"/>
        <v>150.49699070999998</v>
      </c>
    </row>
    <row r="733" spans="1:4">
      <c r="A733">
        <v>732</v>
      </c>
      <c r="B733">
        <v>274</v>
      </c>
      <c r="C733">
        <f t="shared" si="27"/>
        <v>120.46423536</v>
      </c>
      <c r="D733">
        <f t="shared" si="28"/>
        <v>153.53576464</v>
      </c>
    </row>
    <row r="734" spans="1:4">
      <c r="A734">
        <v>733</v>
      </c>
      <c r="B734">
        <v>260</v>
      </c>
      <c r="C734">
        <f t="shared" si="27"/>
        <v>120.42515921</v>
      </c>
      <c r="D734">
        <f t="shared" si="28"/>
        <v>139.57484079</v>
      </c>
    </row>
    <row r="735" spans="1:4">
      <c r="A735">
        <v>734</v>
      </c>
      <c r="B735">
        <v>255</v>
      </c>
      <c r="C735">
        <f t="shared" si="27"/>
        <v>120.38578084</v>
      </c>
      <c r="D735">
        <f t="shared" si="28"/>
        <v>134.61421916</v>
      </c>
    </row>
    <row r="736" spans="1:4">
      <c r="A736">
        <v>735</v>
      </c>
      <c r="B736">
        <v>261</v>
      </c>
      <c r="C736">
        <f t="shared" si="27"/>
        <v>120.34610024999999</v>
      </c>
      <c r="D736">
        <f t="shared" si="28"/>
        <v>140.65389974999999</v>
      </c>
    </row>
    <row r="737" spans="1:11">
      <c r="A737">
        <v>736</v>
      </c>
      <c r="B737">
        <v>251</v>
      </c>
      <c r="C737">
        <f t="shared" si="27"/>
        <v>120.30611743999999</v>
      </c>
      <c r="D737">
        <f t="shared" si="28"/>
        <v>130.69388256000002</v>
      </c>
    </row>
    <row r="738" spans="1:11">
      <c r="A738">
        <v>737</v>
      </c>
      <c r="B738">
        <v>267</v>
      </c>
      <c r="C738">
        <f t="shared" si="27"/>
        <v>120.26583241</v>
      </c>
      <c r="D738">
        <f t="shared" si="28"/>
        <v>146.73416759</v>
      </c>
    </row>
    <row r="739" spans="1:11">
      <c r="A739">
        <v>738</v>
      </c>
      <c r="B739">
        <v>310</v>
      </c>
      <c r="C739">
        <f t="shared" si="27"/>
        <v>120.22524515999999</v>
      </c>
      <c r="D739">
        <f t="shared" si="28"/>
        <v>189.77475484000001</v>
      </c>
    </row>
    <row r="740" spans="1:11">
      <c r="A740">
        <v>739</v>
      </c>
      <c r="B740">
        <v>430</v>
      </c>
      <c r="C740">
        <f t="shared" si="27"/>
        <v>120.18435568999999</v>
      </c>
      <c r="D740">
        <f t="shared" si="28"/>
        <v>309.81564431000004</v>
      </c>
    </row>
    <row r="741" spans="1:11">
      <c r="A741">
        <v>740</v>
      </c>
      <c r="B741">
        <v>676</v>
      </c>
      <c r="C741">
        <f t="shared" si="27"/>
        <v>120.14316399999998</v>
      </c>
      <c r="D741">
        <f t="shared" si="28"/>
        <v>555.85683600000004</v>
      </c>
    </row>
    <row r="742" spans="1:11">
      <c r="A742">
        <v>741</v>
      </c>
      <c r="B742">
        <v>1050</v>
      </c>
      <c r="C742">
        <f t="shared" si="27"/>
        <v>120.10167008999998</v>
      </c>
      <c r="D742">
        <f t="shared" si="28"/>
        <v>929.89832991000003</v>
      </c>
      <c r="E742">
        <v>-2</v>
      </c>
      <c r="F742">
        <f>LN(D742)</f>
        <v>6.835075257493723</v>
      </c>
    </row>
    <row r="743" spans="1:11">
      <c r="A743">
        <v>742</v>
      </c>
      <c r="B743">
        <v>1413</v>
      </c>
      <c r="C743">
        <f t="shared" si="27"/>
        <v>120.05987395999998</v>
      </c>
      <c r="D743">
        <f t="shared" si="28"/>
        <v>1292.94012604</v>
      </c>
      <c r="E743">
        <v>-1</v>
      </c>
      <c r="F743">
        <f>LN(D743)</f>
        <v>7.1646740714661252</v>
      </c>
    </row>
    <row r="744" spans="1:11" ht="17.25">
      <c r="A744">
        <v>743</v>
      </c>
      <c r="B744">
        <v>1466</v>
      </c>
      <c r="C744">
        <f t="shared" si="27"/>
        <v>120.01777560999999</v>
      </c>
      <c r="D744">
        <f t="shared" si="28"/>
        <v>1345.9822243900001</v>
      </c>
      <c r="E744">
        <v>0</v>
      </c>
      <c r="F744">
        <f>LN(D744)</f>
        <v>7.2048793038693271</v>
      </c>
      <c r="G744">
        <v>743</v>
      </c>
      <c r="H744" t="s">
        <v>26</v>
      </c>
    </row>
    <row r="745" spans="1:11">
      <c r="A745">
        <v>744</v>
      </c>
      <c r="B745">
        <v>1265</v>
      </c>
      <c r="C745">
        <f t="shared" si="27"/>
        <v>119.97537503999997</v>
      </c>
      <c r="D745">
        <f t="shared" si="28"/>
        <v>1145.02462496</v>
      </c>
      <c r="E745">
        <v>1</v>
      </c>
      <c r="F745">
        <f>LN(D745)</f>
        <v>7.0431814222723617</v>
      </c>
      <c r="G745">
        <v>743</v>
      </c>
      <c r="H745" s="9">
        <v>-9.4600000000000004E-2</v>
      </c>
      <c r="I745" s="9">
        <v>-1.6899999999999998E-2</v>
      </c>
      <c r="J745" s="9">
        <v>7.2011000000000003</v>
      </c>
      <c r="K745">
        <f>G745-I745/(2*H745)</f>
        <v>742.91067653276957</v>
      </c>
    </row>
    <row r="746" spans="1:11">
      <c r="A746">
        <v>745</v>
      </c>
      <c r="B746">
        <v>1028</v>
      </c>
      <c r="C746">
        <f t="shared" si="27"/>
        <v>119.93267225</v>
      </c>
      <c r="D746">
        <f t="shared" si="28"/>
        <v>908.06732775</v>
      </c>
      <c r="E746">
        <v>2</v>
      </c>
      <c r="F746">
        <f>LN(D746)</f>
        <v>6.8113185253567599</v>
      </c>
    </row>
    <row r="747" spans="1:11">
      <c r="A747">
        <v>746</v>
      </c>
      <c r="B747">
        <v>790</v>
      </c>
      <c r="C747">
        <f t="shared" si="27"/>
        <v>119.88966724000001</v>
      </c>
      <c r="D747">
        <f t="shared" si="28"/>
        <v>670.11033276000001</v>
      </c>
    </row>
    <row r="748" spans="1:11">
      <c r="A748">
        <v>747</v>
      </c>
      <c r="B748">
        <v>549</v>
      </c>
      <c r="C748">
        <f t="shared" si="27"/>
        <v>119.84636001</v>
      </c>
      <c r="D748">
        <f t="shared" si="28"/>
        <v>429.15363998999999</v>
      </c>
    </row>
    <row r="749" spans="1:11">
      <c r="A749">
        <v>748</v>
      </c>
      <c r="B749">
        <v>409</v>
      </c>
      <c r="C749">
        <f t="shared" si="27"/>
        <v>119.80275055999999</v>
      </c>
      <c r="D749">
        <f t="shared" si="28"/>
        <v>289.19724944000001</v>
      </c>
    </row>
    <row r="750" spans="1:11">
      <c r="A750">
        <v>749</v>
      </c>
      <c r="B750">
        <v>314</v>
      </c>
      <c r="C750">
        <f t="shared" si="27"/>
        <v>119.75883888999999</v>
      </c>
      <c r="D750">
        <f t="shared" si="28"/>
        <v>194.24116111000001</v>
      </c>
    </row>
    <row r="751" spans="1:11">
      <c r="A751">
        <v>750</v>
      </c>
      <c r="B751">
        <v>280</v>
      </c>
      <c r="C751">
        <f t="shared" si="27"/>
        <v>119.714625</v>
      </c>
      <c r="D751">
        <f t="shared" si="28"/>
        <v>160.28537499999999</v>
      </c>
    </row>
    <row r="752" spans="1:11">
      <c r="A752">
        <v>751</v>
      </c>
      <c r="B752">
        <v>265</v>
      </c>
      <c r="C752">
        <f t="shared" si="27"/>
        <v>119.67010888999998</v>
      </c>
      <c r="D752">
        <f t="shared" si="28"/>
        <v>145.32989111000001</v>
      </c>
    </row>
    <row r="753" spans="1:4">
      <c r="A753">
        <v>752</v>
      </c>
      <c r="B753">
        <v>296</v>
      </c>
      <c r="C753">
        <f t="shared" si="27"/>
        <v>119.62529055999998</v>
      </c>
      <c r="D753">
        <f t="shared" si="28"/>
        <v>176.37470944</v>
      </c>
    </row>
    <row r="754" spans="1:4">
      <c r="A754">
        <v>753</v>
      </c>
      <c r="B754">
        <v>371</v>
      </c>
      <c r="C754">
        <f t="shared" si="27"/>
        <v>119.58017000999999</v>
      </c>
      <c r="D754">
        <f t="shared" si="28"/>
        <v>251.41982999000001</v>
      </c>
    </row>
    <row r="755" spans="1:4">
      <c r="A755">
        <v>754</v>
      </c>
      <c r="B755">
        <v>474</v>
      </c>
      <c r="C755">
        <f t="shared" si="27"/>
        <v>119.53474723999999</v>
      </c>
      <c r="D755">
        <f t="shared" si="28"/>
        <v>354.46525276</v>
      </c>
    </row>
    <row r="756" spans="1:4">
      <c r="A756">
        <v>755</v>
      </c>
      <c r="B756">
        <v>512</v>
      </c>
      <c r="C756">
        <f t="shared" si="27"/>
        <v>119.48902224999998</v>
      </c>
      <c r="D756">
        <f t="shared" si="28"/>
        <v>392.51097775000005</v>
      </c>
    </row>
    <row r="757" spans="1:4">
      <c r="A757">
        <v>756</v>
      </c>
      <c r="B757">
        <v>503</v>
      </c>
      <c r="C757">
        <f t="shared" si="27"/>
        <v>119.44299503999999</v>
      </c>
      <c r="D757">
        <f t="shared" si="28"/>
        <v>383.55700496000003</v>
      </c>
    </row>
    <row r="758" spans="1:4">
      <c r="A758">
        <v>757</v>
      </c>
      <c r="B758">
        <v>429</v>
      </c>
      <c r="C758">
        <f t="shared" si="27"/>
        <v>119.39666560999999</v>
      </c>
      <c r="D758">
        <f t="shared" si="28"/>
        <v>309.60333438999999</v>
      </c>
    </row>
    <row r="759" spans="1:4">
      <c r="A759">
        <v>758</v>
      </c>
      <c r="B759">
        <v>368</v>
      </c>
      <c r="C759">
        <f t="shared" si="27"/>
        <v>119.35003396</v>
      </c>
      <c r="D759">
        <f t="shared" si="28"/>
        <v>248.64996603999998</v>
      </c>
    </row>
    <row r="760" spans="1:4">
      <c r="A760">
        <v>759</v>
      </c>
      <c r="B760">
        <v>287</v>
      </c>
      <c r="C760">
        <f t="shared" si="27"/>
        <v>119.30310009</v>
      </c>
      <c r="D760">
        <f t="shared" si="28"/>
        <v>167.69689991000001</v>
      </c>
    </row>
    <row r="761" spans="1:4">
      <c r="A761">
        <v>760</v>
      </c>
      <c r="B761">
        <v>261</v>
      </c>
      <c r="C761">
        <f t="shared" si="27"/>
        <v>119.255864</v>
      </c>
      <c r="D761">
        <f t="shared" si="28"/>
        <v>141.744136</v>
      </c>
    </row>
    <row r="762" spans="1:4">
      <c r="A762">
        <v>761</v>
      </c>
      <c r="B762">
        <v>249</v>
      </c>
      <c r="C762">
        <f t="shared" si="27"/>
        <v>119.20832569000001</v>
      </c>
      <c r="D762">
        <f t="shared" si="28"/>
        <v>129.79167430999999</v>
      </c>
    </row>
    <row r="763" spans="1:4">
      <c r="A763">
        <v>762</v>
      </c>
      <c r="B763">
        <v>271</v>
      </c>
      <c r="C763">
        <f t="shared" si="27"/>
        <v>119.16048515999999</v>
      </c>
      <c r="D763">
        <f t="shared" si="28"/>
        <v>151.83951483999999</v>
      </c>
    </row>
    <row r="764" spans="1:4">
      <c r="A764">
        <v>763</v>
      </c>
      <c r="B764">
        <v>279</v>
      </c>
      <c r="C764">
        <f t="shared" si="27"/>
        <v>119.11234241</v>
      </c>
      <c r="D764">
        <f t="shared" si="28"/>
        <v>159.88765759</v>
      </c>
    </row>
    <row r="765" spans="1:4">
      <c r="A765">
        <v>764</v>
      </c>
      <c r="B765">
        <v>279</v>
      </c>
      <c r="C765">
        <f t="shared" si="27"/>
        <v>119.06389743999999</v>
      </c>
      <c r="D765">
        <f t="shared" si="28"/>
        <v>159.93610255999999</v>
      </c>
    </row>
    <row r="766" spans="1:4">
      <c r="A766">
        <v>765</v>
      </c>
      <c r="B766">
        <v>263</v>
      </c>
      <c r="C766">
        <f t="shared" si="27"/>
        <v>119.01515024999999</v>
      </c>
      <c r="D766">
        <f t="shared" si="28"/>
        <v>143.98484975000002</v>
      </c>
    </row>
    <row r="767" spans="1:4">
      <c r="A767">
        <v>766</v>
      </c>
      <c r="B767">
        <v>252</v>
      </c>
      <c r="C767">
        <f t="shared" si="27"/>
        <v>118.96610083999998</v>
      </c>
      <c r="D767">
        <f t="shared" si="28"/>
        <v>133.03389916000003</v>
      </c>
    </row>
    <row r="768" spans="1:4">
      <c r="A768">
        <v>767</v>
      </c>
      <c r="B768">
        <v>234</v>
      </c>
      <c r="C768">
        <f t="shared" si="27"/>
        <v>118.91674920999999</v>
      </c>
      <c r="D768">
        <f t="shared" si="28"/>
        <v>115.08325079000001</v>
      </c>
    </row>
    <row r="769" spans="1:4">
      <c r="A769">
        <v>768</v>
      </c>
      <c r="B769">
        <v>215</v>
      </c>
      <c r="C769">
        <f t="shared" si="27"/>
        <v>118.86709535999998</v>
      </c>
      <c r="D769">
        <f t="shared" si="28"/>
        <v>96.132904640000021</v>
      </c>
    </row>
    <row r="770" spans="1:4">
      <c r="A770">
        <v>769</v>
      </c>
      <c r="B770">
        <v>227</v>
      </c>
      <c r="C770">
        <f t="shared" ref="C770:C833" si="29" xml:space="preserve"> -0.00015111*A770*A770 + 0.1823*A770 + 67.989</f>
        <v>118.81713928999999</v>
      </c>
      <c r="D770">
        <f t="shared" ref="D770:D833" si="30">B770-C770</f>
        <v>108.18286071000001</v>
      </c>
    </row>
    <row r="771" spans="1:4">
      <c r="A771">
        <v>770</v>
      </c>
      <c r="B771">
        <v>224</v>
      </c>
      <c r="C771">
        <f t="shared" si="29"/>
        <v>118.76688099999998</v>
      </c>
      <c r="D771">
        <f t="shared" si="30"/>
        <v>105.23311900000002</v>
      </c>
    </row>
    <row r="772" spans="1:4">
      <c r="A772">
        <v>771</v>
      </c>
      <c r="B772">
        <v>218</v>
      </c>
      <c r="C772">
        <f t="shared" si="29"/>
        <v>118.71632048999999</v>
      </c>
      <c r="D772">
        <f t="shared" si="30"/>
        <v>99.283679510000013</v>
      </c>
    </row>
    <row r="773" spans="1:4">
      <c r="A773">
        <v>772</v>
      </c>
      <c r="B773">
        <v>216</v>
      </c>
      <c r="C773">
        <f t="shared" si="29"/>
        <v>118.66545776</v>
      </c>
      <c r="D773">
        <f t="shared" si="30"/>
        <v>97.334542240000005</v>
      </c>
    </row>
    <row r="774" spans="1:4">
      <c r="A774">
        <v>773</v>
      </c>
      <c r="B774">
        <v>217</v>
      </c>
      <c r="C774">
        <f t="shared" si="29"/>
        <v>118.61429280999999</v>
      </c>
      <c r="D774">
        <f t="shared" si="30"/>
        <v>98.385707190000005</v>
      </c>
    </row>
    <row r="775" spans="1:4">
      <c r="A775">
        <v>774</v>
      </c>
      <c r="B775">
        <v>221</v>
      </c>
      <c r="C775">
        <f t="shared" si="29"/>
        <v>118.56282564</v>
      </c>
      <c r="D775">
        <f t="shared" si="30"/>
        <v>102.43717436</v>
      </c>
    </row>
    <row r="776" spans="1:4">
      <c r="A776">
        <v>775</v>
      </c>
      <c r="B776">
        <v>242</v>
      </c>
      <c r="C776">
        <f t="shared" si="29"/>
        <v>118.51105625</v>
      </c>
      <c r="D776">
        <f t="shared" si="30"/>
        <v>123.48894375</v>
      </c>
    </row>
    <row r="777" spans="1:4">
      <c r="A777">
        <v>776</v>
      </c>
      <c r="B777">
        <v>260</v>
      </c>
      <c r="C777">
        <f t="shared" si="29"/>
        <v>118.45898464</v>
      </c>
      <c r="D777">
        <f t="shared" si="30"/>
        <v>141.54101536000002</v>
      </c>
    </row>
    <row r="778" spans="1:4">
      <c r="A778">
        <v>777</v>
      </c>
      <c r="B778">
        <v>278</v>
      </c>
      <c r="C778">
        <f t="shared" si="29"/>
        <v>118.40661080999999</v>
      </c>
      <c r="D778">
        <f t="shared" si="30"/>
        <v>159.59338919000001</v>
      </c>
    </row>
    <row r="779" spans="1:4">
      <c r="A779">
        <v>778</v>
      </c>
      <c r="B779">
        <v>288</v>
      </c>
      <c r="C779">
        <f t="shared" si="29"/>
        <v>118.35393476</v>
      </c>
      <c r="D779">
        <f t="shared" si="30"/>
        <v>169.64606523999998</v>
      </c>
    </row>
    <row r="780" spans="1:4">
      <c r="A780">
        <v>779</v>
      </c>
      <c r="B780">
        <v>266</v>
      </c>
      <c r="C780">
        <f t="shared" si="29"/>
        <v>118.30095648999999</v>
      </c>
      <c r="D780">
        <f t="shared" si="30"/>
        <v>147.69904351000002</v>
      </c>
    </row>
    <row r="781" spans="1:4">
      <c r="A781">
        <v>780</v>
      </c>
      <c r="B781">
        <v>244</v>
      </c>
      <c r="C781">
        <f t="shared" si="29"/>
        <v>118.24767599999998</v>
      </c>
      <c r="D781">
        <f t="shared" si="30"/>
        <v>125.75232400000002</v>
      </c>
    </row>
    <row r="782" spans="1:4">
      <c r="A782">
        <v>781</v>
      </c>
      <c r="B782">
        <v>217</v>
      </c>
      <c r="C782">
        <f t="shared" si="29"/>
        <v>118.19409328999998</v>
      </c>
      <c r="D782">
        <f t="shared" si="30"/>
        <v>98.805906710000016</v>
      </c>
    </row>
    <row r="783" spans="1:4">
      <c r="A783">
        <v>782</v>
      </c>
      <c r="B783">
        <v>208</v>
      </c>
      <c r="C783">
        <f t="shared" si="29"/>
        <v>118.14020835999997</v>
      </c>
      <c r="D783">
        <f t="shared" si="30"/>
        <v>89.859791640000026</v>
      </c>
    </row>
    <row r="784" spans="1:4">
      <c r="A784">
        <v>783</v>
      </c>
      <c r="B784">
        <v>193</v>
      </c>
      <c r="C784">
        <f t="shared" si="29"/>
        <v>118.08602120999998</v>
      </c>
      <c r="D784">
        <f t="shared" si="30"/>
        <v>74.913978790000016</v>
      </c>
    </row>
    <row r="785" spans="1:4">
      <c r="A785">
        <v>784</v>
      </c>
      <c r="B785">
        <v>202</v>
      </c>
      <c r="C785">
        <f t="shared" si="29"/>
        <v>118.03153183999999</v>
      </c>
      <c r="D785">
        <f t="shared" si="30"/>
        <v>83.968468160000015</v>
      </c>
    </row>
    <row r="786" spans="1:4">
      <c r="A786">
        <v>785</v>
      </c>
      <c r="B786">
        <v>199</v>
      </c>
      <c r="C786">
        <f t="shared" si="29"/>
        <v>117.97674024999998</v>
      </c>
      <c r="D786">
        <f t="shared" si="30"/>
        <v>81.023259750000022</v>
      </c>
    </row>
    <row r="787" spans="1:4">
      <c r="A787">
        <v>786</v>
      </c>
      <c r="B787">
        <v>203</v>
      </c>
      <c r="C787">
        <f t="shared" si="29"/>
        <v>117.92164644</v>
      </c>
      <c r="D787">
        <f t="shared" si="30"/>
        <v>85.078353559999996</v>
      </c>
    </row>
    <row r="788" spans="1:4">
      <c r="A788">
        <v>787</v>
      </c>
      <c r="B788">
        <v>190</v>
      </c>
      <c r="C788">
        <f t="shared" si="29"/>
        <v>117.86625041000001</v>
      </c>
      <c r="D788">
        <f t="shared" si="30"/>
        <v>72.133749589999994</v>
      </c>
    </row>
    <row r="789" spans="1:4">
      <c r="A789">
        <v>788</v>
      </c>
      <c r="B789">
        <v>188</v>
      </c>
      <c r="C789">
        <f t="shared" si="29"/>
        <v>117.81055216</v>
      </c>
      <c r="D789">
        <f t="shared" si="30"/>
        <v>70.18944784</v>
      </c>
    </row>
    <row r="790" spans="1:4">
      <c r="A790">
        <v>789</v>
      </c>
      <c r="B790">
        <v>184</v>
      </c>
      <c r="C790">
        <f t="shared" si="29"/>
        <v>117.75455169</v>
      </c>
      <c r="D790">
        <f t="shared" si="30"/>
        <v>66.24544831</v>
      </c>
    </row>
    <row r="791" spans="1:4">
      <c r="A791">
        <v>790</v>
      </c>
      <c r="B791">
        <v>199</v>
      </c>
      <c r="C791">
        <f t="shared" si="29"/>
        <v>117.69824899999999</v>
      </c>
      <c r="D791">
        <f t="shared" si="30"/>
        <v>81.30175100000001</v>
      </c>
    </row>
    <row r="792" spans="1:4">
      <c r="A792">
        <v>791</v>
      </c>
      <c r="B792">
        <v>189</v>
      </c>
      <c r="C792">
        <f t="shared" si="29"/>
        <v>117.64164409</v>
      </c>
      <c r="D792">
        <f t="shared" si="30"/>
        <v>71.35835591</v>
      </c>
    </row>
    <row r="793" spans="1:4">
      <c r="A793">
        <v>792</v>
      </c>
      <c r="B793">
        <v>184</v>
      </c>
      <c r="C793">
        <f t="shared" si="29"/>
        <v>117.58473696</v>
      </c>
      <c r="D793">
        <f t="shared" si="30"/>
        <v>66.415263039999999</v>
      </c>
    </row>
    <row r="794" spans="1:4">
      <c r="A794">
        <v>793</v>
      </c>
      <c r="B794">
        <v>179</v>
      </c>
      <c r="C794">
        <f t="shared" si="29"/>
        <v>117.52752760999999</v>
      </c>
      <c r="D794">
        <f t="shared" si="30"/>
        <v>61.472472390000007</v>
      </c>
    </row>
    <row r="795" spans="1:4">
      <c r="A795">
        <v>794</v>
      </c>
      <c r="B795">
        <v>187</v>
      </c>
      <c r="C795">
        <f t="shared" si="29"/>
        <v>117.47001603999999</v>
      </c>
      <c r="D795">
        <f t="shared" si="30"/>
        <v>69.52998396000001</v>
      </c>
    </row>
    <row r="796" spans="1:4">
      <c r="A796">
        <v>795</v>
      </c>
      <c r="B796">
        <v>200</v>
      </c>
      <c r="C796">
        <f t="shared" si="29"/>
        <v>117.41220224999999</v>
      </c>
      <c r="D796">
        <f t="shared" si="30"/>
        <v>82.587797750000007</v>
      </c>
    </row>
    <row r="797" spans="1:4">
      <c r="A797">
        <v>796</v>
      </c>
      <c r="B797">
        <v>224</v>
      </c>
      <c r="C797">
        <f t="shared" si="29"/>
        <v>117.35408623999997</v>
      </c>
      <c r="D797">
        <f t="shared" si="30"/>
        <v>106.64591376000003</v>
      </c>
    </row>
    <row r="798" spans="1:4">
      <c r="A798">
        <v>797</v>
      </c>
      <c r="B798">
        <v>228</v>
      </c>
      <c r="C798">
        <f t="shared" si="29"/>
        <v>117.29566800999999</v>
      </c>
      <c r="D798">
        <f t="shared" si="30"/>
        <v>110.70433199000001</v>
      </c>
    </row>
    <row r="799" spans="1:4">
      <c r="A799">
        <v>798</v>
      </c>
      <c r="B799">
        <v>264</v>
      </c>
      <c r="C799">
        <f t="shared" si="29"/>
        <v>117.23694755999998</v>
      </c>
      <c r="D799">
        <f t="shared" si="30"/>
        <v>146.76305244000002</v>
      </c>
    </row>
    <row r="800" spans="1:4">
      <c r="A800">
        <v>799</v>
      </c>
      <c r="B800">
        <v>317</v>
      </c>
      <c r="C800">
        <f t="shared" si="29"/>
        <v>117.17792489</v>
      </c>
      <c r="D800">
        <f t="shared" si="30"/>
        <v>199.82207511000001</v>
      </c>
    </row>
    <row r="801" spans="1:4">
      <c r="A801">
        <v>800</v>
      </c>
      <c r="B801">
        <v>446</v>
      </c>
      <c r="C801">
        <f t="shared" si="29"/>
        <v>117.1186</v>
      </c>
      <c r="D801">
        <f t="shared" si="30"/>
        <v>328.88139999999999</v>
      </c>
    </row>
    <row r="802" spans="1:4">
      <c r="A802">
        <v>801</v>
      </c>
      <c r="B802">
        <v>610</v>
      </c>
      <c r="C802">
        <f t="shared" si="29"/>
        <v>117.05897289000001</v>
      </c>
      <c r="D802">
        <f t="shared" si="30"/>
        <v>492.94102710999999</v>
      </c>
    </row>
    <row r="803" spans="1:4">
      <c r="A803">
        <v>802</v>
      </c>
      <c r="B803">
        <v>761</v>
      </c>
      <c r="C803">
        <f t="shared" si="29"/>
        <v>116.99904356</v>
      </c>
      <c r="D803">
        <f t="shared" si="30"/>
        <v>644.00095643999998</v>
      </c>
    </row>
    <row r="804" spans="1:4">
      <c r="A804">
        <v>803</v>
      </c>
      <c r="B804">
        <v>769</v>
      </c>
      <c r="C804">
        <f t="shared" si="29"/>
        <v>116.93881200999999</v>
      </c>
      <c r="D804">
        <f t="shared" si="30"/>
        <v>652.06118799000001</v>
      </c>
    </row>
    <row r="805" spans="1:4">
      <c r="A805">
        <v>804</v>
      </c>
      <c r="B805">
        <v>652</v>
      </c>
      <c r="C805">
        <f t="shared" si="29"/>
        <v>116.87827824</v>
      </c>
      <c r="D805">
        <f t="shared" si="30"/>
        <v>535.12172176000001</v>
      </c>
    </row>
    <row r="806" spans="1:4">
      <c r="A806">
        <v>805</v>
      </c>
      <c r="B806">
        <v>517</v>
      </c>
      <c r="C806">
        <f t="shared" si="29"/>
        <v>116.81744225</v>
      </c>
      <c r="D806">
        <f t="shared" si="30"/>
        <v>400.18255775</v>
      </c>
    </row>
    <row r="807" spans="1:4">
      <c r="A807">
        <v>806</v>
      </c>
      <c r="B807">
        <v>430</v>
      </c>
      <c r="C807">
        <f t="shared" si="29"/>
        <v>116.75630403999999</v>
      </c>
      <c r="D807">
        <f t="shared" si="30"/>
        <v>313.24369596000003</v>
      </c>
    </row>
    <row r="808" spans="1:4">
      <c r="A808">
        <v>807</v>
      </c>
      <c r="B808">
        <v>399</v>
      </c>
      <c r="C808">
        <f t="shared" si="29"/>
        <v>116.69486360999998</v>
      </c>
      <c r="D808">
        <f t="shared" si="30"/>
        <v>282.30513639000003</v>
      </c>
    </row>
    <row r="809" spans="1:4">
      <c r="A809">
        <v>808</v>
      </c>
      <c r="B809">
        <v>450</v>
      </c>
      <c r="C809">
        <f t="shared" si="29"/>
        <v>116.63312095999999</v>
      </c>
      <c r="D809">
        <f t="shared" si="30"/>
        <v>333.36687904000001</v>
      </c>
    </row>
    <row r="810" spans="1:4">
      <c r="A810">
        <v>809</v>
      </c>
      <c r="B810">
        <v>516</v>
      </c>
      <c r="C810">
        <f t="shared" si="29"/>
        <v>116.57107608999999</v>
      </c>
      <c r="D810">
        <f t="shared" si="30"/>
        <v>399.42892390999998</v>
      </c>
    </row>
    <row r="811" spans="1:4">
      <c r="A811">
        <v>810</v>
      </c>
      <c r="B811">
        <v>538</v>
      </c>
      <c r="C811">
        <f t="shared" si="29"/>
        <v>116.50872899999997</v>
      </c>
      <c r="D811">
        <f t="shared" si="30"/>
        <v>421.49127100000004</v>
      </c>
    </row>
    <row r="812" spans="1:4">
      <c r="A812">
        <v>811</v>
      </c>
      <c r="B812">
        <v>505</v>
      </c>
      <c r="C812">
        <f t="shared" si="29"/>
        <v>116.44607968999998</v>
      </c>
      <c r="D812">
        <f t="shared" si="30"/>
        <v>388.55392031000002</v>
      </c>
    </row>
    <row r="813" spans="1:4">
      <c r="A813">
        <v>812</v>
      </c>
      <c r="B813">
        <v>466</v>
      </c>
      <c r="C813">
        <f t="shared" si="29"/>
        <v>116.38312815999998</v>
      </c>
      <c r="D813">
        <f t="shared" si="30"/>
        <v>349.61687184000004</v>
      </c>
    </row>
    <row r="814" spans="1:4">
      <c r="A814">
        <v>813</v>
      </c>
      <c r="B814">
        <v>415</v>
      </c>
      <c r="C814">
        <f t="shared" si="29"/>
        <v>116.31987441</v>
      </c>
      <c r="D814">
        <f t="shared" si="30"/>
        <v>298.68012558999999</v>
      </c>
    </row>
    <row r="815" spans="1:4">
      <c r="A815">
        <v>814</v>
      </c>
      <c r="B815">
        <v>359</v>
      </c>
      <c r="C815">
        <f t="shared" si="29"/>
        <v>116.25631844</v>
      </c>
      <c r="D815">
        <f t="shared" si="30"/>
        <v>242.74368156</v>
      </c>
    </row>
    <row r="816" spans="1:4">
      <c r="A816">
        <v>815</v>
      </c>
      <c r="B816">
        <v>310</v>
      </c>
      <c r="C816">
        <f t="shared" si="29"/>
        <v>116.19246025</v>
      </c>
      <c r="D816">
        <f t="shared" si="30"/>
        <v>193.80753974999999</v>
      </c>
    </row>
    <row r="817" spans="1:4">
      <c r="A817">
        <v>816</v>
      </c>
      <c r="B817">
        <v>279</v>
      </c>
      <c r="C817">
        <f t="shared" si="29"/>
        <v>116.12829984</v>
      </c>
      <c r="D817">
        <f t="shared" si="30"/>
        <v>162.87170015999999</v>
      </c>
    </row>
    <row r="818" spans="1:4">
      <c r="A818">
        <v>817</v>
      </c>
      <c r="B818">
        <v>273</v>
      </c>
      <c r="C818">
        <f t="shared" si="29"/>
        <v>116.06383720999999</v>
      </c>
      <c r="D818">
        <f t="shared" si="30"/>
        <v>156.93616279000003</v>
      </c>
    </row>
    <row r="819" spans="1:4">
      <c r="A819">
        <v>818</v>
      </c>
      <c r="B819">
        <v>276</v>
      </c>
      <c r="C819">
        <f t="shared" si="29"/>
        <v>115.99907236</v>
      </c>
      <c r="D819">
        <f t="shared" si="30"/>
        <v>160.00092763999999</v>
      </c>
    </row>
    <row r="820" spans="1:4">
      <c r="A820">
        <v>819</v>
      </c>
      <c r="B820">
        <v>271</v>
      </c>
      <c r="C820">
        <f t="shared" si="29"/>
        <v>115.93400528999999</v>
      </c>
      <c r="D820">
        <f t="shared" si="30"/>
        <v>155.06599471000001</v>
      </c>
    </row>
    <row r="821" spans="1:4">
      <c r="A821">
        <v>820</v>
      </c>
      <c r="B821">
        <v>256</v>
      </c>
      <c r="C821">
        <f t="shared" si="29"/>
        <v>115.86863599999998</v>
      </c>
      <c r="D821">
        <f t="shared" si="30"/>
        <v>140.13136400000002</v>
      </c>
    </row>
    <row r="822" spans="1:4">
      <c r="A822">
        <v>821</v>
      </c>
      <c r="B822">
        <v>260</v>
      </c>
      <c r="C822">
        <f t="shared" si="29"/>
        <v>115.80296448999998</v>
      </c>
      <c r="D822">
        <f t="shared" si="30"/>
        <v>144.19703551000003</v>
      </c>
    </row>
    <row r="823" spans="1:4">
      <c r="A823">
        <v>822</v>
      </c>
      <c r="B823">
        <v>244</v>
      </c>
      <c r="C823">
        <f t="shared" si="29"/>
        <v>115.73699075999998</v>
      </c>
      <c r="D823">
        <f t="shared" si="30"/>
        <v>128.26300924000003</v>
      </c>
    </row>
    <row r="824" spans="1:4">
      <c r="A824">
        <v>823</v>
      </c>
      <c r="B824">
        <v>250</v>
      </c>
      <c r="C824">
        <f t="shared" si="29"/>
        <v>115.67071480999998</v>
      </c>
      <c r="D824">
        <f t="shared" si="30"/>
        <v>134.32928519000001</v>
      </c>
    </row>
    <row r="825" spans="1:4">
      <c r="A825">
        <v>824</v>
      </c>
      <c r="B825">
        <v>258</v>
      </c>
      <c r="C825">
        <f t="shared" si="29"/>
        <v>115.60413663999998</v>
      </c>
      <c r="D825">
        <f t="shared" si="30"/>
        <v>142.39586336000002</v>
      </c>
    </row>
    <row r="826" spans="1:4">
      <c r="A826">
        <v>825</v>
      </c>
      <c r="B826">
        <v>271</v>
      </c>
      <c r="C826">
        <f t="shared" si="29"/>
        <v>115.53725624999998</v>
      </c>
      <c r="D826">
        <f t="shared" si="30"/>
        <v>155.46274375000002</v>
      </c>
    </row>
    <row r="827" spans="1:4">
      <c r="A827">
        <v>826</v>
      </c>
      <c r="B827">
        <v>265</v>
      </c>
      <c r="C827">
        <f t="shared" si="29"/>
        <v>115.47007363999998</v>
      </c>
      <c r="D827">
        <f t="shared" si="30"/>
        <v>149.52992636000002</v>
      </c>
    </row>
    <row r="828" spans="1:4">
      <c r="A828">
        <v>827</v>
      </c>
      <c r="B828">
        <v>251</v>
      </c>
      <c r="C828">
        <f t="shared" si="29"/>
        <v>115.40258881</v>
      </c>
      <c r="D828">
        <f t="shared" si="30"/>
        <v>135.59741119</v>
      </c>
    </row>
    <row r="829" spans="1:4">
      <c r="A829">
        <v>828</v>
      </c>
      <c r="B829">
        <v>235</v>
      </c>
      <c r="C829">
        <f t="shared" si="29"/>
        <v>115.33480176</v>
      </c>
      <c r="D829">
        <f t="shared" si="30"/>
        <v>119.66519824</v>
      </c>
    </row>
    <row r="830" spans="1:4">
      <c r="A830">
        <v>829</v>
      </c>
      <c r="B830">
        <v>202</v>
      </c>
      <c r="C830">
        <f t="shared" si="29"/>
        <v>115.26671249</v>
      </c>
      <c r="D830">
        <f t="shared" si="30"/>
        <v>86.733287509999997</v>
      </c>
    </row>
    <row r="831" spans="1:4">
      <c r="A831">
        <v>830</v>
      </c>
      <c r="B831">
        <v>192</v>
      </c>
      <c r="C831">
        <f t="shared" si="29"/>
        <v>115.19832099999999</v>
      </c>
      <c r="D831">
        <f t="shared" si="30"/>
        <v>76.801679000000007</v>
      </c>
    </row>
    <row r="832" spans="1:4">
      <c r="A832">
        <v>831</v>
      </c>
      <c r="B832">
        <v>184</v>
      </c>
      <c r="C832">
        <f t="shared" si="29"/>
        <v>115.12962729</v>
      </c>
      <c r="D832">
        <f t="shared" si="30"/>
        <v>68.870372709999998</v>
      </c>
    </row>
    <row r="833" spans="1:4">
      <c r="A833">
        <v>832</v>
      </c>
      <c r="B833">
        <v>180</v>
      </c>
      <c r="C833">
        <f t="shared" si="29"/>
        <v>115.06063135999999</v>
      </c>
      <c r="D833">
        <f t="shared" si="30"/>
        <v>64.939368640000012</v>
      </c>
    </row>
    <row r="834" spans="1:4">
      <c r="A834">
        <v>833</v>
      </c>
      <c r="B834">
        <v>195</v>
      </c>
      <c r="C834">
        <f t="shared" ref="C834:C897" si="31" xml:space="preserve"> -0.00015111*A834*A834 + 0.1823*A834 + 67.989</f>
        <v>114.99133320999998</v>
      </c>
      <c r="D834">
        <f t="shared" ref="D834:D897" si="32">B834-C834</f>
        <v>80.008666790000021</v>
      </c>
    </row>
    <row r="835" spans="1:4">
      <c r="A835">
        <v>834</v>
      </c>
      <c r="B835">
        <v>184</v>
      </c>
      <c r="C835">
        <f t="shared" si="31"/>
        <v>114.92173283999999</v>
      </c>
      <c r="D835">
        <f t="shared" si="32"/>
        <v>69.07826716000001</v>
      </c>
    </row>
    <row r="836" spans="1:4">
      <c r="A836">
        <v>835</v>
      </c>
      <c r="B836">
        <v>169</v>
      </c>
      <c r="C836">
        <f t="shared" si="31"/>
        <v>114.85183024999999</v>
      </c>
      <c r="D836">
        <f t="shared" si="32"/>
        <v>54.148169750000008</v>
      </c>
    </row>
    <row r="837" spans="1:4">
      <c r="A837">
        <v>836</v>
      </c>
      <c r="B837">
        <v>168</v>
      </c>
      <c r="C837">
        <f t="shared" si="31"/>
        <v>114.78162543999997</v>
      </c>
      <c r="D837">
        <f t="shared" si="32"/>
        <v>53.218374560000029</v>
      </c>
    </row>
    <row r="838" spans="1:4">
      <c r="A838">
        <v>837</v>
      </c>
      <c r="B838">
        <v>167</v>
      </c>
      <c r="C838">
        <f t="shared" si="31"/>
        <v>114.71111840999998</v>
      </c>
      <c r="D838">
        <f t="shared" si="32"/>
        <v>52.288881590000017</v>
      </c>
    </row>
    <row r="839" spans="1:4">
      <c r="A839">
        <v>838</v>
      </c>
      <c r="B839">
        <v>160</v>
      </c>
      <c r="C839">
        <f t="shared" si="31"/>
        <v>114.64030915999997</v>
      </c>
      <c r="D839">
        <f t="shared" si="32"/>
        <v>45.359690840000027</v>
      </c>
    </row>
    <row r="840" spans="1:4">
      <c r="A840">
        <v>839</v>
      </c>
      <c r="B840">
        <v>165</v>
      </c>
      <c r="C840">
        <f t="shared" si="31"/>
        <v>114.56919768999997</v>
      </c>
      <c r="D840">
        <f t="shared" si="32"/>
        <v>50.430802310000033</v>
      </c>
    </row>
    <row r="841" spans="1:4">
      <c r="A841">
        <v>840</v>
      </c>
      <c r="B841">
        <v>160</v>
      </c>
      <c r="C841">
        <f t="shared" si="31"/>
        <v>114.49778400000001</v>
      </c>
      <c r="D841">
        <f t="shared" si="32"/>
        <v>45.50221599999999</v>
      </c>
    </row>
    <row r="842" spans="1:4">
      <c r="A842">
        <v>841</v>
      </c>
      <c r="B842">
        <v>155</v>
      </c>
      <c r="C842">
        <f t="shared" si="31"/>
        <v>114.42606809</v>
      </c>
      <c r="D842">
        <f t="shared" si="32"/>
        <v>40.573931909999999</v>
      </c>
    </row>
    <row r="843" spans="1:4">
      <c r="A843">
        <v>842</v>
      </c>
      <c r="B843">
        <v>144</v>
      </c>
      <c r="C843">
        <f t="shared" si="31"/>
        <v>114.35404995999998</v>
      </c>
      <c r="D843">
        <f t="shared" si="32"/>
        <v>29.645950040000017</v>
      </c>
    </row>
    <row r="844" spans="1:4">
      <c r="A844">
        <v>843</v>
      </c>
      <c r="B844">
        <v>146</v>
      </c>
      <c r="C844">
        <f t="shared" si="31"/>
        <v>114.28172961</v>
      </c>
      <c r="D844">
        <f t="shared" si="32"/>
        <v>31.718270390000001</v>
      </c>
    </row>
    <row r="845" spans="1:4">
      <c r="A845">
        <v>844</v>
      </c>
      <c r="B845">
        <v>138</v>
      </c>
      <c r="C845">
        <f t="shared" si="31"/>
        <v>114.20910703999999</v>
      </c>
      <c r="D845">
        <f t="shared" si="32"/>
        <v>23.790892960000008</v>
      </c>
    </row>
    <row r="846" spans="1:4">
      <c r="A846">
        <v>845</v>
      </c>
      <c r="B846">
        <v>153</v>
      </c>
      <c r="C846">
        <f t="shared" si="31"/>
        <v>114.13618225</v>
      </c>
      <c r="D846">
        <f t="shared" si="32"/>
        <v>38.863817749999995</v>
      </c>
    </row>
    <row r="847" spans="1:4">
      <c r="A847">
        <v>846</v>
      </c>
      <c r="B847">
        <v>157</v>
      </c>
      <c r="C847">
        <f t="shared" si="31"/>
        <v>114.06295523999999</v>
      </c>
      <c r="D847">
        <f t="shared" si="32"/>
        <v>42.937044760000006</v>
      </c>
    </row>
    <row r="848" spans="1:4">
      <c r="A848">
        <v>847</v>
      </c>
      <c r="B848">
        <v>162</v>
      </c>
      <c r="C848">
        <f t="shared" si="31"/>
        <v>113.98942600999999</v>
      </c>
      <c r="D848">
        <f t="shared" si="32"/>
        <v>48.010573990000012</v>
      </c>
    </row>
    <row r="849" spans="1:7">
      <c r="A849">
        <v>848</v>
      </c>
      <c r="B849">
        <v>144</v>
      </c>
      <c r="C849">
        <f t="shared" si="31"/>
        <v>113.91559456</v>
      </c>
      <c r="D849">
        <f t="shared" si="32"/>
        <v>30.084405439999998</v>
      </c>
    </row>
    <row r="850" spans="1:7">
      <c r="A850">
        <v>849</v>
      </c>
      <c r="B850">
        <v>132</v>
      </c>
      <c r="C850">
        <f t="shared" si="31"/>
        <v>113.84146088999998</v>
      </c>
      <c r="D850">
        <f t="shared" si="32"/>
        <v>18.158539110000021</v>
      </c>
    </row>
    <row r="851" spans="1:7">
      <c r="A851">
        <v>850</v>
      </c>
      <c r="B851">
        <v>129</v>
      </c>
      <c r="C851">
        <f t="shared" si="31"/>
        <v>113.76702499999998</v>
      </c>
      <c r="D851">
        <f t="shared" si="32"/>
        <v>15.232975000000025</v>
      </c>
    </row>
    <row r="852" spans="1:7">
      <c r="A852">
        <v>851</v>
      </c>
      <c r="B852">
        <v>142</v>
      </c>
      <c r="C852">
        <f t="shared" si="31"/>
        <v>113.69228688999999</v>
      </c>
      <c r="D852">
        <f t="shared" si="32"/>
        <v>28.307713110000009</v>
      </c>
    </row>
    <row r="853" spans="1:7">
      <c r="A853">
        <v>852</v>
      </c>
      <c r="B853">
        <v>163</v>
      </c>
      <c r="C853">
        <f t="shared" si="31"/>
        <v>113.61724655999998</v>
      </c>
      <c r="D853">
        <f t="shared" si="32"/>
        <v>49.382753440000016</v>
      </c>
    </row>
    <row r="854" spans="1:7">
      <c r="A854">
        <v>853</v>
      </c>
      <c r="B854">
        <v>178</v>
      </c>
      <c r="C854">
        <f t="shared" si="31"/>
        <v>113.54190400999997</v>
      </c>
      <c r="D854">
        <f t="shared" si="32"/>
        <v>64.458095990000032</v>
      </c>
    </row>
    <row r="855" spans="1:7">
      <c r="A855">
        <v>854</v>
      </c>
      <c r="B855">
        <v>177</v>
      </c>
      <c r="C855">
        <f t="shared" si="31"/>
        <v>113.46625924000001</v>
      </c>
      <c r="D855">
        <f t="shared" si="32"/>
        <v>63.533740759999986</v>
      </c>
    </row>
    <row r="856" spans="1:7">
      <c r="A856">
        <v>855</v>
      </c>
      <c r="B856">
        <v>211</v>
      </c>
      <c r="C856">
        <f t="shared" si="31"/>
        <v>113.39031224999999</v>
      </c>
      <c r="D856">
        <f t="shared" si="32"/>
        <v>97.609687750000006</v>
      </c>
    </row>
    <row r="857" spans="1:7">
      <c r="A857">
        <v>856</v>
      </c>
      <c r="B857">
        <v>282</v>
      </c>
      <c r="C857">
        <f t="shared" si="31"/>
        <v>113.31406303999999</v>
      </c>
      <c r="D857">
        <f t="shared" si="32"/>
        <v>168.68593695999999</v>
      </c>
    </row>
    <row r="858" spans="1:7">
      <c r="A858">
        <v>857</v>
      </c>
      <c r="B858">
        <v>404</v>
      </c>
      <c r="C858">
        <f t="shared" si="31"/>
        <v>113.23751161</v>
      </c>
      <c r="D858">
        <f t="shared" si="32"/>
        <v>290.76248838999999</v>
      </c>
    </row>
    <row r="859" spans="1:7">
      <c r="A859">
        <v>858</v>
      </c>
      <c r="B859">
        <v>517</v>
      </c>
      <c r="C859">
        <f t="shared" si="31"/>
        <v>113.16065795999999</v>
      </c>
      <c r="D859">
        <f t="shared" si="32"/>
        <v>403.83934204000002</v>
      </c>
    </row>
    <row r="860" spans="1:7" ht="17.25">
      <c r="A860">
        <v>859</v>
      </c>
      <c r="B860">
        <v>571</v>
      </c>
      <c r="C860">
        <f t="shared" si="31"/>
        <v>113.08350209000001</v>
      </c>
      <c r="D860">
        <f t="shared" si="32"/>
        <v>457.91649790999998</v>
      </c>
      <c r="F860">
        <v>859</v>
      </c>
      <c r="G860" t="s">
        <v>27</v>
      </c>
    </row>
    <row r="861" spans="1:7">
      <c r="A861">
        <v>860</v>
      </c>
      <c r="B861">
        <v>492</v>
      </c>
      <c r="C861">
        <f t="shared" si="31"/>
        <v>113.00604399999999</v>
      </c>
      <c r="D861">
        <f t="shared" si="32"/>
        <v>378.99395600000003</v>
      </c>
    </row>
    <row r="862" spans="1:7">
      <c r="A862">
        <v>861</v>
      </c>
      <c r="B862">
        <v>389</v>
      </c>
      <c r="C862">
        <f t="shared" si="31"/>
        <v>112.92828368999999</v>
      </c>
      <c r="D862">
        <f t="shared" si="32"/>
        <v>276.07171631</v>
      </c>
    </row>
    <row r="863" spans="1:7">
      <c r="A863">
        <v>862</v>
      </c>
      <c r="B863">
        <v>308</v>
      </c>
      <c r="C863">
        <f t="shared" si="31"/>
        <v>112.85022115999999</v>
      </c>
      <c r="D863">
        <f t="shared" si="32"/>
        <v>195.14977884000001</v>
      </c>
    </row>
    <row r="864" spans="1:7">
      <c r="A864">
        <v>863</v>
      </c>
      <c r="B864">
        <v>245</v>
      </c>
      <c r="C864">
        <f t="shared" si="31"/>
        <v>112.77185640999998</v>
      </c>
      <c r="D864">
        <f t="shared" si="32"/>
        <v>132.22814359</v>
      </c>
    </row>
    <row r="865" spans="1:4">
      <c r="A865">
        <v>864</v>
      </c>
      <c r="B865">
        <v>222</v>
      </c>
      <c r="C865">
        <f t="shared" si="31"/>
        <v>112.69318943999997</v>
      </c>
      <c r="D865">
        <f t="shared" si="32"/>
        <v>109.30681056000003</v>
      </c>
    </row>
    <row r="866" spans="1:4">
      <c r="A866">
        <v>865</v>
      </c>
      <c r="B866">
        <v>215</v>
      </c>
      <c r="C866">
        <f t="shared" si="31"/>
        <v>112.61422024999999</v>
      </c>
      <c r="D866">
        <f t="shared" si="32"/>
        <v>102.38577975000001</v>
      </c>
    </row>
    <row r="867" spans="1:4">
      <c r="A867">
        <v>866</v>
      </c>
      <c r="B867">
        <v>208</v>
      </c>
      <c r="C867">
        <f t="shared" si="31"/>
        <v>112.53494883999998</v>
      </c>
      <c r="D867">
        <f t="shared" si="32"/>
        <v>95.465051160000016</v>
      </c>
    </row>
    <row r="868" spans="1:4">
      <c r="A868">
        <v>867</v>
      </c>
      <c r="B868">
        <v>185</v>
      </c>
      <c r="C868">
        <f t="shared" si="31"/>
        <v>112.45537521</v>
      </c>
      <c r="D868">
        <f t="shared" si="32"/>
        <v>72.54462479</v>
      </c>
    </row>
    <row r="869" spans="1:4">
      <c r="A869">
        <v>868</v>
      </c>
      <c r="B869">
        <v>179</v>
      </c>
      <c r="C869">
        <f t="shared" si="31"/>
        <v>112.37549936000001</v>
      </c>
      <c r="D869">
        <f t="shared" si="32"/>
        <v>66.624500639999994</v>
      </c>
    </row>
    <row r="870" spans="1:4">
      <c r="A870">
        <v>869</v>
      </c>
      <c r="B870">
        <v>167</v>
      </c>
      <c r="C870">
        <f t="shared" si="31"/>
        <v>112.29532129</v>
      </c>
      <c r="D870">
        <f t="shared" si="32"/>
        <v>54.704678709999996</v>
      </c>
    </row>
    <row r="871" spans="1:4">
      <c r="A871">
        <v>870</v>
      </c>
      <c r="B871">
        <v>177</v>
      </c>
      <c r="C871">
        <f t="shared" si="31"/>
        <v>112.21484099999999</v>
      </c>
      <c r="D871">
        <f t="shared" si="32"/>
        <v>64.785159000000007</v>
      </c>
    </row>
    <row r="872" spans="1:4">
      <c r="A872">
        <v>871</v>
      </c>
      <c r="B872">
        <v>168</v>
      </c>
      <c r="C872">
        <f t="shared" si="31"/>
        <v>112.13405849</v>
      </c>
      <c r="D872">
        <f t="shared" si="32"/>
        <v>55.865941509999999</v>
      </c>
    </row>
    <row r="873" spans="1:4">
      <c r="A873">
        <v>872</v>
      </c>
      <c r="B873">
        <v>178</v>
      </c>
      <c r="C873">
        <f t="shared" si="31"/>
        <v>112.05297375999999</v>
      </c>
      <c r="D873">
        <f t="shared" si="32"/>
        <v>65.947026240000014</v>
      </c>
    </row>
    <row r="874" spans="1:4">
      <c r="A874">
        <v>873</v>
      </c>
      <c r="B874">
        <v>193</v>
      </c>
      <c r="C874">
        <f t="shared" si="31"/>
        <v>111.97158680999998</v>
      </c>
      <c r="D874">
        <f t="shared" si="32"/>
        <v>81.028413190000023</v>
      </c>
    </row>
    <row r="875" spans="1:4">
      <c r="A875">
        <v>874</v>
      </c>
      <c r="B875">
        <v>208</v>
      </c>
      <c r="C875">
        <f t="shared" si="31"/>
        <v>111.88989763999999</v>
      </c>
      <c r="D875">
        <f t="shared" si="32"/>
        <v>96.110102360000013</v>
      </c>
    </row>
    <row r="876" spans="1:4">
      <c r="A876">
        <v>875</v>
      </c>
      <c r="B876">
        <v>241</v>
      </c>
      <c r="C876">
        <f t="shared" si="31"/>
        <v>111.80790624999999</v>
      </c>
      <c r="D876">
        <f t="shared" si="32"/>
        <v>129.19209375000003</v>
      </c>
    </row>
    <row r="877" spans="1:4">
      <c r="A877">
        <v>876</v>
      </c>
      <c r="B877">
        <v>295</v>
      </c>
      <c r="C877">
        <f t="shared" si="31"/>
        <v>111.72561263999999</v>
      </c>
      <c r="D877">
        <f t="shared" si="32"/>
        <v>183.27438735999999</v>
      </c>
    </row>
    <row r="878" spans="1:4">
      <c r="A878">
        <v>877</v>
      </c>
      <c r="B878">
        <v>360</v>
      </c>
      <c r="C878">
        <f t="shared" si="31"/>
        <v>111.64301680999999</v>
      </c>
      <c r="D878">
        <f t="shared" si="32"/>
        <v>248.35698318999999</v>
      </c>
    </row>
    <row r="879" spans="1:4">
      <c r="A879">
        <v>878</v>
      </c>
      <c r="B879">
        <v>385</v>
      </c>
      <c r="C879">
        <f t="shared" si="31"/>
        <v>111.56011875999998</v>
      </c>
      <c r="D879">
        <f t="shared" si="32"/>
        <v>273.43988124000003</v>
      </c>
    </row>
    <row r="880" spans="1:4">
      <c r="A880">
        <v>879</v>
      </c>
      <c r="B880">
        <v>360</v>
      </c>
      <c r="C880">
        <f t="shared" si="31"/>
        <v>111.47691848999999</v>
      </c>
      <c r="D880">
        <f t="shared" si="32"/>
        <v>248.52308151</v>
      </c>
    </row>
    <row r="881" spans="1:4">
      <c r="A881">
        <v>880</v>
      </c>
      <c r="B881">
        <v>319</v>
      </c>
      <c r="C881">
        <f t="shared" si="31"/>
        <v>111.39341599999997</v>
      </c>
      <c r="D881">
        <f t="shared" si="32"/>
        <v>207.60658400000003</v>
      </c>
    </row>
    <row r="882" spans="1:4">
      <c r="A882">
        <v>881</v>
      </c>
      <c r="B882">
        <v>281</v>
      </c>
      <c r="C882">
        <f t="shared" si="31"/>
        <v>111.30961128999999</v>
      </c>
      <c r="D882">
        <f t="shared" si="32"/>
        <v>169.69038871000001</v>
      </c>
    </row>
    <row r="883" spans="1:4">
      <c r="A883">
        <v>882</v>
      </c>
      <c r="B883">
        <v>234</v>
      </c>
      <c r="C883">
        <f t="shared" si="31"/>
        <v>111.22550436</v>
      </c>
      <c r="D883">
        <f t="shared" si="32"/>
        <v>122.77449564</v>
      </c>
    </row>
    <row r="884" spans="1:4">
      <c r="A884">
        <v>883</v>
      </c>
      <c r="B884">
        <v>213</v>
      </c>
      <c r="C884">
        <f t="shared" si="31"/>
        <v>111.14109521</v>
      </c>
      <c r="D884">
        <f t="shared" si="32"/>
        <v>101.85890479</v>
      </c>
    </row>
    <row r="885" spans="1:4">
      <c r="A885">
        <v>884</v>
      </c>
      <c r="B885">
        <v>216</v>
      </c>
      <c r="C885">
        <f t="shared" si="31"/>
        <v>111.05638383999998</v>
      </c>
      <c r="D885">
        <f t="shared" si="32"/>
        <v>104.94361616000002</v>
      </c>
    </row>
    <row r="886" spans="1:4">
      <c r="A886">
        <v>885</v>
      </c>
      <c r="B886">
        <v>205</v>
      </c>
      <c r="C886">
        <f t="shared" si="31"/>
        <v>110.97137025000001</v>
      </c>
      <c r="D886">
        <f t="shared" si="32"/>
        <v>94.028629749999993</v>
      </c>
    </row>
    <row r="887" spans="1:4">
      <c r="A887">
        <v>886</v>
      </c>
      <c r="B887">
        <v>211</v>
      </c>
      <c r="C887">
        <f t="shared" si="31"/>
        <v>110.88605444</v>
      </c>
      <c r="D887">
        <f t="shared" si="32"/>
        <v>100.11394556</v>
      </c>
    </row>
    <row r="888" spans="1:4">
      <c r="A888">
        <v>887</v>
      </c>
      <c r="B888">
        <v>192</v>
      </c>
      <c r="C888">
        <f t="shared" si="31"/>
        <v>110.80043640999997</v>
      </c>
      <c r="D888">
        <f t="shared" si="32"/>
        <v>81.199563590000025</v>
      </c>
    </row>
    <row r="889" spans="1:4">
      <c r="A889">
        <v>888</v>
      </c>
      <c r="B889">
        <v>175</v>
      </c>
      <c r="C889">
        <f t="shared" si="31"/>
        <v>110.71451615999999</v>
      </c>
      <c r="D889">
        <f t="shared" si="32"/>
        <v>64.285483840000012</v>
      </c>
    </row>
    <row r="890" spans="1:4">
      <c r="A890">
        <v>889</v>
      </c>
      <c r="B890">
        <v>164</v>
      </c>
      <c r="C890">
        <f t="shared" si="31"/>
        <v>110.62829368999998</v>
      </c>
      <c r="D890">
        <f t="shared" si="32"/>
        <v>53.371706310000022</v>
      </c>
    </row>
    <row r="891" spans="1:4">
      <c r="A891">
        <v>890</v>
      </c>
      <c r="B891">
        <v>158</v>
      </c>
      <c r="C891">
        <f t="shared" si="31"/>
        <v>110.54176899999997</v>
      </c>
      <c r="D891">
        <f t="shared" si="32"/>
        <v>47.458231000000026</v>
      </c>
    </row>
    <row r="892" spans="1:4">
      <c r="A892">
        <v>891</v>
      </c>
      <c r="B892">
        <v>166</v>
      </c>
      <c r="C892">
        <f t="shared" si="31"/>
        <v>110.45494208999999</v>
      </c>
      <c r="D892">
        <f t="shared" si="32"/>
        <v>55.545057910000011</v>
      </c>
    </row>
    <row r="893" spans="1:4">
      <c r="A893">
        <v>892</v>
      </c>
      <c r="B893">
        <v>210</v>
      </c>
      <c r="C893">
        <f t="shared" si="31"/>
        <v>110.36781295999998</v>
      </c>
      <c r="D893">
        <f t="shared" si="32"/>
        <v>99.632187040000019</v>
      </c>
    </row>
    <row r="894" spans="1:4">
      <c r="A894">
        <v>893</v>
      </c>
      <c r="B894">
        <v>233</v>
      </c>
      <c r="C894">
        <f t="shared" si="31"/>
        <v>110.28038160999999</v>
      </c>
      <c r="D894">
        <f t="shared" si="32"/>
        <v>122.71961839000001</v>
      </c>
    </row>
    <row r="895" spans="1:4">
      <c r="A895">
        <v>894</v>
      </c>
      <c r="B895">
        <v>243</v>
      </c>
      <c r="C895">
        <f t="shared" si="31"/>
        <v>110.19264803999998</v>
      </c>
      <c r="D895">
        <f t="shared" si="32"/>
        <v>132.80735196000001</v>
      </c>
    </row>
    <row r="896" spans="1:4">
      <c r="A896">
        <v>895</v>
      </c>
      <c r="B896">
        <v>216</v>
      </c>
      <c r="C896">
        <f t="shared" si="31"/>
        <v>110.10461224999999</v>
      </c>
      <c r="D896">
        <f t="shared" si="32"/>
        <v>105.89538775000001</v>
      </c>
    </row>
    <row r="897" spans="1:4">
      <c r="A897">
        <v>896</v>
      </c>
      <c r="B897">
        <v>194</v>
      </c>
      <c r="C897">
        <f t="shared" si="31"/>
        <v>110.01627424</v>
      </c>
      <c r="D897">
        <f t="shared" si="32"/>
        <v>83.983725759999999</v>
      </c>
    </row>
    <row r="898" spans="1:4">
      <c r="A898">
        <v>897</v>
      </c>
      <c r="B898">
        <v>166</v>
      </c>
      <c r="C898">
        <f t="shared" ref="C898:C961" si="33" xml:space="preserve"> -0.00015111*A898*A898 + 0.1823*A898 + 67.989</f>
        <v>109.92763400999999</v>
      </c>
      <c r="D898">
        <f t="shared" ref="D898:D961" si="34">B898-C898</f>
        <v>56.072365990000009</v>
      </c>
    </row>
    <row r="899" spans="1:4">
      <c r="A899">
        <v>898</v>
      </c>
      <c r="B899">
        <v>161</v>
      </c>
      <c r="C899">
        <f t="shared" si="33"/>
        <v>109.83869155999999</v>
      </c>
      <c r="D899">
        <f t="shared" si="34"/>
        <v>51.161308440000013</v>
      </c>
    </row>
    <row r="900" spans="1:4">
      <c r="A900">
        <v>899</v>
      </c>
      <c r="B900">
        <v>159</v>
      </c>
      <c r="C900">
        <f t="shared" si="33"/>
        <v>109.74944689</v>
      </c>
      <c r="D900">
        <f t="shared" si="34"/>
        <v>49.250553109999998</v>
      </c>
    </row>
    <row r="901" spans="1:4">
      <c r="A901">
        <v>900</v>
      </c>
      <c r="B901">
        <v>162</v>
      </c>
      <c r="C901">
        <f t="shared" si="33"/>
        <v>109.65989999999999</v>
      </c>
      <c r="D901">
        <f t="shared" si="34"/>
        <v>52.340100000000007</v>
      </c>
    </row>
    <row r="902" spans="1:4">
      <c r="A902">
        <v>901</v>
      </c>
      <c r="B902">
        <v>159</v>
      </c>
      <c r="C902">
        <f t="shared" si="33"/>
        <v>109.57005088999998</v>
      </c>
      <c r="D902">
        <f t="shared" si="34"/>
        <v>49.429949110000024</v>
      </c>
    </row>
    <row r="903" spans="1:4">
      <c r="A903">
        <v>902</v>
      </c>
      <c r="B903">
        <v>150</v>
      </c>
      <c r="C903">
        <f t="shared" si="33"/>
        <v>109.47989955999999</v>
      </c>
      <c r="D903">
        <f t="shared" si="34"/>
        <v>40.520100440000007</v>
      </c>
    </row>
    <row r="904" spans="1:4">
      <c r="A904">
        <v>903</v>
      </c>
      <c r="B904">
        <v>146</v>
      </c>
      <c r="C904">
        <f t="shared" si="33"/>
        <v>109.38944600999999</v>
      </c>
      <c r="D904">
        <f t="shared" si="34"/>
        <v>36.610553990000014</v>
      </c>
    </row>
    <row r="905" spans="1:4">
      <c r="A905">
        <v>904</v>
      </c>
      <c r="B905">
        <v>150</v>
      </c>
      <c r="C905">
        <f t="shared" si="33"/>
        <v>109.29869023999997</v>
      </c>
      <c r="D905">
        <f t="shared" si="34"/>
        <v>40.701309760000029</v>
      </c>
    </row>
    <row r="906" spans="1:4">
      <c r="A906">
        <v>905</v>
      </c>
      <c r="B906">
        <v>151</v>
      </c>
      <c r="C906">
        <f t="shared" si="33"/>
        <v>109.20763224999999</v>
      </c>
      <c r="D906">
        <f t="shared" si="34"/>
        <v>41.792367750000011</v>
      </c>
    </row>
    <row r="907" spans="1:4">
      <c r="A907">
        <v>906</v>
      </c>
      <c r="B907">
        <v>148</v>
      </c>
      <c r="C907">
        <f t="shared" si="33"/>
        <v>109.11627203999997</v>
      </c>
      <c r="D907">
        <f t="shared" si="34"/>
        <v>38.88372796000003</v>
      </c>
    </row>
    <row r="908" spans="1:4">
      <c r="A908">
        <v>907</v>
      </c>
      <c r="B908">
        <v>137</v>
      </c>
      <c r="C908">
        <f t="shared" si="33"/>
        <v>109.02460960999998</v>
      </c>
      <c r="D908">
        <f t="shared" si="34"/>
        <v>27.975390390000015</v>
      </c>
    </row>
    <row r="909" spans="1:4">
      <c r="A909">
        <v>908</v>
      </c>
      <c r="B909">
        <v>141</v>
      </c>
      <c r="C909">
        <f t="shared" si="33"/>
        <v>108.93264496</v>
      </c>
      <c r="D909">
        <f t="shared" si="34"/>
        <v>32.067355039999995</v>
      </c>
    </row>
    <row r="910" spans="1:4">
      <c r="A910">
        <v>909</v>
      </c>
      <c r="B910">
        <v>142</v>
      </c>
      <c r="C910">
        <f t="shared" si="33"/>
        <v>108.84037808999999</v>
      </c>
      <c r="D910">
        <f t="shared" si="34"/>
        <v>33.159621910000013</v>
      </c>
    </row>
    <row r="911" spans="1:4">
      <c r="A911">
        <v>910</v>
      </c>
      <c r="B911">
        <v>137</v>
      </c>
      <c r="C911">
        <f t="shared" si="33"/>
        <v>108.747809</v>
      </c>
      <c r="D911">
        <f t="shared" si="34"/>
        <v>28.252190999999996</v>
      </c>
    </row>
    <row r="912" spans="1:4">
      <c r="A912">
        <v>911</v>
      </c>
      <c r="B912">
        <v>134</v>
      </c>
      <c r="C912">
        <f t="shared" si="33"/>
        <v>108.65493769</v>
      </c>
      <c r="D912">
        <f t="shared" si="34"/>
        <v>25.345062310000003</v>
      </c>
    </row>
    <row r="913" spans="1:4">
      <c r="A913">
        <v>912</v>
      </c>
      <c r="B913">
        <v>129</v>
      </c>
      <c r="C913">
        <f t="shared" si="33"/>
        <v>108.56176415999998</v>
      </c>
      <c r="D913">
        <f t="shared" si="34"/>
        <v>20.438235840000019</v>
      </c>
    </row>
    <row r="914" spans="1:4">
      <c r="A914">
        <v>913</v>
      </c>
      <c r="B914">
        <v>123</v>
      </c>
      <c r="C914">
        <f t="shared" si="33"/>
        <v>108.46828841</v>
      </c>
      <c r="D914">
        <f t="shared" si="34"/>
        <v>14.53171159</v>
      </c>
    </row>
    <row r="915" spans="1:4">
      <c r="A915">
        <v>914</v>
      </c>
      <c r="B915">
        <v>121</v>
      </c>
      <c r="C915">
        <f t="shared" si="33"/>
        <v>108.37451043999999</v>
      </c>
      <c r="D915">
        <f t="shared" si="34"/>
        <v>12.625489560000005</v>
      </c>
    </row>
    <row r="916" spans="1:4">
      <c r="A916">
        <v>915</v>
      </c>
      <c r="B916">
        <v>118</v>
      </c>
      <c r="C916">
        <f t="shared" si="33"/>
        <v>108.28043024999998</v>
      </c>
      <c r="D916">
        <f t="shared" si="34"/>
        <v>9.7195697500000193</v>
      </c>
    </row>
    <row r="917" spans="1:4">
      <c r="A917">
        <v>916</v>
      </c>
      <c r="B917">
        <v>125</v>
      </c>
      <c r="C917">
        <f t="shared" si="33"/>
        <v>108.18604783999999</v>
      </c>
      <c r="D917">
        <f t="shared" si="34"/>
        <v>16.813952160000014</v>
      </c>
    </row>
    <row r="918" spans="1:4">
      <c r="A918">
        <v>917</v>
      </c>
      <c r="B918">
        <v>130</v>
      </c>
      <c r="C918">
        <f t="shared" si="33"/>
        <v>108.09136320999998</v>
      </c>
      <c r="D918">
        <f t="shared" si="34"/>
        <v>21.908636790000017</v>
      </c>
    </row>
    <row r="919" spans="1:4">
      <c r="A919">
        <v>918</v>
      </c>
      <c r="B919">
        <v>121</v>
      </c>
      <c r="C919">
        <f t="shared" si="33"/>
        <v>107.99637635999997</v>
      </c>
      <c r="D919">
        <f t="shared" si="34"/>
        <v>13.003623640000029</v>
      </c>
    </row>
    <row r="920" spans="1:4">
      <c r="A920">
        <v>919</v>
      </c>
      <c r="B920">
        <v>118</v>
      </c>
      <c r="C920">
        <f t="shared" si="33"/>
        <v>107.90108728999998</v>
      </c>
      <c r="D920">
        <f t="shared" si="34"/>
        <v>10.098912710000022</v>
      </c>
    </row>
    <row r="921" spans="1:4">
      <c r="A921">
        <v>920</v>
      </c>
      <c r="B921">
        <v>115</v>
      </c>
      <c r="C921">
        <f t="shared" si="33"/>
        <v>107.80549599999998</v>
      </c>
      <c r="D921">
        <f t="shared" si="34"/>
        <v>7.1945040000000233</v>
      </c>
    </row>
    <row r="922" spans="1:4">
      <c r="A922">
        <v>921</v>
      </c>
      <c r="B922">
        <v>124</v>
      </c>
      <c r="C922">
        <f t="shared" si="33"/>
        <v>107.70960248999995</v>
      </c>
      <c r="D922">
        <f t="shared" si="34"/>
        <v>16.290397510000048</v>
      </c>
    </row>
    <row r="923" spans="1:4">
      <c r="A923">
        <v>922</v>
      </c>
      <c r="B923">
        <v>122</v>
      </c>
      <c r="C923">
        <f t="shared" si="33"/>
        <v>107.61340676</v>
      </c>
      <c r="D923">
        <f t="shared" si="34"/>
        <v>14.386593239999996</v>
      </c>
    </row>
    <row r="924" spans="1:4">
      <c r="A924">
        <v>923</v>
      </c>
      <c r="B924">
        <v>140</v>
      </c>
      <c r="C924">
        <f t="shared" si="33"/>
        <v>107.51690880999999</v>
      </c>
      <c r="D924">
        <f t="shared" si="34"/>
        <v>32.48309119000001</v>
      </c>
    </row>
    <row r="925" spans="1:4">
      <c r="A925">
        <v>924</v>
      </c>
      <c r="B925">
        <v>152</v>
      </c>
      <c r="C925">
        <f t="shared" si="33"/>
        <v>107.42010864</v>
      </c>
      <c r="D925">
        <f t="shared" si="34"/>
        <v>44.579891360000005</v>
      </c>
    </row>
    <row r="926" spans="1:4">
      <c r="A926">
        <v>925</v>
      </c>
      <c r="B926">
        <v>189</v>
      </c>
      <c r="C926">
        <f t="shared" si="33"/>
        <v>107.32300624999999</v>
      </c>
      <c r="D926">
        <f t="shared" si="34"/>
        <v>81.676993750000008</v>
      </c>
    </row>
    <row r="927" spans="1:4">
      <c r="A927">
        <v>926</v>
      </c>
      <c r="B927">
        <v>248</v>
      </c>
      <c r="C927">
        <f t="shared" si="33"/>
        <v>107.22560163999998</v>
      </c>
      <c r="D927">
        <f t="shared" si="34"/>
        <v>140.77439836000002</v>
      </c>
    </row>
    <row r="928" spans="1:4">
      <c r="A928">
        <v>927</v>
      </c>
      <c r="B928">
        <v>363</v>
      </c>
      <c r="C928">
        <f t="shared" si="33"/>
        <v>107.12789480999999</v>
      </c>
      <c r="D928">
        <f t="shared" si="34"/>
        <v>255.87210519000001</v>
      </c>
    </row>
    <row r="929" spans="1:7">
      <c r="A929">
        <v>928</v>
      </c>
      <c r="B929">
        <v>477</v>
      </c>
      <c r="C929">
        <f t="shared" si="33"/>
        <v>107.02988575999998</v>
      </c>
      <c r="D929">
        <f t="shared" si="34"/>
        <v>369.97011424000004</v>
      </c>
    </row>
    <row r="930" spans="1:7">
      <c r="A930">
        <v>929</v>
      </c>
      <c r="B930">
        <v>492</v>
      </c>
      <c r="C930">
        <f t="shared" si="33"/>
        <v>106.93157448999997</v>
      </c>
      <c r="D930">
        <f t="shared" si="34"/>
        <v>385.06842551</v>
      </c>
    </row>
    <row r="931" spans="1:7">
      <c r="A931">
        <v>930</v>
      </c>
      <c r="B931">
        <v>434</v>
      </c>
      <c r="C931">
        <f t="shared" si="33"/>
        <v>106.83296099999998</v>
      </c>
      <c r="D931">
        <f t="shared" si="34"/>
        <v>327.16703900000005</v>
      </c>
    </row>
    <row r="932" spans="1:7">
      <c r="A932">
        <v>931</v>
      </c>
      <c r="B932">
        <v>349</v>
      </c>
      <c r="C932">
        <f t="shared" si="33"/>
        <v>106.73404528999998</v>
      </c>
      <c r="D932">
        <f t="shared" si="34"/>
        <v>242.26595471000002</v>
      </c>
    </row>
    <row r="933" spans="1:7">
      <c r="A933">
        <v>932</v>
      </c>
      <c r="B933">
        <v>301</v>
      </c>
      <c r="C933">
        <f t="shared" si="33"/>
        <v>106.63482735999997</v>
      </c>
      <c r="D933">
        <f t="shared" si="34"/>
        <v>194.36517264000003</v>
      </c>
    </row>
    <row r="934" spans="1:7">
      <c r="A934">
        <v>933</v>
      </c>
      <c r="B934">
        <v>294</v>
      </c>
      <c r="C934">
        <f t="shared" si="33"/>
        <v>106.53530720999998</v>
      </c>
      <c r="D934">
        <f t="shared" si="34"/>
        <v>187.46469279000002</v>
      </c>
    </row>
    <row r="935" spans="1:7">
      <c r="A935">
        <v>934</v>
      </c>
      <c r="B935">
        <v>348</v>
      </c>
      <c r="C935">
        <f t="shared" si="33"/>
        <v>106.43548483999999</v>
      </c>
      <c r="D935">
        <f t="shared" si="34"/>
        <v>241.56451516000001</v>
      </c>
    </row>
    <row r="936" spans="1:7">
      <c r="A936">
        <v>935</v>
      </c>
      <c r="B936">
        <v>478</v>
      </c>
      <c r="C936">
        <f t="shared" si="33"/>
        <v>106.33536024999995</v>
      </c>
      <c r="D936">
        <f t="shared" si="34"/>
        <v>371.66463975000005</v>
      </c>
    </row>
    <row r="937" spans="1:7">
      <c r="A937">
        <v>936</v>
      </c>
      <c r="B937">
        <v>729</v>
      </c>
      <c r="C937">
        <f t="shared" si="33"/>
        <v>106.23493343999999</v>
      </c>
      <c r="D937">
        <f t="shared" si="34"/>
        <v>622.76506656000004</v>
      </c>
    </row>
    <row r="938" spans="1:7">
      <c r="A938">
        <v>937</v>
      </c>
      <c r="B938">
        <v>1401</v>
      </c>
      <c r="C938">
        <f t="shared" si="33"/>
        <v>106.13420441</v>
      </c>
      <c r="D938">
        <f t="shared" si="34"/>
        <v>1294.8657955900001</v>
      </c>
    </row>
    <row r="939" spans="1:7">
      <c r="A939">
        <v>938</v>
      </c>
      <c r="B939">
        <v>2976</v>
      </c>
      <c r="C939">
        <f t="shared" si="33"/>
        <v>106.03317316000002</v>
      </c>
      <c r="D939">
        <f t="shared" si="34"/>
        <v>2869.9668268400001</v>
      </c>
    </row>
    <row r="940" spans="1:7">
      <c r="A940">
        <v>939</v>
      </c>
      <c r="B940">
        <v>5287</v>
      </c>
      <c r="C940">
        <f t="shared" si="33"/>
        <v>105.93183969</v>
      </c>
      <c r="D940">
        <f t="shared" si="34"/>
        <v>5181.0681603100002</v>
      </c>
    </row>
    <row r="941" spans="1:7">
      <c r="A941">
        <v>940</v>
      </c>
      <c r="B941">
        <v>7216</v>
      </c>
      <c r="C941">
        <f t="shared" si="33"/>
        <v>105.83020399999998</v>
      </c>
      <c r="D941">
        <f t="shared" si="34"/>
        <v>7110.1697960000001</v>
      </c>
    </row>
    <row r="942" spans="1:7" ht="17.25">
      <c r="A942">
        <v>941</v>
      </c>
      <c r="B942">
        <v>7370</v>
      </c>
      <c r="C942">
        <f t="shared" si="33"/>
        <v>105.72826609000001</v>
      </c>
      <c r="D942">
        <f t="shared" si="34"/>
        <v>7264.27173391</v>
      </c>
      <c r="F942">
        <v>941</v>
      </c>
      <c r="G942" t="s">
        <v>28</v>
      </c>
    </row>
    <row r="943" spans="1:7">
      <c r="A943">
        <v>942</v>
      </c>
      <c r="B943">
        <v>5991</v>
      </c>
      <c r="C943">
        <f t="shared" si="33"/>
        <v>105.62602595999999</v>
      </c>
      <c r="D943">
        <f t="shared" si="34"/>
        <v>5885.3739740399997</v>
      </c>
    </row>
    <row r="944" spans="1:7">
      <c r="A944">
        <v>943</v>
      </c>
      <c r="B944">
        <v>4216</v>
      </c>
      <c r="C944">
        <f t="shared" si="33"/>
        <v>105.52348360999997</v>
      </c>
      <c r="D944">
        <f t="shared" si="34"/>
        <v>4110.4765163900001</v>
      </c>
    </row>
    <row r="945" spans="1:4">
      <c r="A945">
        <v>944</v>
      </c>
      <c r="B945">
        <v>2739</v>
      </c>
      <c r="C945">
        <f t="shared" si="33"/>
        <v>105.42063904</v>
      </c>
      <c r="D945">
        <f t="shared" si="34"/>
        <v>2633.57936096</v>
      </c>
    </row>
    <row r="946" spans="1:4">
      <c r="A946">
        <v>945</v>
      </c>
      <c r="B946">
        <v>1830</v>
      </c>
      <c r="C946">
        <f t="shared" si="33"/>
        <v>105.31749224999999</v>
      </c>
      <c r="D946">
        <f t="shared" si="34"/>
        <v>1724.68250775</v>
      </c>
    </row>
    <row r="947" spans="1:4">
      <c r="A947">
        <v>946</v>
      </c>
      <c r="B947">
        <v>1316</v>
      </c>
      <c r="C947">
        <f t="shared" si="33"/>
        <v>105.21404323999997</v>
      </c>
      <c r="D947">
        <f t="shared" si="34"/>
        <v>1210.7859567600001</v>
      </c>
    </row>
    <row r="948" spans="1:4">
      <c r="A948">
        <v>947</v>
      </c>
      <c r="B948">
        <v>920</v>
      </c>
      <c r="C948">
        <f t="shared" si="33"/>
        <v>105.11029200999999</v>
      </c>
      <c r="D948">
        <f t="shared" si="34"/>
        <v>814.88970799000003</v>
      </c>
    </row>
    <row r="949" spans="1:4">
      <c r="A949">
        <v>948</v>
      </c>
      <c r="B949">
        <v>641</v>
      </c>
      <c r="C949">
        <f t="shared" si="33"/>
        <v>105.00623855999999</v>
      </c>
      <c r="D949">
        <f t="shared" si="34"/>
        <v>535.99376144000007</v>
      </c>
    </row>
    <row r="950" spans="1:4">
      <c r="A950">
        <v>949</v>
      </c>
      <c r="B950">
        <v>451</v>
      </c>
      <c r="C950">
        <f t="shared" si="33"/>
        <v>104.90188289</v>
      </c>
      <c r="D950">
        <f t="shared" si="34"/>
        <v>346.09811710999998</v>
      </c>
    </row>
    <row r="951" spans="1:4">
      <c r="A951">
        <v>950</v>
      </c>
      <c r="B951">
        <v>320</v>
      </c>
      <c r="C951">
        <f t="shared" si="33"/>
        <v>104.797225</v>
      </c>
      <c r="D951">
        <f t="shared" si="34"/>
        <v>215.202775</v>
      </c>
    </row>
    <row r="952" spans="1:4">
      <c r="A952">
        <v>951</v>
      </c>
      <c r="B952">
        <v>271</v>
      </c>
      <c r="C952">
        <f t="shared" si="33"/>
        <v>104.69226488999999</v>
      </c>
      <c r="D952">
        <f t="shared" si="34"/>
        <v>166.30773511000001</v>
      </c>
    </row>
    <row r="953" spans="1:4">
      <c r="A953">
        <v>952</v>
      </c>
      <c r="B953">
        <v>259</v>
      </c>
      <c r="C953">
        <f t="shared" si="33"/>
        <v>104.58700255999997</v>
      </c>
      <c r="D953">
        <f t="shared" si="34"/>
        <v>154.41299744000003</v>
      </c>
    </row>
    <row r="954" spans="1:4">
      <c r="A954">
        <v>953</v>
      </c>
      <c r="B954">
        <v>255</v>
      </c>
      <c r="C954">
        <f t="shared" si="33"/>
        <v>104.48143801000001</v>
      </c>
      <c r="D954">
        <f t="shared" si="34"/>
        <v>150.51856198999999</v>
      </c>
    </row>
    <row r="955" spans="1:4">
      <c r="A955">
        <v>954</v>
      </c>
      <c r="B955">
        <v>311</v>
      </c>
      <c r="C955">
        <f t="shared" si="33"/>
        <v>104.37557124</v>
      </c>
      <c r="D955">
        <f t="shared" si="34"/>
        <v>206.62442876</v>
      </c>
    </row>
    <row r="956" spans="1:4">
      <c r="A956">
        <v>955</v>
      </c>
      <c r="B956">
        <v>346</v>
      </c>
      <c r="C956">
        <f t="shared" si="33"/>
        <v>104.26940225000001</v>
      </c>
      <c r="D956">
        <f t="shared" si="34"/>
        <v>241.73059774999999</v>
      </c>
    </row>
    <row r="957" spans="1:4">
      <c r="A957">
        <v>956</v>
      </c>
      <c r="B957">
        <v>370</v>
      </c>
      <c r="C957">
        <f t="shared" si="33"/>
        <v>104.16293103999999</v>
      </c>
      <c r="D957">
        <f t="shared" si="34"/>
        <v>265.83706896000001</v>
      </c>
    </row>
    <row r="958" spans="1:4">
      <c r="A958">
        <v>957</v>
      </c>
      <c r="B958">
        <v>390</v>
      </c>
      <c r="C958">
        <f t="shared" si="33"/>
        <v>104.05615760999999</v>
      </c>
      <c r="D958">
        <f t="shared" si="34"/>
        <v>285.94384238999999</v>
      </c>
    </row>
    <row r="959" spans="1:4">
      <c r="A959">
        <v>958</v>
      </c>
      <c r="B959">
        <v>374</v>
      </c>
      <c r="C959">
        <f t="shared" si="33"/>
        <v>103.94908196</v>
      </c>
      <c r="D959">
        <f t="shared" si="34"/>
        <v>270.05091804</v>
      </c>
    </row>
    <row r="960" spans="1:4">
      <c r="A960">
        <v>959</v>
      </c>
      <c r="B960">
        <v>345</v>
      </c>
      <c r="C960">
        <f t="shared" si="33"/>
        <v>103.84170408999998</v>
      </c>
      <c r="D960">
        <f t="shared" si="34"/>
        <v>241.15829591000002</v>
      </c>
    </row>
    <row r="961" spans="1:4">
      <c r="A961">
        <v>960</v>
      </c>
      <c r="B961">
        <v>317</v>
      </c>
      <c r="C961">
        <f t="shared" si="33"/>
        <v>103.73402399999998</v>
      </c>
      <c r="D961">
        <f t="shared" si="34"/>
        <v>213.26597600000002</v>
      </c>
    </row>
    <row r="962" spans="1:4">
      <c r="A962">
        <v>961</v>
      </c>
      <c r="B962">
        <v>305</v>
      </c>
      <c r="C962">
        <f t="shared" ref="C962:C1025" si="35" xml:space="preserve"> -0.00015111*A962*A962 + 0.1823*A962 + 67.989</f>
        <v>103.62604168999999</v>
      </c>
      <c r="D962">
        <f t="shared" ref="D962:D1025" si="36">B962-C962</f>
        <v>201.37395831000001</v>
      </c>
    </row>
    <row r="963" spans="1:4">
      <c r="A963">
        <v>962</v>
      </c>
      <c r="B963">
        <v>294</v>
      </c>
      <c r="C963">
        <f t="shared" si="35"/>
        <v>103.51775715999997</v>
      </c>
      <c r="D963">
        <f t="shared" si="36"/>
        <v>190.48224284000003</v>
      </c>
    </row>
    <row r="964" spans="1:4">
      <c r="A964">
        <v>963</v>
      </c>
      <c r="B964">
        <v>291</v>
      </c>
      <c r="C964">
        <f t="shared" si="35"/>
        <v>103.40917041</v>
      </c>
      <c r="D964">
        <f t="shared" si="36"/>
        <v>187.59082959</v>
      </c>
    </row>
    <row r="965" spans="1:4">
      <c r="A965">
        <v>964</v>
      </c>
      <c r="B965">
        <v>288</v>
      </c>
      <c r="C965">
        <f t="shared" si="35"/>
        <v>103.30028143999999</v>
      </c>
      <c r="D965">
        <f t="shared" si="36"/>
        <v>184.69971856000001</v>
      </c>
    </row>
    <row r="966" spans="1:4">
      <c r="A966">
        <v>965</v>
      </c>
      <c r="B966">
        <v>285</v>
      </c>
      <c r="C966">
        <f t="shared" si="35"/>
        <v>103.19109025</v>
      </c>
      <c r="D966">
        <f t="shared" si="36"/>
        <v>181.80890975</v>
      </c>
    </row>
    <row r="967" spans="1:4">
      <c r="A967">
        <v>966</v>
      </c>
      <c r="B967">
        <v>272</v>
      </c>
      <c r="C967">
        <f t="shared" si="35"/>
        <v>103.08159683999997</v>
      </c>
      <c r="D967">
        <f t="shared" si="36"/>
        <v>168.91840316000003</v>
      </c>
    </row>
    <row r="968" spans="1:4">
      <c r="A968">
        <v>967</v>
      </c>
      <c r="B968">
        <v>258</v>
      </c>
      <c r="C968">
        <f t="shared" si="35"/>
        <v>102.97180121</v>
      </c>
      <c r="D968">
        <f t="shared" si="36"/>
        <v>155.02819879</v>
      </c>
    </row>
    <row r="969" spans="1:4">
      <c r="A969">
        <v>968</v>
      </c>
      <c r="B969">
        <v>253</v>
      </c>
      <c r="C969">
        <f t="shared" si="35"/>
        <v>102.86170335999998</v>
      </c>
      <c r="D969">
        <f t="shared" si="36"/>
        <v>150.13829664000002</v>
      </c>
    </row>
    <row r="970" spans="1:4">
      <c r="A970">
        <v>969</v>
      </c>
      <c r="B970">
        <v>234</v>
      </c>
      <c r="C970">
        <f t="shared" si="35"/>
        <v>102.75130329000001</v>
      </c>
      <c r="D970">
        <f t="shared" si="36"/>
        <v>131.24869670999999</v>
      </c>
    </row>
    <row r="971" spans="1:4">
      <c r="A971">
        <v>970</v>
      </c>
      <c r="B971">
        <v>255</v>
      </c>
      <c r="C971">
        <f t="shared" si="35"/>
        <v>102.64060099999998</v>
      </c>
      <c r="D971">
        <f t="shared" si="36"/>
        <v>152.35939900000002</v>
      </c>
    </row>
    <row r="972" spans="1:4">
      <c r="A972">
        <v>971</v>
      </c>
      <c r="B972">
        <v>318</v>
      </c>
      <c r="C972">
        <f t="shared" si="35"/>
        <v>102.52959648999999</v>
      </c>
      <c r="D972">
        <f t="shared" si="36"/>
        <v>215.47040351000001</v>
      </c>
    </row>
    <row r="973" spans="1:4">
      <c r="A973">
        <v>972</v>
      </c>
      <c r="B973">
        <v>396</v>
      </c>
      <c r="C973">
        <f t="shared" si="35"/>
        <v>102.41828975999999</v>
      </c>
      <c r="D973">
        <f t="shared" si="36"/>
        <v>293.58171024000001</v>
      </c>
    </row>
    <row r="974" spans="1:4">
      <c r="A974">
        <v>973</v>
      </c>
      <c r="B974">
        <v>411</v>
      </c>
      <c r="C974">
        <f t="shared" si="35"/>
        <v>102.30668080999999</v>
      </c>
      <c r="D974">
        <f t="shared" si="36"/>
        <v>308.69331919000001</v>
      </c>
    </row>
    <row r="975" spans="1:4">
      <c r="A975">
        <v>974</v>
      </c>
      <c r="B975">
        <v>396</v>
      </c>
      <c r="C975">
        <f t="shared" si="35"/>
        <v>102.19476963999998</v>
      </c>
      <c r="D975">
        <f t="shared" si="36"/>
        <v>293.80523036</v>
      </c>
    </row>
    <row r="976" spans="1:4">
      <c r="A976">
        <v>975</v>
      </c>
      <c r="B976">
        <v>325</v>
      </c>
      <c r="C976">
        <f t="shared" si="35"/>
        <v>102.08255624999998</v>
      </c>
      <c r="D976">
        <f t="shared" si="36"/>
        <v>222.91744375000002</v>
      </c>
    </row>
    <row r="977" spans="1:4">
      <c r="A977">
        <v>976</v>
      </c>
      <c r="B977">
        <v>252</v>
      </c>
      <c r="C977">
        <f t="shared" si="35"/>
        <v>101.97004063999998</v>
      </c>
      <c r="D977">
        <f t="shared" si="36"/>
        <v>150.02995936000002</v>
      </c>
    </row>
    <row r="978" spans="1:4">
      <c r="A978">
        <v>977</v>
      </c>
      <c r="B978">
        <v>197</v>
      </c>
      <c r="C978">
        <f t="shared" si="35"/>
        <v>101.85722281</v>
      </c>
      <c r="D978">
        <f t="shared" si="36"/>
        <v>95.142777190000004</v>
      </c>
    </row>
    <row r="979" spans="1:4">
      <c r="A979">
        <v>978</v>
      </c>
      <c r="B979">
        <v>171</v>
      </c>
      <c r="C979">
        <f t="shared" si="35"/>
        <v>101.74410276</v>
      </c>
      <c r="D979">
        <f t="shared" si="36"/>
        <v>69.255897239999996</v>
      </c>
    </row>
    <row r="980" spans="1:4">
      <c r="A980">
        <v>979</v>
      </c>
      <c r="B980">
        <v>162</v>
      </c>
      <c r="C980">
        <f t="shared" si="35"/>
        <v>101.63068049</v>
      </c>
      <c r="D980">
        <f t="shared" si="36"/>
        <v>60.369319509999997</v>
      </c>
    </row>
    <row r="981" spans="1:4">
      <c r="A981">
        <v>980</v>
      </c>
      <c r="B981">
        <v>152</v>
      </c>
      <c r="C981">
        <f t="shared" si="35"/>
        <v>101.51695599999999</v>
      </c>
      <c r="D981">
        <f t="shared" si="36"/>
        <v>50.483044000000007</v>
      </c>
    </row>
    <row r="982" spans="1:4">
      <c r="A982">
        <v>981</v>
      </c>
      <c r="B982">
        <v>173</v>
      </c>
      <c r="C982">
        <f t="shared" si="35"/>
        <v>101.40292929</v>
      </c>
      <c r="D982">
        <f t="shared" si="36"/>
        <v>71.597070709999997</v>
      </c>
    </row>
    <row r="983" spans="1:4">
      <c r="A983">
        <v>982</v>
      </c>
      <c r="B983">
        <v>177</v>
      </c>
      <c r="C983">
        <f t="shared" si="35"/>
        <v>101.28860035999998</v>
      </c>
      <c r="D983">
        <f t="shared" si="36"/>
        <v>75.711399640000025</v>
      </c>
    </row>
    <row r="984" spans="1:4">
      <c r="A984">
        <v>983</v>
      </c>
      <c r="B984">
        <v>197</v>
      </c>
      <c r="C984">
        <f t="shared" si="35"/>
        <v>101.17396920999997</v>
      </c>
      <c r="D984">
        <f t="shared" si="36"/>
        <v>95.826030790000033</v>
      </c>
    </row>
    <row r="985" spans="1:4">
      <c r="A985">
        <v>984</v>
      </c>
      <c r="B985">
        <v>226</v>
      </c>
      <c r="C985">
        <f t="shared" si="35"/>
        <v>101.05903583999998</v>
      </c>
      <c r="D985">
        <f t="shared" si="36"/>
        <v>124.94096416000002</v>
      </c>
    </row>
    <row r="986" spans="1:4">
      <c r="A986">
        <v>985</v>
      </c>
      <c r="B986">
        <v>226</v>
      </c>
      <c r="C986">
        <f t="shared" si="35"/>
        <v>100.94380024999998</v>
      </c>
      <c r="D986">
        <f t="shared" si="36"/>
        <v>125.05619975000002</v>
      </c>
    </row>
    <row r="987" spans="1:4">
      <c r="A987">
        <v>986</v>
      </c>
      <c r="B987">
        <v>229</v>
      </c>
      <c r="C987">
        <f t="shared" si="35"/>
        <v>100.82826244</v>
      </c>
      <c r="D987">
        <f t="shared" si="36"/>
        <v>128.17173756</v>
      </c>
    </row>
    <row r="988" spans="1:4">
      <c r="A988">
        <v>987</v>
      </c>
      <c r="B988">
        <v>249</v>
      </c>
      <c r="C988">
        <f t="shared" si="35"/>
        <v>100.71242240999999</v>
      </c>
      <c r="D988">
        <f t="shared" si="36"/>
        <v>148.28757759000001</v>
      </c>
    </row>
    <row r="989" spans="1:4">
      <c r="A989">
        <v>988</v>
      </c>
      <c r="B989">
        <v>246</v>
      </c>
      <c r="C989">
        <f t="shared" si="35"/>
        <v>100.59628015999996</v>
      </c>
      <c r="D989">
        <f t="shared" si="36"/>
        <v>145.40371984000004</v>
      </c>
    </row>
    <row r="990" spans="1:4">
      <c r="A990">
        <v>989</v>
      </c>
      <c r="B990">
        <v>234</v>
      </c>
      <c r="C990">
        <f t="shared" si="35"/>
        <v>100.47983568999999</v>
      </c>
      <c r="D990">
        <f t="shared" si="36"/>
        <v>133.52016431000001</v>
      </c>
    </row>
    <row r="991" spans="1:4">
      <c r="A991">
        <v>990</v>
      </c>
      <c r="B991">
        <v>225</v>
      </c>
      <c r="C991">
        <f t="shared" si="35"/>
        <v>100.363089</v>
      </c>
      <c r="D991">
        <f t="shared" si="36"/>
        <v>124.636911</v>
      </c>
    </row>
    <row r="992" spans="1:4">
      <c r="A992">
        <v>991</v>
      </c>
      <c r="B992">
        <v>203</v>
      </c>
      <c r="C992">
        <f t="shared" si="35"/>
        <v>100.24604008999998</v>
      </c>
      <c r="D992">
        <f t="shared" si="36"/>
        <v>102.75395991000002</v>
      </c>
    </row>
    <row r="993" spans="1:4">
      <c r="A993">
        <v>992</v>
      </c>
      <c r="B993">
        <v>206</v>
      </c>
      <c r="C993">
        <f t="shared" si="35"/>
        <v>100.12868896000001</v>
      </c>
      <c r="D993">
        <f t="shared" si="36"/>
        <v>105.87131103999999</v>
      </c>
    </row>
    <row r="994" spans="1:4">
      <c r="A994">
        <v>993</v>
      </c>
      <c r="B994">
        <v>212</v>
      </c>
      <c r="C994">
        <f t="shared" si="35"/>
        <v>100.01103560999999</v>
      </c>
      <c r="D994">
        <f t="shared" si="36"/>
        <v>111.98896439000001</v>
      </c>
    </row>
    <row r="995" spans="1:4">
      <c r="A995">
        <v>994</v>
      </c>
      <c r="B995">
        <v>206</v>
      </c>
      <c r="C995">
        <f t="shared" si="35"/>
        <v>99.893080039999973</v>
      </c>
      <c r="D995">
        <f t="shared" si="36"/>
        <v>106.10691996000003</v>
      </c>
    </row>
    <row r="996" spans="1:4">
      <c r="A996">
        <v>995</v>
      </c>
      <c r="B996">
        <v>208</v>
      </c>
      <c r="C996">
        <f t="shared" si="35"/>
        <v>99.77482225</v>
      </c>
      <c r="D996">
        <f t="shared" si="36"/>
        <v>108.22517775</v>
      </c>
    </row>
    <row r="997" spans="1:4">
      <c r="A997">
        <v>996</v>
      </c>
      <c r="B997">
        <v>227</v>
      </c>
      <c r="C997">
        <f t="shared" si="35"/>
        <v>99.65626223999999</v>
      </c>
      <c r="D997">
        <f t="shared" si="36"/>
        <v>127.34373776000001</v>
      </c>
    </row>
    <row r="998" spans="1:4">
      <c r="A998">
        <v>997</v>
      </c>
      <c r="B998">
        <v>237</v>
      </c>
      <c r="C998">
        <f t="shared" si="35"/>
        <v>99.537400009999971</v>
      </c>
      <c r="D998">
        <f t="shared" si="36"/>
        <v>137.46259999000003</v>
      </c>
    </row>
    <row r="999" spans="1:4">
      <c r="A999">
        <v>998</v>
      </c>
      <c r="B999">
        <v>237</v>
      </c>
      <c r="C999">
        <f t="shared" si="35"/>
        <v>99.418235559999999</v>
      </c>
      <c r="D999">
        <f t="shared" si="36"/>
        <v>137.58176444</v>
      </c>
    </row>
    <row r="1000" spans="1:4">
      <c r="A1000">
        <v>999</v>
      </c>
      <c r="B1000">
        <v>237</v>
      </c>
      <c r="C1000">
        <f t="shared" si="35"/>
        <v>99.298768889999991</v>
      </c>
      <c r="D1000">
        <f t="shared" si="36"/>
        <v>137.70123111000001</v>
      </c>
    </row>
    <row r="1001" spans="1:4">
      <c r="A1001">
        <v>1000</v>
      </c>
      <c r="B1001">
        <v>248</v>
      </c>
      <c r="C1001">
        <f t="shared" si="35"/>
        <v>99.178999999999974</v>
      </c>
      <c r="D1001">
        <f t="shared" si="36"/>
        <v>148.82100000000003</v>
      </c>
    </row>
    <row r="1002" spans="1:4">
      <c r="A1002">
        <v>1001</v>
      </c>
      <c r="B1002">
        <v>256</v>
      </c>
      <c r="C1002">
        <f t="shared" si="35"/>
        <v>99.058928889999976</v>
      </c>
      <c r="D1002">
        <f t="shared" si="36"/>
        <v>156.94107111000002</v>
      </c>
    </row>
    <row r="1003" spans="1:4">
      <c r="A1003">
        <v>1002</v>
      </c>
      <c r="B1003">
        <v>287</v>
      </c>
      <c r="C1003">
        <f t="shared" si="35"/>
        <v>98.938555559999969</v>
      </c>
      <c r="D1003">
        <f t="shared" si="36"/>
        <v>188.06144444000003</v>
      </c>
    </row>
    <row r="1004" spans="1:4">
      <c r="A1004">
        <v>1003</v>
      </c>
      <c r="B1004">
        <v>333</v>
      </c>
      <c r="C1004">
        <f t="shared" si="35"/>
        <v>98.817880009999982</v>
      </c>
      <c r="D1004">
        <f t="shared" si="36"/>
        <v>234.18211999000002</v>
      </c>
    </row>
    <row r="1005" spans="1:4">
      <c r="A1005">
        <v>1004</v>
      </c>
      <c r="B1005">
        <v>459</v>
      </c>
      <c r="C1005">
        <f t="shared" si="35"/>
        <v>98.696902240000014</v>
      </c>
      <c r="D1005">
        <f t="shared" si="36"/>
        <v>360.30309776000001</v>
      </c>
    </row>
    <row r="1006" spans="1:4">
      <c r="A1006">
        <v>1005</v>
      </c>
      <c r="B1006">
        <v>719</v>
      </c>
      <c r="C1006">
        <f t="shared" si="35"/>
        <v>98.575622249999981</v>
      </c>
      <c r="D1006">
        <f t="shared" si="36"/>
        <v>620.42437775000008</v>
      </c>
    </row>
    <row r="1007" spans="1:4">
      <c r="A1007">
        <v>1006</v>
      </c>
      <c r="B1007">
        <v>1160</v>
      </c>
      <c r="C1007">
        <f t="shared" si="35"/>
        <v>98.454040039999995</v>
      </c>
      <c r="D1007">
        <f t="shared" si="36"/>
        <v>1061.5459599599999</v>
      </c>
    </row>
    <row r="1008" spans="1:4">
      <c r="A1008">
        <v>1007</v>
      </c>
      <c r="B1008">
        <v>1786</v>
      </c>
      <c r="C1008">
        <f t="shared" si="35"/>
        <v>98.332155610000001</v>
      </c>
      <c r="D1008">
        <f t="shared" si="36"/>
        <v>1687.66784439</v>
      </c>
    </row>
    <row r="1009" spans="1:4">
      <c r="A1009">
        <v>1008</v>
      </c>
      <c r="B1009">
        <v>2912</v>
      </c>
      <c r="C1009">
        <f t="shared" si="35"/>
        <v>98.209968959999969</v>
      </c>
      <c r="D1009">
        <f t="shared" si="36"/>
        <v>2813.79003104</v>
      </c>
    </row>
    <row r="1010" spans="1:4">
      <c r="A1010">
        <v>1009</v>
      </c>
      <c r="B1010">
        <v>5578</v>
      </c>
      <c r="C1010">
        <f t="shared" si="35"/>
        <v>98.087480089999985</v>
      </c>
      <c r="D1010">
        <f t="shared" si="36"/>
        <v>5479.9125199099999</v>
      </c>
    </row>
    <row r="1011" spans="1:4">
      <c r="A1011">
        <v>1010</v>
      </c>
      <c r="B1011">
        <v>12581</v>
      </c>
      <c r="C1011">
        <f t="shared" si="35"/>
        <v>97.964688999999993</v>
      </c>
      <c r="D1011">
        <f t="shared" si="36"/>
        <v>12483.035311</v>
      </c>
    </row>
    <row r="1012" spans="1:4">
      <c r="A1012">
        <v>1011</v>
      </c>
      <c r="B1012">
        <v>23015</v>
      </c>
      <c r="C1012">
        <f t="shared" si="35"/>
        <v>97.841595689999963</v>
      </c>
      <c r="D1012">
        <f t="shared" si="36"/>
        <v>22917.158404310001</v>
      </c>
    </row>
    <row r="1013" spans="1:4">
      <c r="A1013">
        <v>1012</v>
      </c>
      <c r="B1013">
        <v>31571</v>
      </c>
      <c r="C1013">
        <f t="shared" si="35"/>
        <v>97.718200159999981</v>
      </c>
      <c r="D1013">
        <f t="shared" si="36"/>
        <v>31473.281799839999</v>
      </c>
    </row>
    <row r="1014" spans="1:4">
      <c r="A1014">
        <v>1013</v>
      </c>
      <c r="B1014">
        <v>32766</v>
      </c>
      <c r="C1014">
        <f t="shared" si="35"/>
        <v>97.59450240999999</v>
      </c>
      <c r="D1014">
        <f t="shared" si="36"/>
        <v>32668.40549759</v>
      </c>
    </row>
    <row r="1015" spans="1:4">
      <c r="A1015">
        <v>1014</v>
      </c>
      <c r="B1015">
        <v>29891</v>
      </c>
      <c r="C1015">
        <f t="shared" si="35"/>
        <v>97.470502439999962</v>
      </c>
      <c r="D1015">
        <f t="shared" si="36"/>
        <v>29793.529497560001</v>
      </c>
    </row>
    <row r="1016" spans="1:4">
      <c r="A1016">
        <v>1015</v>
      </c>
      <c r="B1016">
        <v>19798</v>
      </c>
      <c r="C1016">
        <f t="shared" si="35"/>
        <v>97.346200249999981</v>
      </c>
      <c r="D1016">
        <f t="shared" si="36"/>
        <v>19700.653799750002</v>
      </c>
    </row>
    <row r="1017" spans="1:4">
      <c r="A1017">
        <v>1016</v>
      </c>
      <c r="B1017">
        <v>10480</v>
      </c>
      <c r="C1017">
        <f t="shared" si="35"/>
        <v>97.221595839999964</v>
      </c>
      <c r="D1017">
        <f t="shared" si="36"/>
        <v>10382.778404160001</v>
      </c>
    </row>
    <row r="1018" spans="1:4">
      <c r="A1018">
        <v>1017</v>
      </c>
      <c r="B1018">
        <v>5045</v>
      </c>
      <c r="C1018">
        <f t="shared" si="35"/>
        <v>97.096689209999994</v>
      </c>
      <c r="D1018">
        <f t="shared" si="36"/>
        <v>4947.9033107900004</v>
      </c>
    </row>
    <row r="1019" spans="1:4">
      <c r="A1019">
        <v>1018</v>
      </c>
      <c r="B1019">
        <v>2770</v>
      </c>
      <c r="C1019">
        <f t="shared" si="35"/>
        <v>96.971480360000015</v>
      </c>
      <c r="D1019">
        <f t="shared" si="36"/>
        <v>2673.02851964</v>
      </c>
    </row>
    <row r="1020" spans="1:4">
      <c r="A1020">
        <v>1019</v>
      </c>
      <c r="B1020">
        <v>1910</v>
      </c>
      <c r="C1020">
        <f t="shared" si="35"/>
        <v>96.845969289999999</v>
      </c>
      <c r="D1020">
        <f t="shared" si="36"/>
        <v>1813.1540307099999</v>
      </c>
    </row>
    <row r="1021" spans="1:4">
      <c r="A1021">
        <v>1020</v>
      </c>
      <c r="B1021">
        <v>1489</v>
      </c>
      <c r="C1021">
        <f t="shared" si="35"/>
        <v>96.720156000000003</v>
      </c>
      <c r="D1021">
        <f t="shared" si="36"/>
        <v>1392.2798439999999</v>
      </c>
    </row>
    <row r="1022" spans="1:4">
      <c r="A1022">
        <v>1021</v>
      </c>
      <c r="B1022">
        <v>1166</v>
      </c>
      <c r="C1022">
        <f t="shared" si="35"/>
        <v>96.594040489999998</v>
      </c>
      <c r="D1022">
        <f t="shared" si="36"/>
        <v>1069.40595951</v>
      </c>
    </row>
    <row r="1023" spans="1:4">
      <c r="A1023">
        <v>1022</v>
      </c>
      <c r="B1023">
        <v>869</v>
      </c>
      <c r="C1023">
        <f t="shared" si="35"/>
        <v>96.467622759999983</v>
      </c>
      <c r="D1023">
        <f t="shared" si="36"/>
        <v>772.53237723999996</v>
      </c>
    </row>
    <row r="1024" spans="1:4">
      <c r="A1024">
        <v>1023</v>
      </c>
      <c r="B1024">
        <v>608</v>
      </c>
      <c r="C1024">
        <f t="shared" si="35"/>
        <v>96.340902809999989</v>
      </c>
      <c r="D1024">
        <f t="shared" si="36"/>
        <v>511.65909719000001</v>
      </c>
    </row>
    <row r="1025" spans="1:4">
      <c r="A1025">
        <v>1024</v>
      </c>
      <c r="B1025">
        <v>434</v>
      </c>
      <c r="C1025">
        <f t="shared" si="35"/>
        <v>96.213880639999985</v>
      </c>
      <c r="D1025">
        <f t="shared" si="36"/>
        <v>337.78611936000004</v>
      </c>
    </row>
    <row r="1026" spans="1:4">
      <c r="A1026">
        <v>1025</v>
      </c>
      <c r="B1026">
        <v>370</v>
      </c>
      <c r="C1026">
        <f t="shared" ref="C1026:C1089" si="37" xml:space="preserve"> -0.00015111*A1026*A1026 + 0.1823*A1026 + 67.989</f>
        <v>96.086556249999973</v>
      </c>
      <c r="D1026">
        <f t="shared" ref="D1026:D1089" si="38">B1026-C1026</f>
        <v>273.91344375000006</v>
      </c>
    </row>
    <row r="1027" spans="1:4">
      <c r="A1027">
        <v>1026</v>
      </c>
      <c r="B1027">
        <v>322</v>
      </c>
      <c r="C1027">
        <f t="shared" si="37"/>
        <v>95.95892963999998</v>
      </c>
      <c r="D1027">
        <f t="shared" si="38"/>
        <v>226.04107036000002</v>
      </c>
    </row>
    <row r="1028" spans="1:4">
      <c r="A1028">
        <v>1027</v>
      </c>
      <c r="B1028">
        <v>312</v>
      </c>
      <c r="C1028">
        <f t="shared" si="37"/>
        <v>95.831000809999978</v>
      </c>
      <c r="D1028">
        <f t="shared" si="38"/>
        <v>216.16899919000002</v>
      </c>
    </row>
    <row r="1029" spans="1:4">
      <c r="A1029">
        <v>1028</v>
      </c>
      <c r="B1029">
        <v>309</v>
      </c>
      <c r="C1029">
        <f t="shared" si="37"/>
        <v>95.702769759999967</v>
      </c>
      <c r="D1029">
        <f t="shared" si="38"/>
        <v>213.29723024000003</v>
      </c>
    </row>
    <row r="1030" spans="1:4">
      <c r="A1030">
        <v>1029</v>
      </c>
      <c r="B1030">
        <v>302</v>
      </c>
      <c r="C1030">
        <f t="shared" si="37"/>
        <v>95.574236489999976</v>
      </c>
      <c r="D1030">
        <f t="shared" si="38"/>
        <v>206.42576351000002</v>
      </c>
    </row>
    <row r="1031" spans="1:4">
      <c r="A1031">
        <v>1030</v>
      </c>
      <c r="B1031">
        <v>337</v>
      </c>
      <c r="C1031">
        <f t="shared" si="37"/>
        <v>95.445400999999976</v>
      </c>
      <c r="D1031">
        <f t="shared" si="38"/>
        <v>241.55459900000002</v>
      </c>
    </row>
    <row r="1032" spans="1:4">
      <c r="A1032">
        <v>1031</v>
      </c>
      <c r="B1032">
        <v>363</v>
      </c>
      <c r="C1032">
        <f t="shared" si="37"/>
        <v>95.316263289999995</v>
      </c>
      <c r="D1032">
        <f t="shared" si="38"/>
        <v>267.68373671000001</v>
      </c>
    </row>
    <row r="1033" spans="1:4">
      <c r="A1033">
        <v>1032</v>
      </c>
      <c r="B1033">
        <v>385</v>
      </c>
      <c r="C1033">
        <f t="shared" si="37"/>
        <v>95.186823360000005</v>
      </c>
      <c r="D1033">
        <f t="shared" si="38"/>
        <v>289.81317663999999</v>
      </c>
    </row>
    <row r="1034" spans="1:4">
      <c r="A1034">
        <v>1033</v>
      </c>
      <c r="B1034">
        <v>384</v>
      </c>
      <c r="C1034">
        <f t="shared" si="37"/>
        <v>95.057081209999978</v>
      </c>
      <c r="D1034">
        <f t="shared" si="38"/>
        <v>288.94291879000002</v>
      </c>
    </row>
    <row r="1035" spans="1:4">
      <c r="A1035">
        <v>1034</v>
      </c>
      <c r="B1035">
        <v>369</v>
      </c>
      <c r="C1035">
        <f t="shared" si="37"/>
        <v>94.92703684</v>
      </c>
      <c r="D1035">
        <f t="shared" si="38"/>
        <v>274.07296315999997</v>
      </c>
    </row>
    <row r="1036" spans="1:4">
      <c r="A1036">
        <v>1035</v>
      </c>
      <c r="B1036">
        <v>323</v>
      </c>
      <c r="C1036">
        <f t="shared" si="37"/>
        <v>94.796690249999983</v>
      </c>
      <c r="D1036">
        <f t="shared" si="38"/>
        <v>228.20330975000002</v>
      </c>
    </row>
    <row r="1037" spans="1:4">
      <c r="A1037">
        <v>1036</v>
      </c>
      <c r="B1037">
        <v>295</v>
      </c>
      <c r="C1037">
        <f t="shared" si="37"/>
        <v>94.666041439999987</v>
      </c>
      <c r="D1037">
        <f t="shared" si="38"/>
        <v>200.33395856000001</v>
      </c>
    </row>
    <row r="1038" spans="1:4">
      <c r="A1038">
        <v>1037</v>
      </c>
      <c r="B1038">
        <v>260</v>
      </c>
      <c r="C1038">
        <f t="shared" si="37"/>
        <v>94.535090410000009</v>
      </c>
      <c r="D1038">
        <f t="shared" si="38"/>
        <v>165.46490958999999</v>
      </c>
    </row>
    <row r="1039" spans="1:4">
      <c r="A1039">
        <v>1038</v>
      </c>
      <c r="B1039">
        <v>228</v>
      </c>
      <c r="C1039">
        <f t="shared" si="37"/>
        <v>94.403837159999995</v>
      </c>
      <c r="D1039">
        <f t="shared" si="38"/>
        <v>133.59616284000001</v>
      </c>
    </row>
    <row r="1040" spans="1:4">
      <c r="A1040">
        <v>1039</v>
      </c>
      <c r="B1040">
        <v>203</v>
      </c>
      <c r="C1040">
        <f t="shared" si="37"/>
        <v>94.272281689999971</v>
      </c>
      <c r="D1040">
        <f t="shared" si="38"/>
        <v>108.72771831000003</v>
      </c>
    </row>
    <row r="1041" spans="1:4">
      <c r="A1041">
        <v>1040</v>
      </c>
      <c r="B1041">
        <v>202</v>
      </c>
      <c r="C1041">
        <f t="shared" si="37"/>
        <v>94.140423999999996</v>
      </c>
      <c r="D1041">
        <f t="shared" si="38"/>
        <v>107.859576</v>
      </c>
    </row>
    <row r="1042" spans="1:4">
      <c r="A1042">
        <v>1041</v>
      </c>
      <c r="B1042">
        <v>201</v>
      </c>
      <c r="C1042">
        <f t="shared" si="37"/>
        <v>94.008264089999983</v>
      </c>
      <c r="D1042">
        <f t="shared" si="38"/>
        <v>106.99173591000002</v>
      </c>
    </row>
    <row r="1043" spans="1:4">
      <c r="A1043">
        <v>1042</v>
      </c>
      <c r="B1043">
        <v>189</v>
      </c>
      <c r="C1043">
        <f t="shared" si="37"/>
        <v>93.875801959999961</v>
      </c>
      <c r="D1043">
        <f t="shared" si="38"/>
        <v>95.124198040000039</v>
      </c>
    </row>
    <row r="1044" spans="1:4">
      <c r="A1044">
        <v>1043</v>
      </c>
      <c r="B1044">
        <v>189</v>
      </c>
      <c r="C1044">
        <f t="shared" si="37"/>
        <v>93.743037609999988</v>
      </c>
      <c r="D1044">
        <f t="shared" si="38"/>
        <v>95.256962390000012</v>
      </c>
    </row>
    <row r="1045" spans="1:4">
      <c r="A1045">
        <v>1044</v>
      </c>
      <c r="B1045">
        <v>177</v>
      </c>
      <c r="C1045">
        <f t="shared" si="37"/>
        <v>93.609971039999976</v>
      </c>
      <c r="D1045">
        <f t="shared" si="38"/>
        <v>83.390028960000024</v>
      </c>
    </row>
    <row r="1046" spans="1:4">
      <c r="A1046">
        <v>1045</v>
      </c>
      <c r="B1046">
        <v>182</v>
      </c>
      <c r="C1046">
        <f t="shared" si="37"/>
        <v>93.476602249999985</v>
      </c>
      <c r="D1046">
        <f t="shared" si="38"/>
        <v>88.523397750000015</v>
      </c>
    </row>
    <row r="1047" spans="1:4">
      <c r="A1047">
        <v>1046</v>
      </c>
      <c r="B1047">
        <v>194</v>
      </c>
      <c r="C1047">
        <f t="shared" si="37"/>
        <v>93.342931240000013</v>
      </c>
      <c r="D1047">
        <f t="shared" si="38"/>
        <v>100.65706875999999</v>
      </c>
    </row>
    <row r="1048" spans="1:4">
      <c r="A1048">
        <v>1047</v>
      </c>
      <c r="B1048">
        <v>199</v>
      </c>
      <c r="C1048">
        <f t="shared" si="37"/>
        <v>93.208958009999975</v>
      </c>
      <c r="D1048">
        <f t="shared" si="38"/>
        <v>105.79104199000002</v>
      </c>
    </row>
    <row r="1049" spans="1:4">
      <c r="A1049">
        <v>1048</v>
      </c>
      <c r="B1049">
        <v>206</v>
      </c>
      <c r="C1049">
        <f t="shared" si="37"/>
        <v>93.074682560000014</v>
      </c>
      <c r="D1049">
        <f t="shared" si="38"/>
        <v>112.92531743999999</v>
      </c>
    </row>
    <row r="1050" spans="1:4">
      <c r="A1050">
        <v>1049</v>
      </c>
      <c r="B1050">
        <v>201</v>
      </c>
      <c r="C1050">
        <f t="shared" si="37"/>
        <v>92.940104889999986</v>
      </c>
      <c r="D1050">
        <f t="shared" si="38"/>
        <v>108.05989511000001</v>
      </c>
    </row>
    <row r="1051" spans="1:4">
      <c r="A1051">
        <v>1050</v>
      </c>
      <c r="B1051">
        <v>196</v>
      </c>
      <c r="C1051">
        <f t="shared" si="37"/>
        <v>92.805224999999979</v>
      </c>
      <c r="D1051">
        <f t="shared" si="38"/>
        <v>103.19477500000002</v>
      </c>
    </row>
    <row r="1052" spans="1:4">
      <c r="A1052">
        <v>1051</v>
      </c>
      <c r="B1052">
        <v>207</v>
      </c>
      <c r="C1052">
        <f t="shared" si="37"/>
        <v>92.670042889999991</v>
      </c>
      <c r="D1052">
        <f t="shared" si="38"/>
        <v>114.32995711000001</v>
      </c>
    </row>
    <row r="1053" spans="1:4">
      <c r="A1053">
        <v>1052</v>
      </c>
      <c r="B1053">
        <v>221</v>
      </c>
      <c r="C1053">
        <f t="shared" si="37"/>
        <v>92.534558559999994</v>
      </c>
      <c r="D1053">
        <f t="shared" si="38"/>
        <v>128.46544144000001</v>
      </c>
    </row>
    <row r="1054" spans="1:4">
      <c r="A1054">
        <v>1053</v>
      </c>
      <c r="B1054">
        <v>242</v>
      </c>
      <c r="C1054">
        <f t="shared" si="37"/>
        <v>92.398772009999959</v>
      </c>
      <c r="D1054">
        <f t="shared" si="38"/>
        <v>149.60122799000004</v>
      </c>
    </row>
    <row r="1055" spans="1:4">
      <c r="A1055">
        <v>1054</v>
      </c>
      <c r="B1055">
        <v>329</v>
      </c>
      <c r="C1055">
        <f t="shared" si="37"/>
        <v>92.262683240000001</v>
      </c>
      <c r="D1055">
        <f t="shared" si="38"/>
        <v>236.73731676</v>
      </c>
    </row>
    <row r="1056" spans="1:4">
      <c r="A1056">
        <v>1055</v>
      </c>
      <c r="B1056">
        <v>530</v>
      </c>
      <c r="C1056">
        <f t="shared" si="37"/>
        <v>92.126292249999977</v>
      </c>
      <c r="D1056">
        <f t="shared" si="38"/>
        <v>437.87370774999999</v>
      </c>
    </row>
    <row r="1057" spans="1:4">
      <c r="A1057">
        <v>1056</v>
      </c>
      <c r="B1057">
        <v>881</v>
      </c>
      <c r="C1057">
        <f t="shared" si="37"/>
        <v>91.989599039999973</v>
      </c>
      <c r="D1057">
        <f t="shared" si="38"/>
        <v>789.01040095999997</v>
      </c>
    </row>
    <row r="1058" spans="1:4">
      <c r="A1058">
        <v>1057</v>
      </c>
      <c r="B1058">
        <v>1445</v>
      </c>
      <c r="C1058">
        <f t="shared" si="37"/>
        <v>91.852603609999989</v>
      </c>
      <c r="D1058">
        <f t="shared" si="38"/>
        <v>1353.14739639</v>
      </c>
    </row>
    <row r="1059" spans="1:4">
      <c r="A1059">
        <v>1058</v>
      </c>
      <c r="B1059">
        <v>2471</v>
      </c>
      <c r="C1059">
        <f t="shared" si="37"/>
        <v>91.715305959999966</v>
      </c>
      <c r="D1059">
        <f t="shared" si="38"/>
        <v>2379.28469404</v>
      </c>
    </row>
    <row r="1060" spans="1:4">
      <c r="A1060">
        <v>1059</v>
      </c>
      <c r="B1060">
        <v>4831</v>
      </c>
      <c r="C1060">
        <f t="shared" si="37"/>
        <v>91.577706089999992</v>
      </c>
      <c r="D1060">
        <f t="shared" si="38"/>
        <v>4739.42229391</v>
      </c>
    </row>
    <row r="1061" spans="1:4">
      <c r="A1061">
        <v>1060</v>
      </c>
      <c r="B1061">
        <v>10653</v>
      </c>
      <c r="C1061">
        <f t="shared" si="37"/>
        <v>91.439804000000009</v>
      </c>
      <c r="D1061">
        <f t="shared" si="38"/>
        <v>10561.560196</v>
      </c>
    </row>
    <row r="1062" spans="1:4">
      <c r="A1062">
        <v>1061</v>
      </c>
      <c r="B1062">
        <v>19710</v>
      </c>
      <c r="C1062">
        <f t="shared" si="37"/>
        <v>91.301599689999989</v>
      </c>
      <c r="D1062">
        <f t="shared" si="38"/>
        <v>19618.698400310001</v>
      </c>
    </row>
    <row r="1063" spans="1:4">
      <c r="A1063">
        <v>1062</v>
      </c>
      <c r="B1063">
        <v>28712</v>
      </c>
      <c r="C1063">
        <f t="shared" si="37"/>
        <v>91.163093159999988</v>
      </c>
      <c r="D1063">
        <f t="shared" si="38"/>
        <v>28620.836906839999</v>
      </c>
    </row>
    <row r="1064" spans="1:4">
      <c r="A1064">
        <v>1063</v>
      </c>
      <c r="B1064">
        <v>30775</v>
      </c>
      <c r="C1064">
        <f t="shared" si="37"/>
        <v>91.024284410000007</v>
      </c>
      <c r="D1064">
        <f t="shared" si="38"/>
        <v>30683.975715590001</v>
      </c>
    </row>
    <row r="1065" spans="1:4">
      <c r="A1065">
        <v>1064</v>
      </c>
      <c r="B1065">
        <v>26358</v>
      </c>
      <c r="C1065">
        <f t="shared" si="37"/>
        <v>90.885173439999988</v>
      </c>
      <c r="D1065">
        <f t="shared" si="38"/>
        <v>26267.114826559999</v>
      </c>
    </row>
    <row r="1066" spans="1:4">
      <c r="A1066">
        <v>1065</v>
      </c>
      <c r="B1066">
        <v>16064</v>
      </c>
      <c r="C1066">
        <f t="shared" si="37"/>
        <v>90.745760249999989</v>
      </c>
      <c r="D1066">
        <f t="shared" si="38"/>
        <v>15973.25423975</v>
      </c>
    </row>
    <row r="1067" spans="1:4">
      <c r="A1067">
        <v>1066</v>
      </c>
      <c r="B1067">
        <v>7897</v>
      </c>
      <c r="C1067">
        <f t="shared" si="37"/>
        <v>90.606044839999981</v>
      </c>
      <c r="D1067">
        <f t="shared" si="38"/>
        <v>7806.3939551599997</v>
      </c>
    </row>
    <row r="1068" spans="1:4">
      <c r="A1068">
        <v>1067</v>
      </c>
      <c r="B1068">
        <v>3443</v>
      </c>
      <c r="C1068">
        <f t="shared" si="37"/>
        <v>90.466027209999964</v>
      </c>
      <c r="D1068">
        <f t="shared" si="38"/>
        <v>3352.53397279</v>
      </c>
    </row>
    <row r="1069" spans="1:4">
      <c r="A1069">
        <v>1068</v>
      </c>
      <c r="B1069">
        <v>1615</v>
      </c>
      <c r="C1069">
        <f t="shared" si="37"/>
        <v>90.325707359999996</v>
      </c>
      <c r="D1069">
        <f t="shared" si="38"/>
        <v>1524.67429264</v>
      </c>
    </row>
    <row r="1070" spans="1:4">
      <c r="A1070">
        <v>1069</v>
      </c>
      <c r="B1070">
        <v>881</v>
      </c>
      <c r="C1070">
        <f t="shared" si="37"/>
        <v>90.185085289999989</v>
      </c>
      <c r="D1070">
        <f t="shared" si="38"/>
        <v>790.81491471000004</v>
      </c>
    </row>
    <row r="1071" spans="1:4">
      <c r="A1071">
        <v>1070</v>
      </c>
      <c r="B1071">
        <v>588</v>
      </c>
      <c r="C1071">
        <f t="shared" si="37"/>
        <v>90.044160999999974</v>
      </c>
      <c r="D1071">
        <f t="shared" si="38"/>
        <v>497.95583900000003</v>
      </c>
    </row>
    <row r="1072" spans="1:4">
      <c r="A1072">
        <v>1071</v>
      </c>
      <c r="B1072">
        <v>470</v>
      </c>
      <c r="C1072">
        <f t="shared" si="37"/>
        <v>89.902934489999978</v>
      </c>
      <c r="D1072">
        <f t="shared" si="38"/>
        <v>380.09706550999999</v>
      </c>
    </row>
    <row r="1073" spans="1:4">
      <c r="A1073">
        <v>1072</v>
      </c>
      <c r="B1073">
        <v>356</v>
      </c>
      <c r="C1073">
        <f t="shared" si="37"/>
        <v>89.761405760000002</v>
      </c>
      <c r="D1073">
        <f t="shared" si="38"/>
        <v>266.23859424</v>
      </c>
    </row>
    <row r="1074" spans="1:4">
      <c r="A1074">
        <v>1073</v>
      </c>
      <c r="B1074">
        <v>294</v>
      </c>
      <c r="C1074">
        <f t="shared" si="37"/>
        <v>89.619574809999989</v>
      </c>
      <c r="D1074">
        <f t="shared" si="38"/>
        <v>204.38042519000001</v>
      </c>
    </row>
    <row r="1075" spans="1:4">
      <c r="A1075">
        <v>1074</v>
      </c>
      <c r="B1075">
        <v>278</v>
      </c>
      <c r="C1075">
        <f t="shared" si="37"/>
        <v>89.477441639999995</v>
      </c>
      <c r="D1075">
        <f t="shared" si="38"/>
        <v>188.52255836</v>
      </c>
    </row>
    <row r="1076" spans="1:4">
      <c r="A1076">
        <v>1075</v>
      </c>
      <c r="B1076">
        <v>274</v>
      </c>
      <c r="C1076">
        <f t="shared" si="37"/>
        <v>89.335006249999992</v>
      </c>
      <c r="D1076">
        <f t="shared" si="38"/>
        <v>184.66499375000001</v>
      </c>
    </row>
    <row r="1077" spans="1:4">
      <c r="A1077">
        <v>1076</v>
      </c>
      <c r="B1077">
        <v>249</v>
      </c>
      <c r="C1077">
        <f t="shared" si="37"/>
        <v>89.19226863999998</v>
      </c>
      <c r="D1077">
        <f t="shared" si="38"/>
        <v>159.80773136000002</v>
      </c>
    </row>
    <row r="1078" spans="1:4">
      <c r="A1078">
        <v>1077</v>
      </c>
      <c r="B1078">
        <v>230</v>
      </c>
      <c r="C1078">
        <f t="shared" si="37"/>
        <v>89.049228809999988</v>
      </c>
      <c r="D1078">
        <f t="shared" si="38"/>
        <v>140.95077119000001</v>
      </c>
    </row>
    <row r="1079" spans="1:4">
      <c r="A1079">
        <v>1078</v>
      </c>
      <c r="B1079">
        <v>228</v>
      </c>
      <c r="C1079">
        <f t="shared" si="37"/>
        <v>88.905886759999987</v>
      </c>
      <c r="D1079">
        <f t="shared" si="38"/>
        <v>139.09411324000001</v>
      </c>
    </row>
    <row r="1080" spans="1:4">
      <c r="A1080">
        <v>1079</v>
      </c>
      <c r="B1080">
        <v>221</v>
      </c>
      <c r="C1080">
        <f t="shared" si="37"/>
        <v>88.762242489999977</v>
      </c>
      <c r="D1080">
        <f t="shared" si="38"/>
        <v>132.23775751000002</v>
      </c>
    </row>
    <row r="1081" spans="1:4">
      <c r="A1081">
        <v>1080</v>
      </c>
      <c r="B1081">
        <v>222</v>
      </c>
      <c r="C1081">
        <f t="shared" si="37"/>
        <v>88.618295999999987</v>
      </c>
      <c r="D1081">
        <f t="shared" si="38"/>
        <v>133.38170400000001</v>
      </c>
    </row>
    <row r="1082" spans="1:4">
      <c r="A1082">
        <v>1081</v>
      </c>
      <c r="B1082">
        <v>214</v>
      </c>
      <c r="C1082">
        <f t="shared" si="37"/>
        <v>88.474047289999959</v>
      </c>
      <c r="D1082">
        <f t="shared" si="38"/>
        <v>125.52595271000004</v>
      </c>
    </row>
    <row r="1083" spans="1:4">
      <c r="A1083">
        <v>1082</v>
      </c>
      <c r="B1083">
        <v>215</v>
      </c>
      <c r="C1083">
        <f t="shared" si="37"/>
        <v>88.329496359999979</v>
      </c>
      <c r="D1083">
        <f t="shared" si="38"/>
        <v>126.67050364000002</v>
      </c>
    </row>
    <row r="1084" spans="1:4">
      <c r="A1084">
        <v>1083</v>
      </c>
      <c r="B1084">
        <v>226</v>
      </c>
      <c r="C1084">
        <f t="shared" si="37"/>
        <v>88.18464320999999</v>
      </c>
      <c r="D1084">
        <f t="shared" si="38"/>
        <v>137.81535679000001</v>
      </c>
    </row>
    <row r="1085" spans="1:4">
      <c r="A1085">
        <v>1084</v>
      </c>
      <c r="B1085">
        <v>247</v>
      </c>
      <c r="C1085">
        <f t="shared" si="37"/>
        <v>88.039487839999964</v>
      </c>
      <c r="D1085">
        <f t="shared" si="38"/>
        <v>158.96051216000004</v>
      </c>
    </row>
    <row r="1086" spans="1:4">
      <c r="A1086">
        <v>1085</v>
      </c>
      <c r="B1086">
        <v>305</v>
      </c>
      <c r="C1086">
        <f t="shared" si="37"/>
        <v>87.894030249999986</v>
      </c>
      <c r="D1086">
        <f t="shared" si="38"/>
        <v>217.10596975000001</v>
      </c>
    </row>
    <row r="1087" spans="1:4">
      <c r="A1087">
        <v>1086</v>
      </c>
      <c r="B1087">
        <v>396</v>
      </c>
      <c r="C1087">
        <f t="shared" si="37"/>
        <v>87.748270439999999</v>
      </c>
      <c r="D1087">
        <f t="shared" si="38"/>
        <v>308.25172956</v>
      </c>
    </row>
    <row r="1088" spans="1:4">
      <c r="A1088">
        <v>1087</v>
      </c>
      <c r="B1088">
        <v>597</v>
      </c>
      <c r="C1088">
        <f t="shared" si="37"/>
        <v>87.602208409999974</v>
      </c>
      <c r="D1088">
        <f t="shared" si="38"/>
        <v>509.39779159</v>
      </c>
    </row>
    <row r="1089" spans="1:7">
      <c r="A1089">
        <v>1088</v>
      </c>
      <c r="B1089">
        <v>1030</v>
      </c>
      <c r="C1089">
        <f t="shared" si="37"/>
        <v>87.455844159999998</v>
      </c>
      <c r="D1089">
        <f t="shared" si="38"/>
        <v>942.54415584000003</v>
      </c>
    </row>
    <row r="1090" spans="1:7">
      <c r="A1090">
        <v>1089</v>
      </c>
      <c r="B1090">
        <v>1779</v>
      </c>
      <c r="C1090">
        <f t="shared" ref="C1090:C1153" si="39" xml:space="preserve"> -0.00015111*A1090*A1090 + 0.1823*A1090 + 67.989</f>
        <v>87.309177689999984</v>
      </c>
      <c r="D1090">
        <f t="shared" ref="D1090:D1153" si="40">B1090-C1090</f>
        <v>1691.6908223099999</v>
      </c>
    </row>
    <row r="1091" spans="1:7">
      <c r="A1091">
        <v>1090</v>
      </c>
      <c r="B1091">
        <v>3068</v>
      </c>
      <c r="C1091">
        <f t="shared" si="39"/>
        <v>87.16220899999999</v>
      </c>
      <c r="D1091">
        <f t="shared" si="40"/>
        <v>2980.8377909999999</v>
      </c>
    </row>
    <row r="1092" spans="1:7">
      <c r="A1092">
        <v>1091</v>
      </c>
      <c r="B1092">
        <v>5628</v>
      </c>
      <c r="C1092">
        <f t="shared" si="39"/>
        <v>87.014938089999987</v>
      </c>
      <c r="D1092">
        <f t="shared" si="40"/>
        <v>5540.9850619099998</v>
      </c>
    </row>
    <row r="1093" spans="1:7">
      <c r="A1093">
        <v>1092</v>
      </c>
      <c r="B1093">
        <v>11137</v>
      </c>
      <c r="C1093">
        <f t="shared" si="39"/>
        <v>86.867364959999975</v>
      </c>
      <c r="D1093">
        <f t="shared" si="40"/>
        <v>11050.13263504</v>
      </c>
    </row>
    <row r="1094" spans="1:7">
      <c r="A1094">
        <v>1093</v>
      </c>
      <c r="B1094">
        <v>19011</v>
      </c>
      <c r="C1094">
        <f t="shared" si="39"/>
        <v>86.719489609999954</v>
      </c>
      <c r="D1094">
        <f t="shared" si="40"/>
        <v>18924.280510389999</v>
      </c>
    </row>
    <row r="1095" spans="1:7" ht="17.25">
      <c r="A1095">
        <v>1094</v>
      </c>
      <c r="B1095">
        <v>26055</v>
      </c>
      <c r="C1095">
        <f t="shared" si="39"/>
        <v>86.571312039999981</v>
      </c>
      <c r="D1095">
        <f t="shared" si="40"/>
        <v>25968.42868796</v>
      </c>
      <c r="F1095">
        <v>1094.5</v>
      </c>
      <c r="G1095" t="s">
        <v>29</v>
      </c>
    </row>
    <row r="1096" spans="1:7">
      <c r="A1096">
        <v>1095</v>
      </c>
      <c r="B1096">
        <v>26475</v>
      </c>
      <c r="C1096">
        <f t="shared" si="39"/>
        <v>86.422832249999971</v>
      </c>
      <c r="D1096">
        <f t="shared" si="40"/>
        <v>26388.577167750002</v>
      </c>
    </row>
    <row r="1097" spans="1:7">
      <c r="A1097">
        <v>1096</v>
      </c>
      <c r="B1097">
        <v>20708</v>
      </c>
      <c r="C1097">
        <f t="shared" si="39"/>
        <v>86.27405023999998</v>
      </c>
      <c r="D1097">
        <f t="shared" si="40"/>
        <v>20621.725949759999</v>
      </c>
    </row>
    <row r="1098" spans="1:7">
      <c r="A1098">
        <v>1097</v>
      </c>
      <c r="B1098">
        <v>11346</v>
      </c>
      <c r="C1098">
        <f t="shared" si="39"/>
        <v>86.12496600999998</v>
      </c>
      <c r="D1098">
        <f t="shared" si="40"/>
        <v>11259.87503399</v>
      </c>
    </row>
    <row r="1099" spans="1:7">
      <c r="A1099">
        <v>1098</v>
      </c>
      <c r="B1099">
        <v>5193</v>
      </c>
      <c r="C1099">
        <f t="shared" si="39"/>
        <v>85.975579559999971</v>
      </c>
      <c r="D1099">
        <f t="shared" si="40"/>
        <v>5107.0244204399996</v>
      </c>
    </row>
    <row r="1100" spans="1:7">
      <c r="A1100">
        <v>1099</v>
      </c>
      <c r="B1100">
        <v>2270</v>
      </c>
      <c r="C1100">
        <f t="shared" si="39"/>
        <v>85.825890889999982</v>
      </c>
      <c r="D1100">
        <f t="shared" si="40"/>
        <v>2184.1741091100002</v>
      </c>
    </row>
    <row r="1101" spans="1:7">
      <c r="A1101">
        <v>1100</v>
      </c>
      <c r="B1101">
        <v>1163</v>
      </c>
      <c r="C1101">
        <f t="shared" si="39"/>
        <v>85.675899999999984</v>
      </c>
      <c r="D1101">
        <f t="shared" si="40"/>
        <v>1077.3241</v>
      </c>
    </row>
    <row r="1102" spans="1:7">
      <c r="A1102">
        <v>1101</v>
      </c>
      <c r="B1102">
        <v>659</v>
      </c>
      <c r="C1102">
        <f t="shared" si="39"/>
        <v>85.525606889999978</v>
      </c>
      <c r="D1102">
        <f t="shared" si="40"/>
        <v>573.47439311000005</v>
      </c>
    </row>
    <row r="1103" spans="1:7">
      <c r="A1103">
        <v>1102</v>
      </c>
      <c r="B1103">
        <v>454</v>
      </c>
      <c r="C1103">
        <f t="shared" si="39"/>
        <v>85.37501155999999</v>
      </c>
      <c r="D1103">
        <f t="shared" si="40"/>
        <v>368.62498844000004</v>
      </c>
    </row>
    <row r="1104" spans="1:7">
      <c r="A1104">
        <v>1103</v>
      </c>
      <c r="B1104">
        <v>390</v>
      </c>
      <c r="C1104">
        <f t="shared" si="39"/>
        <v>85.224114009999994</v>
      </c>
      <c r="D1104">
        <f t="shared" si="40"/>
        <v>304.77588599000001</v>
      </c>
    </row>
    <row r="1105" spans="1:4">
      <c r="A1105">
        <v>1104</v>
      </c>
      <c r="B1105">
        <v>335</v>
      </c>
      <c r="C1105">
        <f t="shared" si="39"/>
        <v>85.072914239999989</v>
      </c>
      <c r="D1105">
        <f t="shared" si="40"/>
        <v>249.92708576000001</v>
      </c>
    </row>
    <row r="1106" spans="1:4">
      <c r="A1106">
        <v>1105</v>
      </c>
      <c r="B1106">
        <v>272</v>
      </c>
      <c r="C1106">
        <f t="shared" si="39"/>
        <v>84.921412250000003</v>
      </c>
      <c r="D1106">
        <f t="shared" si="40"/>
        <v>187.07858775</v>
      </c>
    </row>
    <row r="1107" spans="1:4">
      <c r="A1107">
        <v>1106</v>
      </c>
      <c r="B1107">
        <v>245</v>
      </c>
      <c r="C1107">
        <f t="shared" si="39"/>
        <v>84.76960803999998</v>
      </c>
      <c r="D1107">
        <f t="shared" si="40"/>
        <v>160.23039196000002</v>
      </c>
    </row>
    <row r="1108" spans="1:4">
      <c r="A1108">
        <v>1107</v>
      </c>
      <c r="B1108">
        <v>247</v>
      </c>
      <c r="C1108">
        <f t="shared" si="39"/>
        <v>84.617501609999977</v>
      </c>
      <c r="D1108">
        <f t="shared" si="40"/>
        <v>162.38249839000002</v>
      </c>
    </row>
    <row r="1109" spans="1:4">
      <c r="A1109">
        <v>1108</v>
      </c>
      <c r="B1109">
        <v>237</v>
      </c>
      <c r="C1109">
        <f t="shared" si="39"/>
        <v>84.465092959999993</v>
      </c>
      <c r="D1109">
        <f t="shared" si="40"/>
        <v>152.53490704000001</v>
      </c>
    </row>
    <row r="1110" spans="1:4">
      <c r="A1110">
        <v>1109</v>
      </c>
      <c r="B1110">
        <v>235</v>
      </c>
      <c r="C1110">
        <f t="shared" si="39"/>
        <v>84.312382089999971</v>
      </c>
      <c r="D1110">
        <f t="shared" si="40"/>
        <v>150.68761791000003</v>
      </c>
    </row>
    <row r="1111" spans="1:4">
      <c r="A1111">
        <v>1110</v>
      </c>
      <c r="B1111">
        <v>243</v>
      </c>
      <c r="C1111">
        <f t="shared" si="39"/>
        <v>84.15936899999997</v>
      </c>
      <c r="D1111">
        <f t="shared" si="40"/>
        <v>158.84063100000003</v>
      </c>
    </row>
    <row r="1112" spans="1:4">
      <c r="A1112">
        <v>1111</v>
      </c>
      <c r="B1112">
        <v>250</v>
      </c>
      <c r="C1112">
        <f t="shared" si="39"/>
        <v>84.006053689999987</v>
      </c>
      <c r="D1112">
        <f t="shared" si="40"/>
        <v>165.99394631000001</v>
      </c>
    </row>
    <row r="1113" spans="1:4">
      <c r="A1113">
        <v>1112</v>
      </c>
      <c r="B1113">
        <v>287</v>
      </c>
      <c r="C1113">
        <f t="shared" si="39"/>
        <v>83.852436159999968</v>
      </c>
      <c r="D1113">
        <f t="shared" si="40"/>
        <v>203.14756384000003</v>
      </c>
    </row>
    <row r="1114" spans="1:4">
      <c r="A1114">
        <v>1113</v>
      </c>
      <c r="B1114">
        <v>408</v>
      </c>
      <c r="C1114">
        <f t="shared" si="39"/>
        <v>83.698516409999996</v>
      </c>
      <c r="D1114">
        <f t="shared" si="40"/>
        <v>324.30148358999998</v>
      </c>
    </row>
    <row r="1115" spans="1:4">
      <c r="A1115">
        <v>1114</v>
      </c>
      <c r="B1115">
        <v>664</v>
      </c>
      <c r="C1115">
        <f t="shared" si="39"/>
        <v>83.544294439999987</v>
      </c>
      <c r="D1115">
        <f t="shared" si="40"/>
        <v>580.45570556000007</v>
      </c>
    </row>
    <row r="1116" spans="1:4">
      <c r="A1116">
        <v>1115</v>
      </c>
      <c r="B1116">
        <v>1030</v>
      </c>
      <c r="C1116">
        <f t="shared" si="39"/>
        <v>83.389770249999998</v>
      </c>
      <c r="D1116">
        <f t="shared" si="40"/>
        <v>946.61022975000003</v>
      </c>
    </row>
    <row r="1117" spans="1:4">
      <c r="A1117">
        <v>1116</v>
      </c>
      <c r="B1117">
        <v>1390</v>
      </c>
      <c r="C1117">
        <f t="shared" si="39"/>
        <v>83.23494384</v>
      </c>
      <c r="D1117">
        <f t="shared" si="40"/>
        <v>1306.7650561600001</v>
      </c>
    </row>
    <row r="1118" spans="1:4">
      <c r="A1118">
        <v>1117</v>
      </c>
      <c r="B1118">
        <v>1928</v>
      </c>
      <c r="C1118">
        <f t="shared" si="39"/>
        <v>83.079815209999992</v>
      </c>
      <c r="D1118">
        <f t="shared" si="40"/>
        <v>1844.9201847899999</v>
      </c>
    </row>
    <row r="1119" spans="1:4">
      <c r="A1119">
        <v>1118</v>
      </c>
      <c r="B1119">
        <v>3343</v>
      </c>
      <c r="C1119">
        <f t="shared" si="39"/>
        <v>82.924384359999976</v>
      </c>
      <c r="D1119">
        <f t="shared" si="40"/>
        <v>3260.0756156400003</v>
      </c>
    </row>
    <row r="1120" spans="1:4">
      <c r="A1120">
        <v>1119</v>
      </c>
      <c r="B1120">
        <v>6455</v>
      </c>
      <c r="C1120">
        <f t="shared" si="39"/>
        <v>82.76865128999998</v>
      </c>
      <c r="D1120">
        <f t="shared" si="40"/>
        <v>6372.23134871</v>
      </c>
    </row>
    <row r="1121" spans="1:7">
      <c r="A1121">
        <v>1120</v>
      </c>
      <c r="B1121">
        <v>10484</v>
      </c>
      <c r="C1121">
        <f t="shared" si="39"/>
        <v>82.612615999999974</v>
      </c>
      <c r="D1121">
        <f t="shared" si="40"/>
        <v>10401.387384</v>
      </c>
    </row>
    <row r="1122" spans="1:7" ht="17.25">
      <c r="A1122">
        <v>1121</v>
      </c>
      <c r="B1122">
        <v>12702</v>
      </c>
      <c r="C1122">
        <f t="shared" si="39"/>
        <v>82.45627848999996</v>
      </c>
      <c r="D1122">
        <f t="shared" si="40"/>
        <v>12619.543721509999</v>
      </c>
      <c r="F1122">
        <v>1121</v>
      </c>
      <c r="G1122" t="s">
        <v>30</v>
      </c>
    </row>
    <row r="1123" spans="1:7">
      <c r="A1123">
        <v>1122</v>
      </c>
      <c r="B1123">
        <v>11214</v>
      </c>
      <c r="C1123">
        <f t="shared" si="39"/>
        <v>82.299638759999993</v>
      </c>
      <c r="D1123">
        <f t="shared" si="40"/>
        <v>11131.70036124</v>
      </c>
    </row>
    <row r="1124" spans="1:7">
      <c r="A1124">
        <v>1123</v>
      </c>
      <c r="B1124">
        <v>6940</v>
      </c>
      <c r="C1124">
        <f t="shared" si="39"/>
        <v>82.142696809999961</v>
      </c>
      <c r="D1124">
        <f t="shared" si="40"/>
        <v>6857.8573031899996</v>
      </c>
    </row>
    <row r="1125" spans="1:7">
      <c r="A1125">
        <v>1124</v>
      </c>
      <c r="B1125">
        <v>3352</v>
      </c>
      <c r="C1125">
        <f t="shared" si="39"/>
        <v>81.985452639999949</v>
      </c>
      <c r="D1125">
        <f t="shared" si="40"/>
        <v>3270.0145473600001</v>
      </c>
    </row>
    <row r="1126" spans="1:7">
      <c r="A1126">
        <v>1125</v>
      </c>
      <c r="B1126">
        <v>1481</v>
      </c>
      <c r="C1126">
        <f t="shared" si="39"/>
        <v>81.827906249999984</v>
      </c>
      <c r="D1126">
        <f t="shared" si="40"/>
        <v>1399.1720937499999</v>
      </c>
    </row>
    <row r="1127" spans="1:7">
      <c r="A1127">
        <v>1126</v>
      </c>
      <c r="B1127">
        <v>781</v>
      </c>
      <c r="C1127">
        <f t="shared" si="39"/>
        <v>81.670057639999953</v>
      </c>
      <c r="D1127">
        <f t="shared" si="40"/>
        <v>699.32994236000002</v>
      </c>
    </row>
    <row r="1128" spans="1:7">
      <c r="A1128">
        <v>1127</v>
      </c>
      <c r="B1128">
        <v>546</v>
      </c>
      <c r="C1128">
        <f t="shared" si="39"/>
        <v>81.511906809999999</v>
      </c>
      <c r="D1128">
        <f t="shared" si="40"/>
        <v>464.48809318999997</v>
      </c>
    </row>
    <row r="1129" spans="1:7">
      <c r="A1129">
        <v>1128</v>
      </c>
      <c r="B1129">
        <v>449</v>
      </c>
      <c r="C1129">
        <f t="shared" si="39"/>
        <v>81.353453760000008</v>
      </c>
      <c r="D1129">
        <f t="shared" si="40"/>
        <v>367.64654624000002</v>
      </c>
    </row>
    <row r="1130" spans="1:7">
      <c r="A1130">
        <v>1129</v>
      </c>
      <c r="B1130">
        <v>423</v>
      </c>
      <c r="C1130">
        <f t="shared" si="39"/>
        <v>81.194698489999979</v>
      </c>
      <c r="D1130">
        <f t="shared" si="40"/>
        <v>341.80530151000005</v>
      </c>
    </row>
    <row r="1131" spans="1:7">
      <c r="A1131">
        <v>1130</v>
      </c>
      <c r="B1131">
        <v>371</v>
      </c>
      <c r="C1131">
        <f t="shared" si="39"/>
        <v>81.035640999999998</v>
      </c>
      <c r="D1131">
        <f t="shared" si="40"/>
        <v>289.964359</v>
      </c>
    </row>
    <row r="1132" spans="1:7">
      <c r="A1132">
        <v>1131</v>
      </c>
      <c r="B1132">
        <v>280</v>
      </c>
      <c r="C1132">
        <f t="shared" si="39"/>
        <v>80.87628128999998</v>
      </c>
      <c r="D1132">
        <f t="shared" si="40"/>
        <v>199.12371871000002</v>
      </c>
    </row>
    <row r="1133" spans="1:7">
      <c r="A1133">
        <v>1132</v>
      </c>
      <c r="B1133">
        <v>214</v>
      </c>
      <c r="C1133">
        <f t="shared" si="39"/>
        <v>80.716619359999981</v>
      </c>
      <c r="D1133">
        <f t="shared" si="40"/>
        <v>133.28338064000002</v>
      </c>
    </row>
    <row r="1134" spans="1:7">
      <c r="A1134">
        <v>1133</v>
      </c>
      <c r="B1134">
        <v>169</v>
      </c>
      <c r="C1134">
        <f t="shared" si="39"/>
        <v>80.556655210000002</v>
      </c>
      <c r="D1134">
        <f t="shared" si="40"/>
        <v>88.443344789999998</v>
      </c>
    </row>
    <row r="1135" spans="1:7">
      <c r="A1135">
        <v>1134</v>
      </c>
      <c r="B1135">
        <v>151</v>
      </c>
      <c r="C1135">
        <f t="shared" si="39"/>
        <v>80.396388839999986</v>
      </c>
      <c r="D1135">
        <f t="shared" si="40"/>
        <v>70.603611160000014</v>
      </c>
    </row>
    <row r="1136" spans="1:7">
      <c r="A1136">
        <v>1135</v>
      </c>
      <c r="B1136">
        <v>144</v>
      </c>
      <c r="C1136">
        <f t="shared" si="39"/>
        <v>80.235820249999961</v>
      </c>
      <c r="D1136">
        <f t="shared" si="40"/>
        <v>63.764179750000039</v>
      </c>
    </row>
    <row r="1137" spans="1:7">
      <c r="A1137">
        <v>1136</v>
      </c>
      <c r="B1137">
        <v>153</v>
      </c>
      <c r="C1137">
        <f t="shared" si="39"/>
        <v>80.074949439999983</v>
      </c>
      <c r="D1137">
        <f t="shared" si="40"/>
        <v>72.925050560000017</v>
      </c>
    </row>
    <row r="1138" spans="1:7">
      <c r="A1138">
        <v>1137</v>
      </c>
      <c r="B1138">
        <v>152</v>
      </c>
      <c r="C1138">
        <f t="shared" si="39"/>
        <v>79.913776409999969</v>
      </c>
      <c r="D1138">
        <f t="shared" si="40"/>
        <v>72.086223590000031</v>
      </c>
    </row>
    <row r="1139" spans="1:7">
      <c r="A1139">
        <v>1138</v>
      </c>
      <c r="B1139">
        <v>157</v>
      </c>
      <c r="C1139">
        <f t="shared" si="39"/>
        <v>79.752301159999945</v>
      </c>
      <c r="D1139">
        <f t="shared" si="40"/>
        <v>77.247698840000055</v>
      </c>
    </row>
    <row r="1140" spans="1:7">
      <c r="A1140">
        <v>1139</v>
      </c>
      <c r="B1140">
        <v>148</v>
      </c>
      <c r="C1140">
        <f t="shared" si="39"/>
        <v>79.590523689999969</v>
      </c>
      <c r="D1140">
        <f t="shared" si="40"/>
        <v>68.409476310000031</v>
      </c>
    </row>
    <row r="1141" spans="1:7">
      <c r="A1141">
        <v>1140</v>
      </c>
      <c r="B1141">
        <v>145</v>
      </c>
      <c r="C1141">
        <f t="shared" si="39"/>
        <v>79.428443999999956</v>
      </c>
      <c r="D1141">
        <f t="shared" si="40"/>
        <v>65.571556000000044</v>
      </c>
    </row>
    <row r="1142" spans="1:7">
      <c r="A1142">
        <v>1141</v>
      </c>
      <c r="B1142">
        <v>170</v>
      </c>
      <c r="C1142">
        <f t="shared" si="39"/>
        <v>79.266062089999991</v>
      </c>
      <c r="D1142">
        <f t="shared" si="40"/>
        <v>90.733937910000009</v>
      </c>
    </row>
    <row r="1143" spans="1:7">
      <c r="A1143">
        <v>1142</v>
      </c>
      <c r="B1143">
        <v>264</v>
      </c>
      <c r="C1143">
        <f t="shared" si="39"/>
        <v>79.103377959999989</v>
      </c>
      <c r="D1143">
        <f t="shared" si="40"/>
        <v>184.89662204000001</v>
      </c>
    </row>
    <row r="1144" spans="1:7">
      <c r="A1144">
        <v>1143</v>
      </c>
      <c r="B1144">
        <v>416</v>
      </c>
      <c r="C1144">
        <f t="shared" si="39"/>
        <v>78.940391609999978</v>
      </c>
      <c r="D1144">
        <f t="shared" si="40"/>
        <v>337.05960838999999</v>
      </c>
    </row>
    <row r="1145" spans="1:7" ht="17.25">
      <c r="A1145">
        <v>1144</v>
      </c>
      <c r="B1145">
        <v>539</v>
      </c>
      <c r="C1145">
        <f t="shared" si="39"/>
        <v>78.777103040000014</v>
      </c>
      <c r="D1145">
        <f t="shared" si="40"/>
        <v>460.22289695999996</v>
      </c>
      <c r="F1145">
        <v>1144.5</v>
      </c>
      <c r="G1145" t="s">
        <v>31</v>
      </c>
    </row>
    <row r="1146" spans="1:7">
      <c r="A1146">
        <v>1145</v>
      </c>
      <c r="B1146">
        <v>545</v>
      </c>
      <c r="C1146">
        <f t="shared" si="39"/>
        <v>78.613512249999985</v>
      </c>
      <c r="D1146">
        <f t="shared" si="40"/>
        <v>466.38648775000001</v>
      </c>
    </row>
    <row r="1147" spans="1:7">
      <c r="A1147">
        <v>1146</v>
      </c>
      <c r="B1147">
        <v>440</v>
      </c>
      <c r="C1147">
        <f t="shared" si="39"/>
        <v>78.449619239999976</v>
      </c>
      <c r="D1147">
        <f t="shared" si="40"/>
        <v>361.55038076000005</v>
      </c>
    </row>
    <row r="1148" spans="1:7">
      <c r="A1148">
        <v>1147</v>
      </c>
      <c r="B1148">
        <v>258</v>
      </c>
      <c r="C1148">
        <f t="shared" si="39"/>
        <v>78.285424009999986</v>
      </c>
      <c r="D1148">
        <f t="shared" si="40"/>
        <v>179.71457599000001</v>
      </c>
    </row>
    <row r="1149" spans="1:7">
      <c r="A1149">
        <v>1148</v>
      </c>
      <c r="B1149">
        <v>165</v>
      </c>
      <c r="C1149">
        <f t="shared" si="39"/>
        <v>78.120926559999987</v>
      </c>
      <c r="D1149">
        <f t="shared" si="40"/>
        <v>86.879073440000013</v>
      </c>
    </row>
    <row r="1150" spans="1:7">
      <c r="A1150">
        <v>1149</v>
      </c>
      <c r="B1150">
        <v>118</v>
      </c>
      <c r="C1150">
        <f t="shared" si="39"/>
        <v>77.956126889999979</v>
      </c>
      <c r="D1150">
        <f t="shared" si="40"/>
        <v>40.043873110000021</v>
      </c>
    </row>
    <row r="1151" spans="1:7">
      <c r="A1151">
        <v>1150</v>
      </c>
      <c r="B1151">
        <v>106</v>
      </c>
      <c r="C1151">
        <f t="shared" si="39"/>
        <v>77.791024999999991</v>
      </c>
      <c r="D1151">
        <f t="shared" si="40"/>
        <v>28.208975000000009</v>
      </c>
    </row>
    <row r="1152" spans="1:7">
      <c r="A1152">
        <v>1151</v>
      </c>
      <c r="B1152">
        <v>96</v>
      </c>
      <c r="C1152">
        <f t="shared" si="39"/>
        <v>77.625620889999965</v>
      </c>
      <c r="D1152">
        <f t="shared" si="40"/>
        <v>18.374379110000035</v>
      </c>
    </row>
    <row r="1153" spans="1:4">
      <c r="A1153">
        <v>1152</v>
      </c>
      <c r="B1153">
        <v>105</v>
      </c>
      <c r="C1153">
        <f t="shared" si="39"/>
        <v>77.459914559999959</v>
      </c>
      <c r="D1153">
        <f t="shared" si="40"/>
        <v>27.540085440000041</v>
      </c>
    </row>
    <row r="1154" spans="1:4">
      <c r="A1154">
        <v>1153</v>
      </c>
      <c r="B1154">
        <v>121</v>
      </c>
      <c r="C1154">
        <f t="shared" ref="C1154:C1217" si="41" xml:space="preserve"> -0.00015111*A1154*A1154 + 0.1823*A1154 + 67.989</f>
        <v>77.293906009999972</v>
      </c>
      <c r="D1154">
        <f t="shared" ref="D1154:D1217" si="42">B1154-C1154</f>
        <v>43.706093990000028</v>
      </c>
    </row>
    <row r="1155" spans="1:4">
      <c r="A1155">
        <v>1154</v>
      </c>
      <c r="B1155">
        <v>123</v>
      </c>
      <c r="C1155">
        <f t="shared" si="41"/>
        <v>77.127595240000005</v>
      </c>
      <c r="D1155">
        <f t="shared" si="42"/>
        <v>45.872404759999995</v>
      </c>
    </row>
    <row r="1156" spans="1:4">
      <c r="A1156">
        <v>1155</v>
      </c>
      <c r="B1156">
        <v>123</v>
      </c>
      <c r="C1156">
        <f t="shared" si="41"/>
        <v>76.960982249999972</v>
      </c>
      <c r="D1156">
        <f t="shared" si="42"/>
        <v>46.039017750000028</v>
      </c>
    </row>
    <row r="1157" spans="1:4">
      <c r="A1157">
        <v>1156</v>
      </c>
      <c r="B1157">
        <v>110</v>
      </c>
      <c r="C1157">
        <f t="shared" si="41"/>
        <v>76.794067039999987</v>
      </c>
      <c r="D1157">
        <f t="shared" si="42"/>
        <v>33.205932960000013</v>
      </c>
    </row>
    <row r="1158" spans="1:4">
      <c r="A1158">
        <v>1157</v>
      </c>
      <c r="B1158">
        <v>98</v>
      </c>
      <c r="C1158">
        <f t="shared" si="41"/>
        <v>76.626849609999994</v>
      </c>
      <c r="D1158">
        <f t="shared" si="42"/>
        <v>21.373150390000006</v>
      </c>
    </row>
    <row r="1159" spans="1:4">
      <c r="A1159">
        <v>1158</v>
      </c>
      <c r="B1159">
        <v>103</v>
      </c>
      <c r="C1159">
        <f t="shared" si="41"/>
        <v>76.459329959999991</v>
      </c>
      <c r="D1159">
        <f t="shared" si="42"/>
        <v>26.540670040000009</v>
      </c>
    </row>
    <row r="1160" spans="1:4">
      <c r="A1160">
        <v>1159</v>
      </c>
      <c r="B1160">
        <v>70</v>
      </c>
      <c r="C1160">
        <f t="shared" si="41"/>
        <v>76.291508089999979</v>
      </c>
      <c r="D1160">
        <f t="shared" si="42"/>
        <v>-6.2915080899999793</v>
      </c>
    </row>
    <row r="1161" spans="1:4">
      <c r="A1161">
        <v>1160</v>
      </c>
      <c r="B1161">
        <v>92</v>
      </c>
      <c r="C1161">
        <f t="shared" si="41"/>
        <v>76.123383999999987</v>
      </c>
      <c r="D1161">
        <f t="shared" si="42"/>
        <v>15.876616000000013</v>
      </c>
    </row>
    <row r="1162" spans="1:4">
      <c r="A1162">
        <v>1161</v>
      </c>
      <c r="B1162">
        <v>97</v>
      </c>
      <c r="C1162">
        <f t="shared" si="41"/>
        <v>75.954957689999986</v>
      </c>
      <c r="D1162">
        <f t="shared" si="42"/>
        <v>21.045042310000014</v>
      </c>
    </row>
    <row r="1163" spans="1:4">
      <c r="A1163">
        <v>1162</v>
      </c>
      <c r="B1163">
        <v>83</v>
      </c>
      <c r="C1163">
        <f t="shared" si="41"/>
        <v>75.786229159999976</v>
      </c>
      <c r="D1163">
        <f t="shared" si="42"/>
        <v>7.2137708400000236</v>
      </c>
    </row>
    <row r="1164" spans="1:4">
      <c r="A1164">
        <v>1163</v>
      </c>
      <c r="B1164">
        <v>84</v>
      </c>
      <c r="C1164">
        <f t="shared" si="41"/>
        <v>75.617198409999958</v>
      </c>
      <c r="D1164">
        <f t="shared" si="42"/>
        <v>8.3828015900000423</v>
      </c>
    </row>
    <row r="1165" spans="1:4">
      <c r="A1165">
        <v>1164</v>
      </c>
      <c r="B1165">
        <v>78</v>
      </c>
      <c r="C1165">
        <f t="shared" si="41"/>
        <v>75.447865439999987</v>
      </c>
      <c r="D1165">
        <f t="shared" si="42"/>
        <v>2.5521345600000132</v>
      </c>
    </row>
    <row r="1166" spans="1:4">
      <c r="A1166">
        <v>1165</v>
      </c>
      <c r="B1166">
        <v>68</v>
      </c>
      <c r="C1166">
        <f t="shared" si="41"/>
        <v>75.278230249999979</v>
      </c>
      <c r="D1166">
        <f t="shared" si="42"/>
        <v>-7.2782302499999787</v>
      </c>
    </row>
    <row r="1167" spans="1:4">
      <c r="A1167">
        <v>1166</v>
      </c>
      <c r="B1167">
        <v>87</v>
      </c>
      <c r="C1167">
        <f t="shared" si="41"/>
        <v>75.108292839999962</v>
      </c>
      <c r="D1167">
        <f t="shared" si="42"/>
        <v>11.891707160000038</v>
      </c>
    </row>
    <row r="1168" spans="1:4">
      <c r="A1168">
        <v>1167</v>
      </c>
      <c r="B1168">
        <v>101</v>
      </c>
      <c r="C1168">
        <f t="shared" si="41"/>
        <v>74.938053209999964</v>
      </c>
      <c r="D1168">
        <f t="shared" si="42"/>
        <v>26.061946790000036</v>
      </c>
    </row>
    <row r="1169" spans="1:7">
      <c r="A1169">
        <v>1168</v>
      </c>
      <c r="B1169">
        <v>121</v>
      </c>
      <c r="C1169">
        <f t="shared" si="41"/>
        <v>74.767511359999986</v>
      </c>
      <c r="D1169">
        <f t="shared" si="42"/>
        <v>46.232488640000014</v>
      </c>
    </row>
    <row r="1170" spans="1:7">
      <c r="A1170">
        <v>1169</v>
      </c>
      <c r="B1170">
        <v>162</v>
      </c>
      <c r="C1170">
        <f t="shared" si="41"/>
        <v>74.596667289999971</v>
      </c>
      <c r="D1170">
        <f t="shared" si="42"/>
        <v>87.403332710000029</v>
      </c>
    </row>
    <row r="1171" spans="1:7">
      <c r="A1171">
        <v>1170</v>
      </c>
      <c r="B1171">
        <v>249</v>
      </c>
      <c r="C1171">
        <f t="shared" si="41"/>
        <v>74.425521000000003</v>
      </c>
      <c r="D1171">
        <f t="shared" si="42"/>
        <v>174.574479</v>
      </c>
    </row>
    <row r="1172" spans="1:7">
      <c r="A1172">
        <v>1171</v>
      </c>
      <c r="B1172">
        <v>348</v>
      </c>
      <c r="C1172">
        <f t="shared" si="41"/>
        <v>74.25407248999997</v>
      </c>
      <c r="D1172">
        <f t="shared" si="42"/>
        <v>273.74592751</v>
      </c>
    </row>
    <row r="1173" spans="1:7">
      <c r="A1173">
        <v>1172</v>
      </c>
      <c r="B1173">
        <v>446</v>
      </c>
      <c r="C1173">
        <f t="shared" si="41"/>
        <v>74.082321759999957</v>
      </c>
      <c r="D1173">
        <f t="shared" si="42"/>
        <v>371.91767824000004</v>
      </c>
    </row>
    <row r="1174" spans="1:7">
      <c r="A1174">
        <v>1173</v>
      </c>
      <c r="B1174">
        <v>416</v>
      </c>
      <c r="C1174">
        <f t="shared" si="41"/>
        <v>73.910268809999991</v>
      </c>
      <c r="D1174">
        <f t="shared" si="42"/>
        <v>342.08973119000001</v>
      </c>
    </row>
    <row r="1175" spans="1:7">
      <c r="A1175">
        <v>1174</v>
      </c>
      <c r="B1175">
        <v>309</v>
      </c>
      <c r="C1175">
        <f t="shared" si="41"/>
        <v>73.737913639999988</v>
      </c>
      <c r="D1175">
        <f t="shared" si="42"/>
        <v>235.26208636000001</v>
      </c>
    </row>
    <row r="1176" spans="1:7">
      <c r="A1176">
        <v>1175</v>
      </c>
      <c r="B1176">
        <v>210</v>
      </c>
      <c r="C1176">
        <f t="shared" si="41"/>
        <v>73.565256250000004</v>
      </c>
      <c r="D1176">
        <f t="shared" si="42"/>
        <v>136.43474375</v>
      </c>
    </row>
    <row r="1177" spans="1:7">
      <c r="A1177">
        <v>1176</v>
      </c>
      <c r="B1177">
        <v>172</v>
      </c>
      <c r="C1177">
        <f t="shared" si="41"/>
        <v>73.392296639999984</v>
      </c>
      <c r="D1177">
        <f t="shared" si="42"/>
        <v>98.607703360000016</v>
      </c>
    </row>
    <row r="1178" spans="1:7">
      <c r="A1178">
        <v>1177</v>
      </c>
      <c r="B1178">
        <v>174</v>
      </c>
      <c r="C1178">
        <f t="shared" si="41"/>
        <v>73.219034809999954</v>
      </c>
      <c r="D1178">
        <f t="shared" si="42"/>
        <v>100.78096519000005</v>
      </c>
    </row>
    <row r="1179" spans="1:7">
      <c r="A1179">
        <v>1178</v>
      </c>
      <c r="B1179">
        <v>282</v>
      </c>
      <c r="C1179">
        <f t="shared" si="41"/>
        <v>73.045470759999972</v>
      </c>
      <c r="D1179">
        <f t="shared" si="42"/>
        <v>208.95452924000003</v>
      </c>
    </row>
    <row r="1180" spans="1:7">
      <c r="A1180">
        <v>1179</v>
      </c>
      <c r="B1180">
        <v>473</v>
      </c>
      <c r="C1180">
        <f t="shared" si="41"/>
        <v>72.871604489999982</v>
      </c>
      <c r="D1180">
        <f t="shared" si="42"/>
        <v>400.12839551000002</v>
      </c>
    </row>
    <row r="1181" spans="1:7">
      <c r="A1181">
        <v>1180</v>
      </c>
      <c r="B1181">
        <v>723</v>
      </c>
      <c r="C1181">
        <f t="shared" si="41"/>
        <v>72.697435999999954</v>
      </c>
      <c r="D1181">
        <f t="shared" si="42"/>
        <v>650.30256400000007</v>
      </c>
    </row>
    <row r="1182" spans="1:7" ht="17.25">
      <c r="A1182">
        <v>1181</v>
      </c>
      <c r="B1182">
        <v>823</v>
      </c>
      <c r="C1182">
        <f t="shared" si="41"/>
        <v>72.522965289999973</v>
      </c>
      <c r="D1182">
        <f t="shared" si="42"/>
        <v>750.47703471</v>
      </c>
      <c r="F1182">
        <v>1181</v>
      </c>
      <c r="G1182" t="s">
        <v>32</v>
      </c>
    </row>
    <row r="1183" spans="1:7">
      <c r="A1183">
        <v>1182</v>
      </c>
      <c r="B1183">
        <v>699</v>
      </c>
      <c r="C1183">
        <f t="shared" si="41"/>
        <v>72.348192359999985</v>
      </c>
      <c r="D1183">
        <f t="shared" si="42"/>
        <v>626.65180764000002</v>
      </c>
    </row>
    <row r="1184" spans="1:7">
      <c r="A1184">
        <v>1183</v>
      </c>
      <c r="B1184">
        <v>415</v>
      </c>
      <c r="C1184">
        <f t="shared" si="41"/>
        <v>72.173117209999987</v>
      </c>
      <c r="D1184">
        <f t="shared" si="42"/>
        <v>342.82688279000001</v>
      </c>
    </row>
    <row r="1185" spans="1:4">
      <c r="A1185">
        <v>1184</v>
      </c>
      <c r="B1185">
        <v>227</v>
      </c>
      <c r="C1185">
        <f t="shared" si="41"/>
        <v>71.997739840000008</v>
      </c>
      <c r="D1185">
        <f t="shared" si="42"/>
        <v>155.00226015999999</v>
      </c>
    </row>
    <row r="1186" spans="1:4">
      <c r="A1186">
        <v>1185</v>
      </c>
      <c r="B1186">
        <v>124</v>
      </c>
      <c r="C1186">
        <f t="shared" si="41"/>
        <v>71.822060249999993</v>
      </c>
      <c r="D1186">
        <f t="shared" si="42"/>
        <v>52.177939750000007</v>
      </c>
    </row>
    <row r="1187" spans="1:4">
      <c r="A1187">
        <v>1186</v>
      </c>
      <c r="B1187">
        <v>105</v>
      </c>
      <c r="C1187">
        <f t="shared" si="41"/>
        <v>71.646078439999968</v>
      </c>
      <c r="D1187">
        <f t="shared" si="42"/>
        <v>33.353921560000032</v>
      </c>
    </row>
    <row r="1188" spans="1:4">
      <c r="A1188">
        <v>1187</v>
      </c>
      <c r="B1188">
        <v>110</v>
      </c>
      <c r="C1188">
        <f t="shared" si="41"/>
        <v>71.469794409999992</v>
      </c>
      <c r="D1188">
        <f t="shared" si="42"/>
        <v>38.530205590000008</v>
      </c>
    </row>
    <row r="1189" spans="1:4">
      <c r="A1189">
        <v>1188</v>
      </c>
      <c r="B1189">
        <v>121</v>
      </c>
      <c r="C1189">
        <f t="shared" si="41"/>
        <v>71.293208159999978</v>
      </c>
      <c r="D1189">
        <f t="shared" si="42"/>
        <v>49.706791840000022</v>
      </c>
    </row>
    <row r="1190" spans="1:4">
      <c r="A1190">
        <v>1189</v>
      </c>
      <c r="B1190">
        <v>126</v>
      </c>
      <c r="C1190">
        <f t="shared" si="41"/>
        <v>71.116319689999955</v>
      </c>
      <c r="D1190">
        <f t="shared" si="42"/>
        <v>54.883680310000045</v>
      </c>
    </row>
    <row r="1191" spans="1:4">
      <c r="A1191">
        <v>1190</v>
      </c>
      <c r="B1191">
        <v>135</v>
      </c>
      <c r="C1191">
        <f t="shared" si="41"/>
        <v>70.93912899999998</v>
      </c>
      <c r="D1191">
        <f t="shared" si="42"/>
        <v>64.06087100000002</v>
      </c>
    </row>
    <row r="1192" spans="1:4">
      <c r="A1192">
        <v>1191</v>
      </c>
      <c r="B1192">
        <v>121</v>
      </c>
      <c r="C1192">
        <f t="shared" si="41"/>
        <v>70.761636089999968</v>
      </c>
      <c r="D1192">
        <f t="shared" si="42"/>
        <v>50.238363910000032</v>
      </c>
    </row>
    <row r="1193" spans="1:4">
      <c r="A1193">
        <v>1192</v>
      </c>
      <c r="B1193">
        <v>125</v>
      </c>
      <c r="C1193">
        <f t="shared" si="41"/>
        <v>70.583840959999975</v>
      </c>
      <c r="D1193">
        <f t="shared" si="42"/>
        <v>54.416159040000025</v>
      </c>
    </row>
    <row r="1194" spans="1:4">
      <c r="A1194">
        <v>1193</v>
      </c>
      <c r="B1194">
        <v>139</v>
      </c>
      <c r="C1194">
        <f t="shared" si="41"/>
        <v>70.405743609999973</v>
      </c>
      <c r="D1194">
        <f t="shared" si="42"/>
        <v>68.594256390000027</v>
      </c>
    </row>
    <row r="1195" spans="1:4">
      <c r="A1195">
        <v>1194</v>
      </c>
      <c r="B1195">
        <v>164</v>
      </c>
      <c r="C1195">
        <f t="shared" si="41"/>
        <v>70.227344039999963</v>
      </c>
      <c r="D1195">
        <f t="shared" si="42"/>
        <v>93.772655960000037</v>
      </c>
    </row>
    <row r="1196" spans="1:4">
      <c r="A1196">
        <v>1195</v>
      </c>
      <c r="B1196">
        <v>178</v>
      </c>
      <c r="C1196">
        <f t="shared" si="41"/>
        <v>70.04864225</v>
      </c>
      <c r="D1196">
        <f t="shared" si="42"/>
        <v>107.95135775</v>
      </c>
    </row>
    <row r="1197" spans="1:4">
      <c r="A1197">
        <v>1196</v>
      </c>
      <c r="B1197">
        <v>172</v>
      </c>
      <c r="C1197">
        <f t="shared" si="41"/>
        <v>69.86963824</v>
      </c>
      <c r="D1197">
        <f t="shared" si="42"/>
        <v>102.13036176</v>
      </c>
    </row>
    <row r="1198" spans="1:4">
      <c r="A1198">
        <v>1197</v>
      </c>
      <c r="B1198">
        <v>176</v>
      </c>
      <c r="C1198">
        <f t="shared" si="41"/>
        <v>69.690332009999992</v>
      </c>
      <c r="D1198">
        <f t="shared" si="42"/>
        <v>106.30966799000001</v>
      </c>
    </row>
    <row r="1199" spans="1:4">
      <c r="A1199">
        <v>1198</v>
      </c>
      <c r="B1199">
        <v>183</v>
      </c>
      <c r="C1199">
        <f t="shared" si="41"/>
        <v>69.510723560000002</v>
      </c>
      <c r="D1199">
        <f t="shared" si="42"/>
        <v>113.48927644</v>
      </c>
    </row>
    <row r="1200" spans="1:4">
      <c r="A1200">
        <v>1199</v>
      </c>
      <c r="B1200">
        <v>177</v>
      </c>
      <c r="C1200">
        <f t="shared" si="41"/>
        <v>69.330812889999976</v>
      </c>
      <c r="D1200">
        <f t="shared" si="42"/>
        <v>107.66918711000002</v>
      </c>
    </row>
    <row r="1201" spans="1:4">
      <c r="A1201">
        <v>1200</v>
      </c>
      <c r="B1201">
        <v>160</v>
      </c>
      <c r="C1201">
        <f t="shared" si="41"/>
        <v>69.150599999999969</v>
      </c>
      <c r="D1201">
        <f t="shared" si="42"/>
        <v>90.849400000000031</v>
      </c>
    </row>
    <row r="1202" spans="1:4">
      <c r="A1202">
        <v>1201</v>
      </c>
      <c r="B1202">
        <v>135</v>
      </c>
      <c r="C1202">
        <f t="shared" si="41"/>
        <v>68.970084889999981</v>
      </c>
      <c r="D1202">
        <f t="shared" si="42"/>
        <v>66.029915110000019</v>
      </c>
    </row>
    <row r="1203" spans="1:4">
      <c r="A1203">
        <v>1202</v>
      </c>
      <c r="B1203">
        <v>125</v>
      </c>
      <c r="C1203">
        <f t="shared" si="41"/>
        <v>68.789267559999985</v>
      </c>
      <c r="D1203">
        <f t="shared" si="42"/>
        <v>56.210732440000015</v>
      </c>
    </row>
    <row r="1204" spans="1:4">
      <c r="A1204">
        <v>1203</v>
      </c>
      <c r="B1204">
        <v>123</v>
      </c>
      <c r="C1204">
        <f t="shared" si="41"/>
        <v>68.608148009999951</v>
      </c>
      <c r="D1204">
        <f t="shared" si="42"/>
        <v>54.391851990000049</v>
      </c>
    </row>
    <row r="1205" spans="1:4">
      <c r="A1205">
        <v>1204</v>
      </c>
      <c r="B1205">
        <v>123</v>
      </c>
      <c r="C1205">
        <f t="shared" si="41"/>
        <v>68.426726239999994</v>
      </c>
      <c r="D1205">
        <f t="shared" si="42"/>
        <v>54.573273760000006</v>
      </c>
    </row>
    <row r="1206" spans="1:4">
      <c r="A1206">
        <v>1205</v>
      </c>
      <c r="B1206">
        <v>102</v>
      </c>
      <c r="C1206">
        <f t="shared" si="41"/>
        <v>68.24500224999997</v>
      </c>
      <c r="D1206">
        <f t="shared" si="42"/>
        <v>33.75499775000003</v>
      </c>
    </row>
    <row r="1207" spans="1:4">
      <c r="A1207">
        <v>1206</v>
      </c>
      <c r="B1207">
        <v>97</v>
      </c>
      <c r="C1207">
        <f t="shared" si="41"/>
        <v>68.062976039999995</v>
      </c>
      <c r="D1207">
        <f t="shared" si="42"/>
        <v>28.937023960000005</v>
      </c>
    </row>
    <row r="1208" spans="1:4">
      <c r="A1208">
        <v>1207</v>
      </c>
      <c r="B1208">
        <v>101</v>
      </c>
      <c r="C1208">
        <f t="shared" si="41"/>
        <v>67.880647609999983</v>
      </c>
      <c r="D1208">
        <f t="shared" si="42"/>
        <v>33.119352390000017</v>
      </c>
    </row>
    <row r="1209" spans="1:4">
      <c r="A1209">
        <v>1208</v>
      </c>
      <c r="B1209">
        <v>97</v>
      </c>
      <c r="C1209">
        <f t="shared" si="41"/>
        <v>67.698016959999961</v>
      </c>
      <c r="D1209">
        <f t="shared" si="42"/>
        <v>29.301983040000039</v>
      </c>
    </row>
    <row r="1210" spans="1:4">
      <c r="A1210">
        <v>1209</v>
      </c>
      <c r="B1210">
        <v>97</v>
      </c>
      <c r="C1210">
        <f t="shared" si="41"/>
        <v>67.515084090000016</v>
      </c>
      <c r="D1210">
        <f t="shared" si="42"/>
        <v>29.484915909999984</v>
      </c>
    </row>
    <row r="1211" spans="1:4">
      <c r="A1211">
        <v>1210</v>
      </c>
      <c r="B1211">
        <v>99</v>
      </c>
      <c r="C1211">
        <f t="shared" si="41"/>
        <v>67.331849000000005</v>
      </c>
      <c r="D1211">
        <f t="shared" si="42"/>
        <v>31.668150999999995</v>
      </c>
    </row>
    <row r="1212" spans="1:4">
      <c r="A1212">
        <v>1211</v>
      </c>
      <c r="B1212">
        <v>94</v>
      </c>
      <c r="C1212">
        <f t="shared" si="41"/>
        <v>67.148311689999986</v>
      </c>
      <c r="D1212">
        <f t="shared" si="42"/>
        <v>26.851688310000014</v>
      </c>
    </row>
    <row r="1213" spans="1:4">
      <c r="A1213">
        <v>1212</v>
      </c>
      <c r="B1213">
        <v>109</v>
      </c>
      <c r="C1213">
        <f t="shared" si="41"/>
        <v>66.964472159999985</v>
      </c>
      <c r="D1213">
        <f t="shared" si="42"/>
        <v>42.035527840000015</v>
      </c>
    </row>
    <row r="1214" spans="1:4">
      <c r="A1214">
        <v>1213</v>
      </c>
      <c r="B1214">
        <v>106</v>
      </c>
      <c r="C1214">
        <f t="shared" si="41"/>
        <v>66.780330409999976</v>
      </c>
      <c r="D1214">
        <f t="shared" si="42"/>
        <v>39.219669590000024</v>
      </c>
    </row>
    <row r="1215" spans="1:4">
      <c r="A1215">
        <v>1214</v>
      </c>
      <c r="B1215">
        <v>131</v>
      </c>
      <c r="C1215">
        <f t="shared" si="41"/>
        <v>66.595886439999958</v>
      </c>
      <c r="D1215">
        <f t="shared" si="42"/>
        <v>64.404113560000042</v>
      </c>
    </row>
    <row r="1216" spans="1:4">
      <c r="A1216">
        <v>1215</v>
      </c>
      <c r="B1216">
        <v>161</v>
      </c>
      <c r="C1216">
        <f t="shared" si="41"/>
        <v>66.411140249999988</v>
      </c>
      <c r="D1216">
        <f t="shared" si="42"/>
        <v>94.588859750000012</v>
      </c>
    </row>
    <row r="1217" spans="1:4">
      <c r="A1217">
        <v>1216</v>
      </c>
      <c r="B1217">
        <v>187</v>
      </c>
      <c r="C1217">
        <f t="shared" si="41"/>
        <v>66.226091839999981</v>
      </c>
      <c r="D1217">
        <f t="shared" si="42"/>
        <v>120.77390816000002</v>
      </c>
    </row>
    <row r="1218" spans="1:4">
      <c r="A1218">
        <v>1217</v>
      </c>
      <c r="B1218">
        <v>189</v>
      </c>
      <c r="C1218">
        <f t="shared" ref="C1218:C1281" si="43" xml:space="preserve"> -0.00015111*A1218*A1218 + 0.1823*A1218 + 67.989</f>
        <v>66.040741209999965</v>
      </c>
      <c r="D1218">
        <f t="shared" ref="D1218:D1281" si="44">B1218-C1218</f>
        <v>122.95925879000004</v>
      </c>
    </row>
    <row r="1219" spans="1:4">
      <c r="A1219">
        <v>1218</v>
      </c>
      <c r="B1219">
        <v>159</v>
      </c>
      <c r="C1219">
        <f t="shared" si="43"/>
        <v>65.855088359999968</v>
      </c>
      <c r="D1219">
        <f t="shared" si="44"/>
        <v>93.144911640000032</v>
      </c>
    </row>
    <row r="1220" spans="1:4">
      <c r="A1220">
        <v>1219</v>
      </c>
      <c r="B1220">
        <v>138</v>
      </c>
      <c r="C1220">
        <f t="shared" si="43"/>
        <v>65.669133289999962</v>
      </c>
      <c r="D1220">
        <f t="shared" si="44"/>
        <v>72.330866710000038</v>
      </c>
    </row>
    <row r="1221" spans="1:4">
      <c r="A1221">
        <v>1220</v>
      </c>
      <c r="B1221">
        <v>123</v>
      </c>
      <c r="C1221">
        <f t="shared" si="43"/>
        <v>65.482875999999948</v>
      </c>
      <c r="D1221">
        <f t="shared" si="44"/>
        <v>57.517124000000052</v>
      </c>
    </row>
    <row r="1222" spans="1:4">
      <c r="A1222">
        <v>1221</v>
      </c>
      <c r="B1222">
        <v>110</v>
      </c>
      <c r="C1222">
        <f t="shared" si="43"/>
        <v>65.296316489999981</v>
      </c>
      <c r="D1222">
        <f t="shared" si="44"/>
        <v>44.703683510000019</v>
      </c>
    </row>
    <row r="1223" spans="1:4">
      <c r="A1223">
        <v>1222</v>
      </c>
      <c r="B1223">
        <v>103</v>
      </c>
      <c r="C1223">
        <f t="shared" si="43"/>
        <v>65.109454759999977</v>
      </c>
      <c r="D1223">
        <f t="shared" si="44"/>
        <v>37.890545240000023</v>
      </c>
    </row>
    <row r="1224" spans="1:4">
      <c r="A1224">
        <v>1223</v>
      </c>
      <c r="B1224">
        <v>122</v>
      </c>
      <c r="C1224">
        <f t="shared" si="43"/>
        <v>64.922290809999993</v>
      </c>
      <c r="D1224">
        <f t="shared" si="44"/>
        <v>57.077709190000007</v>
      </c>
    </row>
    <row r="1225" spans="1:4">
      <c r="A1225">
        <v>1224</v>
      </c>
      <c r="B1225">
        <v>164</v>
      </c>
      <c r="C1225">
        <f t="shared" si="43"/>
        <v>64.734824639999999</v>
      </c>
      <c r="D1225">
        <f t="shared" si="44"/>
        <v>99.265175360000001</v>
      </c>
    </row>
    <row r="1226" spans="1:4">
      <c r="A1226">
        <v>1225</v>
      </c>
      <c r="B1226">
        <v>214</v>
      </c>
      <c r="C1226">
        <f t="shared" si="43"/>
        <v>64.547056249999969</v>
      </c>
      <c r="D1226">
        <f t="shared" si="44"/>
        <v>149.45294375000003</v>
      </c>
    </row>
    <row r="1227" spans="1:4">
      <c r="A1227">
        <v>1226</v>
      </c>
      <c r="B1227">
        <v>238</v>
      </c>
      <c r="C1227">
        <f t="shared" si="43"/>
        <v>64.358985639999986</v>
      </c>
      <c r="D1227">
        <f t="shared" si="44"/>
        <v>173.64101436000001</v>
      </c>
    </row>
    <row r="1228" spans="1:4">
      <c r="A1228">
        <v>1227</v>
      </c>
      <c r="B1228">
        <v>230</v>
      </c>
      <c r="C1228">
        <f t="shared" si="43"/>
        <v>64.170612809999994</v>
      </c>
      <c r="D1228">
        <f t="shared" si="44"/>
        <v>165.82938719000001</v>
      </c>
    </row>
    <row r="1229" spans="1:4">
      <c r="A1229">
        <v>1228</v>
      </c>
      <c r="B1229">
        <v>208</v>
      </c>
      <c r="C1229">
        <f t="shared" si="43"/>
        <v>63.981937759999965</v>
      </c>
      <c r="D1229">
        <f t="shared" si="44"/>
        <v>144.01806224000003</v>
      </c>
    </row>
    <row r="1230" spans="1:4">
      <c r="A1230">
        <v>1229</v>
      </c>
      <c r="B1230">
        <v>201</v>
      </c>
      <c r="C1230">
        <f t="shared" si="43"/>
        <v>63.792960489999984</v>
      </c>
      <c r="D1230">
        <f t="shared" si="44"/>
        <v>137.20703951000002</v>
      </c>
    </row>
    <row r="1231" spans="1:4">
      <c r="A1231">
        <v>1230</v>
      </c>
      <c r="B1231">
        <v>193</v>
      </c>
      <c r="C1231">
        <f t="shared" si="43"/>
        <v>63.603680999999966</v>
      </c>
      <c r="D1231">
        <f t="shared" si="44"/>
        <v>129.39631900000003</v>
      </c>
    </row>
    <row r="1232" spans="1:4">
      <c r="A1232">
        <v>1231</v>
      </c>
      <c r="B1232">
        <v>198</v>
      </c>
      <c r="C1232">
        <f t="shared" si="43"/>
        <v>63.414099289999967</v>
      </c>
      <c r="D1232">
        <f t="shared" si="44"/>
        <v>134.58590071000003</v>
      </c>
    </row>
    <row r="1233" spans="1:7">
      <c r="A1233">
        <v>1232</v>
      </c>
      <c r="B1233">
        <v>204</v>
      </c>
      <c r="C1233">
        <f t="shared" si="43"/>
        <v>63.224215359999988</v>
      </c>
      <c r="D1233">
        <f t="shared" si="44"/>
        <v>140.77578464000001</v>
      </c>
    </row>
    <row r="1234" spans="1:7">
      <c r="A1234">
        <v>1233</v>
      </c>
      <c r="B1234">
        <v>268</v>
      </c>
      <c r="C1234">
        <f t="shared" si="43"/>
        <v>63.034029209999971</v>
      </c>
      <c r="D1234">
        <f t="shared" si="44"/>
        <v>204.96597079000003</v>
      </c>
    </row>
    <row r="1235" spans="1:7">
      <c r="A1235">
        <v>1234</v>
      </c>
      <c r="B1235">
        <v>411</v>
      </c>
      <c r="C1235">
        <f t="shared" si="43"/>
        <v>62.843540839999946</v>
      </c>
      <c r="D1235">
        <f t="shared" si="44"/>
        <v>348.15645916000005</v>
      </c>
    </row>
    <row r="1236" spans="1:7">
      <c r="A1236">
        <v>1235</v>
      </c>
      <c r="B1236">
        <v>741</v>
      </c>
      <c r="C1236">
        <f t="shared" si="43"/>
        <v>62.652750249999968</v>
      </c>
      <c r="D1236">
        <f t="shared" si="44"/>
        <v>678.34724975000006</v>
      </c>
    </row>
    <row r="1237" spans="1:7">
      <c r="A1237">
        <v>1236</v>
      </c>
      <c r="B1237">
        <v>1720</v>
      </c>
      <c r="C1237">
        <f t="shared" si="43"/>
        <v>62.461657439999982</v>
      </c>
      <c r="D1237">
        <f t="shared" si="44"/>
        <v>1657.53834256</v>
      </c>
    </row>
    <row r="1238" spans="1:7">
      <c r="A1238">
        <v>1237</v>
      </c>
      <c r="B1238">
        <v>3530</v>
      </c>
      <c r="C1238">
        <f t="shared" si="43"/>
        <v>62.270262410000015</v>
      </c>
      <c r="D1238">
        <f t="shared" si="44"/>
        <v>3467.7297375899998</v>
      </c>
    </row>
    <row r="1239" spans="1:7">
      <c r="A1239">
        <v>1238</v>
      </c>
      <c r="B1239">
        <v>5554</v>
      </c>
      <c r="C1239">
        <f t="shared" si="43"/>
        <v>62.078565159999982</v>
      </c>
      <c r="D1239">
        <f t="shared" si="44"/>
        <v>5491.9214348400001</v>
      </c>
    </row>
    <row r="1240" spans="1:7" ht="17.25">
      <c r="A1240">
        <v>1239</v>
      </c>
      <c r="B1240">
        <v>6458</v>
      </c>
      <c r="C1240">
        <f t="shared" si="43"/>
        <v>61.886565689999969</v>
      </c>
      <c r="D1240">
        <f t="shared" si="44"/>
        <v>6396.1134343100002</v>
      </c>
      <c r="F1240">
        <v>1239</v>
      </c>
      <c r="G1240" t="s">
        <v>33</v>
      </c>
    </row>
    <row r="1241" spans="1:7">
      <c r="A1241">
        <v>1240</v>
      </c>
      <c r="B1241">
        <v>5408</v>
      </c>
      <c r="C1241">
        <f t="shared" si="43"/>
        <v>61.694264000000004</v>
      </c>
      <c r="D1241">
        <f t="shared" si="44"/>
        <v>5346.3057360000003</v>
      </c>
    </row>
    <row r="1242" spans="1:7">
      <c r="A1242">
        <v>1241</v>
      </c>
      <c r="B1242">
        <v>3272</v>
      </c>
      <c r="C1242">
        <f t="shared" si="43"/>
        <v>61.501660089999973</v>
      </c>
      <c r="D1242">
        <f t="shared" si="44"/>
        <v>3210.4983399100001</v>
      </c>
    </row>
    <row r="1243" spans="1:7">
      <c r="A1243">
        <v>1242</v>
      </c>
      <c r="B1243">
        <v>1834</v>
      </c>
      <c r="C1243">
        <f t="shared" si="43"/>
        <v>61.308753959999962</v>
      </c>
      <c r="D1243">
        <f t="shared" si="44"/>
        <v>1772.6912460400001</v>
      </c>
    </row>
    <row r="1244" spans="1:7">
      <c r="A1244">
        <v>1243</v>
      </c>
      <c r="B1244">
        <v>1532</v>
      </c>
      <c r="C1244">
        <f t="shared" si="43"/>
        <v>61.115545609999998</v>
      </c>
      <c r="D1244">
        <f t="shared" si="44"/>
        <v>1470.88445439</v>
      </c>
    </row>
    <row r="1245" spans="1:7">
      <c r="A1245">
        <v>1244</v>
      </c>
      <c r="B1245">
        <v>1725</v>
      </c>
      <c r="C1245">
        <f t="shared" si="43"/>
        <v>60.922035039999969</v>
      </c>
      <c r="D1245">
        <f t="shared" si="44"/>
        <v>1664.0779649599999</v>
      </c>
    </row>
    <row r="1246" spans="1:7">
      <c r="A1246">
        <v>1245</v>
      </c>
      <c r="B1246">
        <v>1810</v>
      </c>
      <c r="C1246">
        <f t="shared" si="43"/>
        <v>60.728222249999959</v>
      </c>
      <c r="D1246">
        <f t="shared" si="44"/>
        <v>1749.27177775</v>
      </c>
    </row>
    <row r="1247" spans="1:7">
      <c r="A1247">
        <v>1246</v>
      </c>
      <c r="B1247">
        <v>1526</v>
      </c>
      <c r="C1247">
        <f t="shared" si="43"/>
        <v>60.534107239999969</v>
      </c>
      <c r="D1247">
        <f t="shared" si="44"/>
        <v>1465.4658927600001</v>
      </c>
    </row>
    <row r="1248" spans="1:7">
      <c r="A1248">
        <v>1247</v>
      </c>
      <c r="B1248">
        <v>954</v>
      </c>
      <c r="C1248">
        <f t="shared" si="43"/>
        <v>60.33969000999997</v>
      </c>
      <c r="D1248">
        <f t="shared" si="44"/>
        <v>893.66030999000009</v>
      </c>
    </row>
    <row r="1249" spans="1:4">
      <c r="A1249">
        <v>1248</v>
      </c>
      <c r="B1249">
        <v>547</v>
      </c>
      <c r="C1249">
        <f t="shared" si="43"/>
        <v>60.144970559999962</v>
      </c>
      <c r="D1249">
        <f t="shared" si="44"/>
        <v>486.85502944000007</v>
      </c>
    </row>
    <row r="1250" spans="1:4">
      <c r="A1250">
        <v>1249</v>
      </c>
      <c r="B1250">
        <v>343</v>
      </c>
      <c r="C1250">
        <f t="shared" si="43"/>
        <v>59.949948889999973</v>
      </c>
      <c r="D1250">
        <f t="shared" si="44"/>
        <v>283.05005111000003</v>
      </c>
    </row>
    <row r="1251" spans="1:4">
      <c r="A1251">
        <v>1250</v>
      </c>
      <c r="B1251">
        <v>274</v>
      </c>
      <c r="C1251">
        <f t="shared" si="43"/>
        <v>59.754624999999976</v>
      </c>
      <c r="D1251">
        <f t="shared" si="44"/>
        <v>214.24537500000002</v>
      </c>
    </row>
    <row r="1252" spans="1:4">
      <c r="A1252">
        <v>1251</v>
      </c>
      <c r="B1252">
        <v>227</v>
      </c>
      <c r="C1252">
        <f t="shared" si="43"/>
        <v>59.55899888999997</v>
      </c>
      <c r="D1252">
        <f t="shared" si="44"/>
        <v>167.44100111000003</v>
      </c>
    </row>
    <row r="1253" spans="1:4">
      <c r="A1253">
        <v>1252</v>
      </c>
      <c r="B1253">
        <v>196</v>
      </c>
      <c r="C1253">
        <f t="shared" si="43"/>
        <v>59.363070559999983</v>
      </c>
      <c r="D1253">
        <f t="shared" si="44"/>
        <v>136.63692944000002</v>
      </c>
    </row>
    <row r="1254" spans="1:4">
      <c r="A1254">
        <v>1253</v>
      </c>
      <c r="B1254">
        <v>180</v>
      </c>
      <c r="C1254">
        <f t="shared" si="43"/>
        <v>59.166840009999987</v>
      </c>
      <c r="D1254">
        <f t="shared" si="44"/>
        <v>120.83315999000001</v>
      </c>
    </row>
    <row r="1255" spans="1:4">
      <c r="A1255">
        <v>1254</v>
      </c>
      <c r="B1255">
        <v>167</v>
      </c>
      <c r="C1255">
        <f t="shared" si="43"/>
        <v>58.970307240000011</v>
      </c>
      <c r="D1255">
        <f t="shared" si="44"/>
        <v>108.02969275999999</v>
      </c>
    </row>
    <row r="1256" spans="1:4">
      <c r="A1256">
        <v>1255</v>
      </c>
      <c r="B1256">
        <v>160</v>
      </c>
      <c r="C1256">
        <f t="shared" si="43"/>
        <v>58.773472249999998</v>
      </c>
      <c r="D1256">
        <f t="shared" si="44"/>
        <v>101.22652775</v>
      </c>
    </row>
    <row r="1257" spans="1:4">
      <c r="A1257">
        <v>1256</v>
      </c>
      <c r="B1257">
        <v>158</v>
      </c>
      <c r="C1257">
        <f t="shared" si="43"/>
        <v>58.576335039999975</v>
      </c>
      <c r="D1257">
        <f t="shared" si="44"/>
        <v>99.423664960000025</v>
      </c>
    </row>
    <row r="1258" spans="1:4">
      <c r="A1258">
        <v>1257</v>
      </c>
      <c r="B1258">
        <v>154</v>
      </c>
      <c r="C1258">
        <f t="shared" si="43"/>
        <v>58.378895610000001</v>
      </c>
      <c r="D1258">
        <f t="shared" si="44"/>
        <v>95.621104389999999</v>
      </c>
    </row>
    <row r="1259" spans="1:4">
      <c r="A1259">
        <v>1258</v>
      </c>
      <c r="B1259">
        <v>166</v>
      </c>
      <c r="C1259">
        <f t="shared" si="43"/>
        <v>58.181153959999989</v>
      </c>
      <c r="D1259">
        <f t="shared" si="44"/>
        <v>107.81884604000001</v>
      </c>
    </row>
    <row r="1260" spans="1:4">
      <c r="A1260">
        <v>1259</v>
      </c>
      <c r="B1260">
        <v>159</v>
      </c>
      <c r="C1260">
        <f t="shared" si="43"/>
        <v>57.983110089999968</v>
      </c>
      <c r="D1260">
        <f t="shared" si="44"/>
        <v>101.01688991000003</v>
      </c>
    </row>
    <row r="1261" spans="1:4">
      <c r="A1261">
        <v>1260</v>
      </c>
      <c r="B1261">
        <v>144</v>
      </c>
      <c r="C1261">
        <f t="shared" si="43"/>
        <v>57.784763999999996</v>
      </c>
      <c r="D1261">
        <f t="shared" si="44"/>
        <v>86.215236000000004</v>
      </c>
    </row>
    <row r="1262" spans="1:4">
      <c r="A1262">
        <v>1261</v>
      </c>
      <c r="B1262">
        <v>132</v>
      </c>
      <c r="C1262">
        <f t="shared" si="43"/>
        <v>57.586115689999957</v>
      </c>
      <c r="D1262">
        <f t="shared" si="44"/>
        <v>74.413884310000043</v>
      </c>
    </row>
    <row r="1263" spans="1:4">
      <c r="A1263">
        <v>1262</v>
      </c>
      <c r="B1263">
        <v>119</v>
      </c>
      <c r="C1263">
        <f t="shared" si="43"/>
        <v>57.387165159999967</v>
      </c>
      <c r="D1263">
        <f t="shared" si="44"/>
        <v>61.612834840000033</v>
      </c>
    </row>
    <row r="1264" spans="1:4">
      <c r="A1264">
        <v>1263</v>
      </c>
      <c r="B1264">
        <v>109</v>
      </c>
      <c r="C1264">
        <f t="shared" si="43"/>
        <v>57.187912409999996</v>
      </c>
      <c r="D1264">
        <f t="shared" si="44"/>
        <v>51.812087590000004</v>
      </c>
    </row>
    <row r="1265" spans="1:4">
      <c r="A1265">
        <v>1264</v>
      </c>
      <c r="B1265">
        <v>105</v>
      </c>
      <c r="C1265">
        <f t="shared" si="43"/>
        <v>56.988357439999987</v>
      </c>
      <c r="D1265">
        <f t="shared" si="44"/>
        <v>48.011642560000013</v>
      </c>
    </row>
    <row r="1266" spans="1:4">
      <c r="A1266">
        <v>1265</v>
      </c>
      <c r="B1266">
        <v>96</v>
      </c>
      <c r="C1266">
        <f t="shared" si="43"/>
        <v>56.78850024999997</v>
      </c>
      <c r="D1266">
        <f t="shared" si="44"/>
        <v>39.21149975000003</v>
      </c>
    </row>
    <row r="1267" spans="1:4">
      <c r="A1267">
        <v>1266</v>
      </c>
      <c r="B1267">
        <v>92</v>
      </c>
      <c r="C1267">
        <f t="shared" si="43"/>
        <v>56.588340840000001</v>
      </c>
      <c r="D1267">
        <f t="shared" si="44"/>
        <v>35.411659159999999</v>
      </c>
    </row>
    <row r="1268" spans="1:4">
      <c r="A1268">
        <v>1267</v>
      </c>
      <c r="B1268">
        <v>92</v>
      </c>
      <c r="C1268">
        <f t="shared" si="43"/>
        <v>56.387879209999966</v>
      </c>
      <c r="D1268">
        <f t="shared" si="44"/>
        <v>35.612120790000034</v>
      </c>
    </row>
    <row r="1269" spans="1:4">
      <c r="A1269">
        <v>1268</v>
      </c>
      <c r="B1269">
        <v>88</v>
      </c>
      <c r="C1269">
        <f t="shared" si="43"/>
        <v>56.18711535999995</v>
      </c>
      <c r="D1269">
        <f t="shared" si="44"/>
        <v>31.81288464000005</v>
      </c>
    </row>
    <row r="1270" spans="1:4">
      <c r="A1270">
        <v>1269</v>
      </c>
      <c r="B1270">
        <v>88</v>
      </c>
      <c r="C1270">
        <f t="shared" si="43"/>
        <v>55.986049289999983</v>
      </c>
      <c r="D1270">
        <f t="shared" si="44"/>
        <v>32.013950710000017</v>
      </c>
    </row>
    <row r="1271" spans="1:4">
      <c r="A1271">
        <v>1270</v>
      </c>
      <c r="B1271">
        <v>80</v>
      </c>
      <c r="C1271">
        <f t="shared" si="43"/>
        <v>55.784680999999978</v>
      </c>
      <c r="D1271">
        <f t="shared" si="44"/>
        <v>24.215319000000022</v>
      </c>
    </row>
    <row r="1272" spans="1:4">
      <c r="A1272">
        <v>1271</v>
      </c>
      <c r="B1272">
        <v>84</v>
      </c>
      <c r="C1272">
        <f t="shared" si="43"/>
        <v>55.583010489999992</v>
      </c>
      <c r="D1272">
        <f t="shared" si="44"/>
        <v>28.416989510000008</v>
      </c>
    </row>
    <row r="1273" spans="1:4">
      <c r="A1273">
        <v>1272</v>
      </c>
      <c r="B1273">
        <v>90</v>
      </c>
      <c r="C1273">
        <f t="shared" si="43"/>
        <v>55.38103775999997</v>
      </c>
      <c r="D1273">
        <f t="shared" si="44"/>
        <v>34.61896224000003</v>
      </c>
    </row>
    <row r="1274" spans="1:4">
      <c r="A1274">
        <v>1273</v>
      </c>
      <c r="B1274">
        <v>86</v>
      </c>
      <c r="C1274">
        <f t="shared" si="43"/>
        <v>55.178762809999967</v>
      </c>
      <c r="D1274">
        <f t="shared" si="44"/>
        <v>30.821237190000033</v>
      </c>
    </row>
    <row r="1275" spans="1:4">
      <c r="A1275">
        <v>1274</v>
      </c>
      <c r="B1275">
        <v>94</v>
      </c>
      <c r="C1275">
        <f t="shared" si="43"/>
        <v>54.976185639999983</v>
      </c>
      <c r="D1275">
        <f t="shared" si="44"/>
        <v>39.023814360000017</v>
      </c>
    </row>
    <row r="1276" spans="1:4">
      <c r="A1276">
        <v>1275</v>
      </c>
      <c r="B1276">
        <v>100</v>
      </c>
      <c r="C1276">
        <f t="shared" si="43"/>
        <v>54.773306249999962</v>
      </c>
      <c r="D1276">
        <f t="shared" si="44"/>
        <v>45.226693750000038</v>
      </c>
    </row>
    <row r="1277" spans="1:4">
      <c r="A1277">
        <v>1276</v>
      </c>
      <c r="B1277">
        <v>118</v>
      </c>
      <c r="C1277">
        <f t="shared" si="43"/>
        <v>54.57012463999996</v>
      </c>
      <c r="D1277">
        <f t="shared" si="44"/>
        <v>63.42987536000004</v>
      </c>
    </row>
    <row r="1278" spans="1:4">
      <c r="A1278">
        <v>1277</v>
      </c>
      <c r="B1278">
        <v>125</v>
      </c>
      <c r="C1278">
        <f t="shared" si="43"/>
        <v>54.366640810000007</v>
      </c>
      <c r="D1278">
        <f t="shared" si="44"/>
        <v>70.633359189999993</v>
      </c>
    </row>
    <row r="1279" spans="1:4">
      <c r="A1279">
        <v>1278</v>
      </c>
      <c r="B1279">
        <v>122</v>
      </c>
      <c r="C1279">
        <f t="shared" si="43"/>
        <v>54.162854759999988</v>
      </c>
      <c r="D1279">
        <f t="shared" si="44"/>
        <v>67.837145240000012</v>
      </c>
    </row>
    <row r="1280" spans="1:4">
      <c r="A1280">
        <v>1279</v>
      </c>
      <c r="B1280">
        <v>112</v>
      </c>
      <c r="C1280">
        <f t="shared" si="43"/>
        <v>53.95876648999996</v>
      </c>
      <c r="D1280">
        <f t="shared" si="44"/>
        <v>58.04123351000004</v>
      </c>
    </row>
    <row r="1281" spans="1:4">
      <c r="A1281">
        <v>1280</v>
      </c>
      <c r="B1281">
        <v>93</v>
      </c>
      <c r="C1281">
        <f t="shared" si="43"/>
        <v>53.754376000000008</v>
      </c>
      <c r="D1281">
        <f t="shared" si="44"/>
        <v>39.245623999999992</v>
      </c>
    </row>
    <row r="1282" spans="1:4">
      <c r="A1282">
        <v>1281</v>
      </c>
      <c r="B1282">
        <v>86</v>
      </c>
      <c r="C1282">
        <f t="shared" ref="C1282:C1345" si="45" xml:space="preserve"> -0.00015111*A1282*A1282 + 0.1823*A1282 + 67.989</f>
        <v>53.54968328999999</v>
      </c>
      <c r="D1282">
        <f t="shared" ref="D1282:D1345" si="46">B1282-C1282</f>
        <v>32.45031671000001</v>
      </c>
    </row>
    <row r="1283" spans="1:4">
      <c r="A1283">
        <v>1282</v>
      </c>
      <c r="B1283">
        <v>83</v>
      </c>
      <c r="C1283">
        <f t="shared" si="45"/>
        <v>53.344688359999964</v>
      </c>
      <c r="D1283">
        <f t="shared" si="46"/>
        <v>29.655311640000036</v>
      </c>
    </row>
    <row r="1284" spans="1:4">
      <c r="A1284">
        <v>1283</v>
      </c>
      <c r="B1284">
        <v>86</v>
      </c>
      <c r="C1284">
        <f t="shared" si="45"/>
        <v>53.139391209999985</v>
      </c>
      <c r="D1284">
        <f t="shared" si="46"/>
        <v>32.860608790000015</v>
      </c>
    </row>
    <row r="1285" spans="1:4">
      <c r="A1285">
        <v>1284</v>
      </c>
      <c r="B1285">
        <v>97</v>
      </c>
      <c r="C1285">
        <f t="shared" si="45"/>
        <v>52.933791839999969</v>
      </c>
      <c r="D1285">
        <f t="shared" si="46"/>
        <v>44.066208160000031</v>
      </c>
    </row>
    <row r="1286" spans="1:4">
      <c r="A1286">
        <v>1285</v>
      </c>
      <c r="B1286">
        <v>108</v>
      </c>
      <c r="C1286">
        <f t="shared" si="45"/>
        <v>52.727890250000002</v>
      </c>
      <c r="D1286">
        <f t="shared" si="46"/>
        <v>55.272109749999998</v>
      </c>
    </row>
    <row r="1287" spans="1:4">
      <c r="A1287">
        <v>1286</v>
      </c>
      <c r="B1287">
        <v>118</v>
      </c>
      <c r="C1287">
        <f t="shared" si="45"/>
        <v>52.521686439999968</v>
      </c>
      <c r="D1287">
        <f t="shared" si="46"/>
        <v>65.478313560000032</v>
      </c>
    </row>
    <row r="1288" spans="1:4">
      <c r="A1288">
        <v>1287</v>
      </c>
      <c r="B1288">
        <v>123</v>
      </c>
      <c r="C1288">
        <f t="shared" si="45"/>
        <v>52.315180409999954</v>
      </c>
      <c r="D1288">
        <f t="shared" si="46"/>
        <v>70.684819590000046</v>
      </c>
    </row>
    <row r="1289" spans="1:4">
      <c r="A1289">
        <v>1288</v>
      </c>
      <c r="B1289">
        <v>120</v>
      </c>
      <c r="C1289">
        <f t="shared" si="45"/>
        <v>52.108372159999988</v>
      </c>
      <c r="D1289">
        <f t="shared" si="46"/>
        <v>67.891627840000012</v>
      </c>
    </row>
    <row r="1290" spans="1:4">
      <c r="A1290">
        <v>1289</v>
      </c>
      <c r="B1290">
        <v>124</v>
      </c>
      <c r="C1290">
        <f t="shared" si="45"/>
        <v>51.901261689999956</v>
      </c>
      <c r="D1290">
        <f t="shared" si="46"/>
        <v>72.098738310000044</v>
      </c>
    </row>
    <row r="1291" spans="1:4">
      <c r="A1291">
        <v>1290</v>
      </c>
      <c r="B1291">
        <v>121</v>
      </c>
      <c r="C1291">
        <f t="shared" si="45"/>
        <v>51.693848999999943</v>
      </c>
      <c r="D1291">
        <f t="shared" si="46"/>
        <v>69.306151000000057</v>
      </c>
    </row>
    <row r="1292" spans="1:4">
      <c r="A1292">
        <v>1291</v>
      </c>
      <c r="B1292">
        <v>121</v>
      </c>
      <c r="C1292">
        <f t="shared" si="45"/>
        <v>51.486134090000007</v>
      </c>
      <c r="D1292">
        <f t="shared" si="46"/>
        <v>69.513865909999993</v>
      </c>
    </row>
    <row r="1293" spans="1:4">
      <c r="A1293">
        <v>1292</v>
      </c>
      <c r="B1293">
        <v>117</v>
      </c>
      <c r="C1293">
        <f t="shared" si="45"/>
        <v>51.278116959999977</v>
      </c>
      <c r="D1293">
        <f t="shared" si="46"/>
        <v>65.721883040000023</v>
      </c>
    </row>
    <row r="1294" spans="1:4">
      <c r="A1294">
        <v>1293</v>
      </c>
      <c r="B1294">
        <v>115</v>
      </c>
      <c r="C1294">
        <f t="shared" si="45"/>
        <v>51.069797609999966</v>
      </c>
      <c r="D1294">
        <f t="shared" si="46"/>
        <v>63.930202390000034</v>
      </c>
    </row>
    <row r="1295" spans="1:4">
      <c r="A1295">
        <v>1294</v>
      </c>
      <c r="B1295">
        <v>107</v>
      </c>
      <c r="C1295">
        <f t="shared" si="45"/>
        <v>50.861176040000004</v>
      </c>
      <c r="D1295">
        <f t="shared" si="46"/>
        <v>56.138823959999996</v>
      </c>
    </row>
    <row r="1296" spans="1:4">
      <c r="A1296">
        <v>1295</v>
      </c>
      <c r="B1296">
        <v>117</v>
      </c>
      <c r="C1296">
        <f t="shared" si="45"/>
        <v>50.652252249999975</v>
      </c>
      <c r="D1296">
        <f t="shared" si="46"/>
        <v>66.347747750000025</v>
      </c>
    </row>
    <row r="1297" spans="1:4">
      <c r="A1297">
        <v>1296</v>
      </c>
      <c r="B1297">
        <v>120</v>
      </c>
      <c r="C1297">
        <f t="shared" si="45"/>
        <v>50.443026239999966</v>
      </c>
      <c r="D1297">
        <f t="shared" si="46"/>
        <v>69.556973760000034</v>
      </c>
    </row>
    <row r="1298" spans="1:4">
      <c r="A1298">
        <v>1297</v>
      </c>
      <c r="B1298">
        <v>117</v>
      </c>
      <c r="C1298">
        <f t="shared" si="45"/>
        <v>50.233498009999977</v>
      </c>
      <c r="D1298">
        <f t="shared" si="46"/>
        <v>66.766501990000023</v>
      </c>
    </row>
    <row r="1299" spans="1:4">
      <c r="A1299">
        <v>1298</v>
      </c>
      <c r="B1299">
        <v>123</v>
      </c>
      <c r="C1299">
        <f t="shared" si="45"/>
        <v>50.023667559999978</v>
      </c>
      <c r="D1299">
        <f t="shared" si="46"/>
        <v>72.976332440000022</v>
      </c>
    </row>
    <row r="1300" spans="1:4">
      <c r="A1300">
        <v>1299</v>
      </c>
      <c r="B1300">
        <v>116</v>
      </c>
      <c r="C1300">
        <f t="shared" si="45"/>
        <v>49.813534889999943</v>
      </c>
      <c r="D1300">
        <f t="shared" si="46"/>
        <v>66.186465110000057</v>
      </c>
    </row>
    <row r="1301" spans="1:4">
      <c r="A1301">
        <v>1300</v>
      </c>
      <c r="B1301">
        <v>122</v>
      </c>
      <c r="C1301">
        <f t="shared" si="45"/>
        <v>49.603099999999984</v>
      </c>
      <c r="D1301">
        <f t="shared" si="46"/>
        <v>72.396900000000016</v>
      </c>
    </row>
    <row r="1302" spans="1:4">
      <c r="A1302">
        <v>1301</v>
      </c>
      <c r="B1302">
        <v>122</v>
      </c>
      <c r="C1302">
        <f t="shared" si="45"/>
        <v>49.392362889999958</v>
      </c>
      <c r="D1302">
        <f t="shared" si="46"/>
        <v>72.607637110000042</v>
      </c>
    </row>
    <row r="1303" spans="1:4">
      <c r="A1303">
        <v>1302</v>
      </c>
      <c r="B1303">
        <v>134</v>
      </c>
      <c r="C1303">
        <f t="shared" si="45"/>
        <v>49.18132356000001</v>
      </c>
      <c r="D1303">
        <f t="shared" si="46"/>
        <v>84.81867643999999</v>
      </c>
    </row>
    <row r="1304" spans="1:4">
      <c r="A1304">
        <v>1303</v>
      </c>
      <c r="B1304">
        <v>139</v>
      </c>
      <c r="C1304">
        <f t="shared" si="45"/>
        <v>48.969982009999967</v>
      </c>
      <c r="D1304">
        <f t="shared" si="46"/>
        <v>90.030017990000033</v>
      </c>
    </row>
    <row r="1305" spans="1:4">
      <c r="A1305">
        <v>1304</v>
      </c>
      <c r="B1305">
        <v>139</v>
      </c>
      <c r="C1305">
        <f t="shared" si="45"/>
        <v>48.758338239999972</v>
      </c>
      <c r="D1305">
        <f t="shared" si="46"/>
        <v>90.241661760000028</v>
      </c>
    </row>
    <row r="1306" spans="1:4">
      <c r="A1306">
        <v>1305</v>
      </c>
      <c r="B1306">
        <v>162</v>
      </c>
      <c r="C1306">
        <f t="shared" si="45"/>
        <v>48.546392250000025</v>
      </c>
      <c r="D1306">
        <f t="shared" si="46"/>
        <v>113.45360774999997</v>
      </c>
    </row>
    <row r="1307" spans="1:4">
      <c r="A1307">
        <v>1306</v>
      </c>
      <c r="B1307">
        <v>172</v>
      </c>
      <c r="C1307">
        <f t="shared" si="45"/>
        <v>48.334144039999984</v>
      </c>
      <c r="D1307">
        <f t="shared" si="46"/>
        <v>123.66585596000002</v>
      </c>
    </row>
    <row r="1308" spans="1:4">
      <c r="A1308">
        <v>1307</v>
      </c>
      <c r="B1308">
        <v>179</v>
      </c>
      <c r="C1308">
        <f t="shared" si="45"/>
        <v>48.121593609999962</v>
      </c>
      <c r="D1308">
        <f t="shared" si="46"/>
        <v>130.87840639000004</v>
      </c>
    </row>
    <row r="1309" spans="1:4">
      <c r="A1309">
        <v>1308</v>
      </c>
      <c r="B1309">
        <v>177</v>
      </c>
      <c r="C1309">
        <f t="shared" si="45"/>
        <v>47.908740960000017</v>
      </c>
      <c r="D1309">
        <f t="shared" si="46"/>
        <v>129.09125903999998</v>
      </c>
    </row>
    <row r="1310" spans="1:4">
      <c r="A1310">
        <v>1309</v>
      </c>
      <c r="B1310">
        <v>156</v>
      </c>
      <c r="C1310">
        <f t="shared" si="45"/>
        <v>47.695586089999978</v>
      </c>
      <c r="D1310">
        <f t="shared" si="46"/>
        <v>108.30441391000002</v>
      </c>
    </row>
    <row r="1311" spans="1:4">
      <c r="A1311">
        <v>1310</v>
      </c>
      <c r="B1311">
        <v>126</v>
      </c>
      <c r="C1311">
        <f t="shared" si="45"/>
        <v>47.482128999999958</v>
      </c>
      <c r="D1311">
        <f t="shared" si="46"/>
        <v>78.517871000000042</v>
      </c>
    </row>
    <row r="1312" spans="1:4">
      <c r="A1312">
        <v>1311</v>
      </c>
      <c r="B1312">
        <v>123</v>
      </c>
      <c r="C1312">
        <f t="shared" si="45"/>
        <v>47.268369689999957</v>
      </c>
      <c r="D1312">
        <f t="shared" si="46"/>
        <v>75.731630310000043</v>
      </c>
    </row>
    <row r="1313" spans="1:4">
      <c r="A1313">
        <v>1312</v>
      </c>
      <c r="B1313">
        <v>109</v>
      </c>
      <c r="C1313">
        <f t="shared" si="45"/>
        <v>47.054308159999977</v>
      </c>
      <c r="D1313">
        <f t="shared" si="46"/>
        <v>61.945691840000023</v>
      </c>
    </row>
    <row r="1314" spans="1:4">
      <c r="A1314">
        <v>1313</v>
      </c>
      <c r="B1314">
        <v>112</v>
      </c>
      <c r="C1314">
        <f t="shared" si="45"/>
        <v>46.839944409999958</v>
      </c>
      <c r="D1314">
        <f t="shared" si="46"/>
        <v>65.160055590000042</v>
      </c>
    </row>
    <row r="1315" spans="1:4">
      <c r="A1315">
        <v>1314</v>
      </c>
      <c r="B1315">
        <v>107</v>
      </c>
      <c r="C1315">
        <f t="shared" si="45"/>
        <v>46.62527843999996</v>
      </c>
      <c r="D1315">
        <f t="shared" si="46"/>
        <v>60.37472156000004</v>
      </c>
    </row>
    <row r="1316" spans="1:4">
      <c r="A1316">
        <v>1315</v>
      </c>
      <c r="B1316">
        <v>103</v>
      </c>
      <c r="C1316">
        <f t="shared" si="45"/>
        <v>46.410310249999981</v>
      </c>
      <c r="D1316">
        <f t="shared" si="46"/>
        <v>56.589689750000019</v>
      </c>
    </row>
    <row r="1317" spans="1:4">
      <c r="A1317">
        <v>1316</v>
      </c>
      <c r="B1317">
        <v>103</v>
      </c>
      <c r="C1317">
        <f t="shared" si="45"/>
        <v>46.195039839999964</v>
      </c>
      <c r="D1317">
        <f t="shared" si="46"/>
        <v>56.804960160000036</v>
      </c>
    </row>
    <row r="1318" spans="1:4">
      <c r="A1318">
        <v>1317</v>
      </c>
      <c r="B1318">
        <v>105</v>
      </c>
      <c r="C1318">
        <f t="shared" si="45"/>
        <v>45.979467209999967</v>
      </c>
      <c r="D1318">
        <f t="shared" si="46"/>
        <v>59.020532790000033</v>
      </c>
    </row>
    <row r="1319" spans="1:4">
      <c r="A1319">
        <v>1318</v>
      </c>
      <c r="B1319">
        <v>94</v>
      </c>
      <c r="C1319">
        <f t="shared" si="45"/>
        <v>45.763592359999961</v>
      </c>
      <c r="D1319">
        <f t="shared" si="46"/>
        <v>48.236407640000039</v>
      </c>
    </row>
    <row r="1320" spans="1:4">
      <c r="A1320">
        <v>1319</v>
      </c>
      <c r="B1320">
        <v>98</v>
      </c>
      <c r="C1320">
        <f t="shared" si="45"/>
        <v>45.547415290000004</v>
      </c>
      <c r="D1320">
        <f t="shared" si="46"/>
        <v>52.452584709999996</v>
      </c>
    </row>
    <row r="1321" spans="1:4">
      <c r="A1321">
        <v>1320</v>
      </c>
      <c r="B1321">
        <v>101</v>
      </c>
      <c r="C1321">
        <f t="shared" si="45"/>
        <v>45.330936000000008</v>
      </c>
      <c r="D1321">
        <f t="shared" si="46"/>
        <v>55.669063999999992</v>
      </c>
    </row>
    <row r="1322" spans="1:4">
      <c r="A1322">
        <v>1321</v>
      </c>
      <c r="B1322">
        <v>99</v>
      </c>
      <c r="C1322">
        <f t="shared" si="45"/>
        <v>45.114154489999976</v>
      </c>
      <c r="D1322">
        <f t="shared" si="46"/>
        <v>53.885845510000024</v>
      </c>
    </row>
    <row r="1323" spans="1:4">
      <c r="A1323">
        <v>1322</v>
      </c>
      <c r="B1323">
        <v>97</v>
      </c>
      <c r="C1323">
        <f t="shared" si="45"/>
        <v>44.89707076000002</v>
      </c>
      <c r="D1323">
        <f t="shared" si="46"/>
        <v>52.10292923999998</v>
      </c>
    </row>
    <row r="1324" spans="1:4">
      <c r="A1324">
        <v>1323</v>
      </c>
      <c r="B1324">
        <v>97</v>
      </c>
      <c r="C1324">
        <f t="shared" si="45"/>
        <v>44.679684809999969</v>
      </c>
      <c r="D1324">
        <f t="shared" si="46"/>
        <v>52.320315190000031</v>
      </c>
    </row>
    <row r="1325" spans="1:4">
      <c r="A1325">
        <v>1324</v>
      </c>
      <c r="B1325">
        <v>109</v>
      </c>
      <c r="C1325">
        <f t="shared" si="45"/>
        <v>44.461996639999938</v>
      </c>
      <c r="D1325">
        <f t="shared" si="46"/>
        <v>64.538003360000062</v>
      </c>
    </row>
    <row r="1326" spans="1:4">
      <c r="A1326">
        <v>1325</v>
      </c>
      <c r="B1326">
        <v>118</v>
      </c>
      <c r="C1326">
        <f t="shared" si="45"/>
        <v>44.244006249999984</v>
      </c>
      <c r="D1326">
        <f t="shared" si="46"/>
        <v>73.755993750000016</v>
      </c>
    </row>
    <row r="1327" spans="1:4">
      <c r="A1327">
        <v>1326</v>
      </c>
      <c r="B1327">
        <v>129</v>
      </c>
      <c r="C1327">
        <f t="shared" si="45"/>
        <v>44.025713639999992</v>
      </c>
      <c r="D1327">
        <f t="shared" si="46"/>
        <v>84.974286360000008</v>
      </c>
    </row>
    <row r="1328" spans="1:4">
      <c r="A1328">
        <v>1327</v>
      </c>
      <c r="B1328">
        <v>168</v>
      </c>
      <c r="C1328">
        <f t="shared" si="45"/>
        <v>43.807118809999963</v>
      </c>
      <c r="D1328">
        <f t="shared" si="46"/>
        <v>124.19288119000004</v>
      </c>
    </row>
    <row r="1329" spans="1:7">
      <c r="A1329">
        <v>1328</v>
      </c>
      <c r="B1329">
        <v>299</v>
      </c>
      <c r="C1329">
        <f t="shared" si="45"/>
        <v>43.588221759999954</v>
      </c>
      <c r="D1329">
        <f t="shared" si="46"/>
        <v>255.41177824000005</v>
      </c>
    </row>
    <row r="1330" spans="1:7">
      <c r="A1330">
        <v>1329</v>
      </c>
      <c r="B1330">
        <v>544</v>
      </c>
      <c r="C1330">
        <f t="shared" si="45"/>
        <v>43.369022489999963</v>
      </c>
      <c r="D1330">
        <f t="shared" si="46"/>
        <v>500.63097751000004</v>
      </c>
    </row>
    <row r="1331" spans="1:7">
      <c r="A1331">
        <v>1330</v>
      </c>
      <c r="B1331">
        <v>863</v>
      </c>
      <c r="C1331">
        <f t="shared" si="45"/>
        <v>43.149520999999936</v>
      </c>
      <c r="D1331">
        <f t="shared" si="46"/>
        <v>819.85047900000006</v>
      </c>
    </row>
    <row r="1332" spans="1:7" ht="17.25">
      <c r="A1332">
        <v>1331</v>
      </c>
      <c r="B1332">
        <v>1041</v>
      </c>
      <c r="C1332">
        <f t="shared" si="45"/>
        <v>42.929717289999985</v>
      </c>
      <c r="D1332">
        <f t="shared" si="46"/>
        <v>998.07028271000001</v>
      </c>
      <c r="F1332">
        <v>1331</v>
      </c>
      <c r="G1332" t="s">
        <v>34</v>
      </c>
    </row>
    <row r="1333" spans="1:7">
      <c r="A1333">
        <v>1332</v>
      </c>
      <c r="B1333">
        <v>901</v>
      </c>
      <c r="C1333">
        <f t="shared" si="45"/>
        <v>42.709611359999968</v>
      </c>
      <c r="D1333">
        <f t="shared" si="46"/>
        <v>858.29038864000006</v>
      </c>
    </row>
    <row r="1334" spans="1:7">
      <c r="A1334">
        <v>1333</v>
      </c>
      <c r="B1334">
        <v>550</v>
      </c>
      <c r="C1334">
        <f t="shared" si="45"/>
        <v>42.489203209999999</v>
      </c>
      <c r="D1334">
        <f t="shared" si="46"/>
        <v>507.51079678999997</v>
      </c>
    </row>
    <row r="1335" spans="1:7">
      <c r="A1335">
        <v>1334</v>
      </c>
      <c r="B1335">
        <v>264</v>
      </c>
      <c r="C1335">
        <f t="shared" si="45"/>
        <v>42.268492839999993</v>
      </c>
      <c r="D1335">
        <f t="shared" si="46"/>
        <v>221.73150716000001</v>
      </c>
    </row>
    <row r="1336" spans="1:7">
      <c r="A1336">
        <v>1335</v>
      </c>
      <c r="B1336">
        <v>155</v>
      </c>
      <c r="C1336">
        <f t="shared" si="45"/>
        <v>42.04748024999995</v>
      </c>
      <c r="D1336">
        <f t="shared" si="46"/>
        <v>112.95251975000005</v>
      </c>
    </row>
    <row r="1337" spans="1:7">
      <c r="A1337">
        <v>1336</v>
      </c>
      <c r="B1337">
        <v>122</v>
      </c>
      <c r="C1337">
        <f t="shared" si="45"/>
        <v>41.826165439999983</v>
      </c>
      <c r="D1337">
        <f t="shared" si="46"/>
        <v>80.173834560000017</v>
      </c>
    </row>
    <row r="1338" spans="1:7">
      <c r="A1338">
        <v>1337</v>
      </c>
      <c r="B1338">
        <v>123</v>
      </c>
      <c r="C1338">
        <f t="shared" si="45"/>
        <v>41.604548409999978</v>
      </c>
      <c r="D1338">
        <f t="shared" si="46"/>
        <v>81.395451590000022</v>
      </c>
    </row>
    <row r="1339" spans="1:7">
      <c r="A1339">
        <v>1338</v>
      </c>
      <c r="B1339">
        <v>166</v>
      </c>
      <c r="C1339">
        <f t="shared" si="45"/>
        <v>41.382629159999937</v>
      </c>
      <c r="D1339">
        <f t="shared" si="46"/>
        <v>124.61737084000006</v>
      </c>
    </row>
    <row r="1340" spans="1:7">
      <c r="A1340">
        <v>1339</v>
      </c>
      <c r="B1340">
        <v>277</v>
      </c>
      <c r="C1340">
        <f t="shared" si="45"/>
        <v>41.160407689999971</v>
      </c>
      <c r="D1340">
        <f t="shared" si="46"/>
        <v>235.83959231000003</v>
      </c>
    </row>
    <row r="1341" spans="1:7">
      <c r="A1341">
        <v>1340</v>
      </c>
      <c r="B1341">
        <v>409</v>
      </c>
      <c r="C1341">
        <f t="shared" si="45"/>
        <v>40.937883999999968</v>
      </c>
      <c r="D1341">
        <f t="shared" si="46"/>
        <v>368.06211600000006</v>
      </c>
    </row>
    <row r="1342" spans="1:7">
      <c r="A1342">
        <v>1341</v>
      </c>
      <c r="B1342">
        <v>554</v>
      </c>
      <c r="C1342">
        <f t="shared" si="45"/>
        <v>40.715058089999928</v>
      </c>
      <c r="D1342">
        <f t="shared" si="46"/>
        <v>513.28494191000004</v>
      </c>
    </row>
    <row r="1343" spans="1:7" ht="17.25">
      <c r="A1343">
        <v>1342</v>
      </c>
      <c r="B1343">
        <v>553</v>
      </c>
      <c r="C1343">
        <f t="shared" si="45"/>
        <v>40.491929959999965</v>
      </c>
      <c r="D1343">
        <f t="shared" si="46"/>
        <v>512.50807004000001</v>
      </c>
      <c r="F1343">
        <v>1342</v>
      </c>
      <c r="G1343" t="s">
        <v>35</v>
      </c>
    </row>
    <row r="1344" spans="1:7">
      <c r="A1344">
        <v>1343</v>
      </c>
      <c r="B1344">
        <v>405</v>
      </c>
      <c r="C1344">
        <f t="shared" si="45"/>
        <v>40.268499609999964</v>
      </c>
      <c r="D1344">
        <f t="shared" si="46"/>
        <v>364.73150039000006</v>
      </c>
    </row>
    <row r="1345" spans="1:4">
      <c r="A1345">
        <v>1344</v>
      </c>
      <c r="B1345">
        <v>219</v>
      </c>
      <c r="C1345">
        <f t="shared" si="45"/>
        <v>40.044767039999925</v>
      </c>
      <c r="D1345">
        <f t="shared" si="46"/>
        <v>178.95523296000007</v>
      </c>
    </row>
    <row r="1346" spans="1:4">
      <c r="A1346">
        <v>1345</v>
      </c>
      <c r="B1346">
        <v>128</v>
      </c>
      <c r="C1346">
        <f t="shared" ref="C1346:C1409" si="47" xml:space="preserve"> -0.00015111*A1346*A1346 + 0.1823*A1346 + 67.989</f>
        <v>39.820732249999992</v>
      </c>
      <c r="D1346">
        <f t="shared" ref="D1346:D1409" si="48">B1346-C1346</f>
        <v>88.179267750000008</v>
      </c>
    </row>
    <row r="1347" spans="1:4">
      <c r="A1347">
        <v>1346</v>
      </c>
      <c r="B1347">
        <v>105</v>
      </c>
      <c r="C1347">
        <f t="shared" si="47"/>
        <v>39.596395239999993</v>
      </c>
      <c r="D1347">
        <f t="shared" si="48"/>
        <v>65.403604760000007</v>
      </c>
    </row>
    <row r="1348" spans="1:4">
      <c r="A1348">
        <v>1347</v>
      </c>
      <c r="B1348">
        <v>100</v>
      </c>
      <c r="C1348">
        <f t="shared" si="47"/>
        <v>39.371756010000013</v>
      </c>
      <c r="D1348">
        <f t="shared" si="48"/>
        <v>60.628243989999987</v>
      </c>
    </row>
    <row r="1349" spans="1:4">
      <c r="A1349">
        <v>1348</v>
      </c>
      <c r="B1349">
        <v>105</v>
      </c>
      <c r="C1349">
        <f t="shared" si="47"/>
        <v>39.146814559999996</v>
      </c>
      <c r="D1349">
        <f t="shared" si="48"/>
        <v>65.853185440000004</v>
      </c>
    </row>
    <row r="1350" spans="1:4">
      <c r="A1350">
        <v>1349</v>
      </c>
      <c r="B1350">
        <v>115</v>
      </c>
      <c r="C1350">
        <f t="shared" si="47"/>
        <v>38.921570889999998</v>
      </c>
      <c r="D1350">
        <f t="shared" si="48"/>
        <v>76.078429110000002</v>
      </c>
    </row>
    <row r="1351" spans="1:4">
      <c r="A1351">
        <v>1350</v>
      </c>
      <c r="B1351">
        <v>123</v>
      </c>
      <c r="C1351">
        <f t="shared" si="47"/>
        <v>38.69602500000002</v>
      </c>
      <c r="D1351">
        <f t="shared" si="48"/>
        <v>84.30397499999998</v>
      </c>
    </row>
    <row r="1352" spans="1:4">
      <c r="A1352">
        <v>1351</v>
      </c>
      <c r="B1352">
        <v>122</v>
      </c>
      <c r="C1352">
        <f t="shared" si="47"/>
        <v>38.470176890000005</v>
      </c>
      <c r="D1352">
        <f t="shared" si="48"/>
        <v>83.529823109999995</v>
      </c>
    </row>
    <row r="1353" spans="1:4">
      <c r="A1353">
        <v>1352</v>
      </c>
      <c r="B1353">
        <v>123</v>
      </c>
      <c r="C1353">
        <f t="shared" si="47"/>
        <v>38.244026559999952</v>
      </c>
      <c r="D1353">
        <f t="shared" si="48"/>
        <v>84.755973440000048</v>
      </c>
    </row>
    <row r="1354" spans="1:4">
      <c r="A1354">
        <v>1353</v>
      </c>
      <c r="B1354">
        <v>110</v>
      </c>
      <c r="C1354">
        <f t="shared" si="47"/>
        <v>38.017574009999976</v>
      </c>
      <c r="D1354">
        <f t="shared" si="48"/>
        <v>71.982425990000024</v>
      </c>
    </row>
    <row r="1355" spans="1:4">
      <c r="A1355">
        <v>1354</v>
      </c>
      <c r="B1355">
        <v>101</v>
      </c>
      <c r="C1355">
        <f t="shared" si="47"/>
        <v>37.790819239999962</v>
      </c>
      <c r="D1355">
        <f t="shared" si="48"/>
        <v>63.209180760000038</v>
      </c>
    </row>
    <row r="1356" spans="1:4">
      <c r="A1356">
        <v>1355</v>
      </c>
      <c r="B1356">
        <v>93</v>
      </c>
      <c r="C1356">
        <f t="shared" si="47"/>
        <v>37.563762249999968</v>
      </c>
      <c r="D1356">
        <f t="shared" si="48"/>
        <v>55.436237750000032</v>
      </c>
    </row>
    <row r="1357" spans="1:4">
      <c r="A1357">
        <v>1356</v>
      </c>
      <c r="B1357">
        <v>90</v>
      </c>
      <c r="C1357">
        <f t="shared" si="47"/>
        <v>37.336403039999993</v>
      </c>
      <c r="D1357">
        <f t="shared" si="48"/>
        <v>52.663596960000007</v>
      </c>
    </row>
    <row r="1358" spans="1:4">
      <c r="A1358">
        <v>1357</v>
      </c>
      <c r="B1358">
        <v>93</v>
      </c>
      <c r="C1358">
        <f t="shared" si="47"/>
        <v>37.108741609999981</v>
      </c>
      <c r="D1358">
        <f t="shared" si="48"/>
        <v>55.891258390000019</v>
      </c>
    </row>
    <row r="1359" spans="1:4">
      <c r="A1359">
        <v>1358</v>
      </c>
      <c r="B1359">
        <v>96</v>
      </c>
      <c r="C1359">
        <f t="shared" si="47"/>
        <v>36.880777959999932</v>
      </c>
      <c r="D1359">
        <f t="shared" si="48"/>
        <v>59.119222040000068</v>
      </c>
    </row>
    <row r="1360" spans="1:4">
      <c r="A1360">
        <v>1359</v>
      </c>
      <c r="B1360">
        <v>86</v>
      </c>
      <c r="C1360">
        <f t="shared" si="47"/>
        <v>36.652512089999988</v>
      </c>
      <c r="D1360">
        <f t="shared" si="48"/>
        <v>49.347487910000012</v>
      </c>
    </row>
    <row r="1361" spans="1:4">
      <c r="A1361">
        <v>1360</v>
      </c>
      <c r="B1361">
        <v>87</v>
      </c>
      <c r="C1361">
        <f t="shared" si="47"/>
        <v>36.423943999999977</v>
      </c>
      <c r="D1361">
        <f t="shared" si="48"/>
        <v>50.576056000000023</v>
      </c>
    </row>
    <row r="1362" spans="1:4">
      <c r="A1362">
        <v>1361</v>
      </c>
      <c r="B1362">
        <v>89</v>
      </c>
      <c r="C1362">
        <f t="shared" si="47"/>
        <v>36.195073689999987</v>
      </c>
      <c r="D1362">
        <f t="shared" si="48"/>
        <v>52.804926310000013</v>
      </c>
    </row>
    <row r="1363" spans="1:4">
      <c r="A1363">
        <v>1362</v>
      </c>
      <c r="B1363">
        <v>98</v>
      </c>
      <c r="C1363">
        <f t="shared" si="47"/>
        <v>35.965901160000016</v>
      </c>
      <c r="D1363">
        <f t="shared" si="48"/>
        <v>62.034098839999984</v>
      </c>
    </row>
    <row r="1364" spans="1:4">
      <c r="A1364">
        <v>1363</v>
      </c>
      <c r="B1364">
        <v>90</v>
      </c>
      <c r="C1364">
        <f t="shared" si="47"/>
        <v>35.73642640999995</v>
      </c>
      <c r="D1364">
        <f t="shared" si="48"/>
        <v>54.26357359000005</v>
      </c>
    </row>
    <row r="1365" spans="1:4">
      <c r="A1365">
        <v>1364</v>
      </c>
      <c r="B1365">
        <v>84</v>
      </c>
      <c r="C1365">
        <f t="shared" si="47"/>
        <v>35.506649440000018</v>
      </c>
      <c r="D1365">
        <f t="shared" si="48"/>
        <v>48.493350559999982</v>
      </c>
    </row>
    <row r="1366" spans="1:4">
      <c r="A1366">
        <v>1365</v>
      </c>
      <c r="B1366">
        <v>85</v>
      </c>
      <c r="C1366">
        <f t="shared" si="47"/>
        <v>35.276570249999992</v>
      </c>
      <c r="D1366">
        <f t="shared" si="48"/>
        <v>49.723429750000008</v>
      </c>
    </row>
    <row r="1367" spans="1:4">
      <c r="A1367">
        <v>1366</v>
      </c>
      <c r="B1367">
        <v>105</v>
      </c>
      <c r="C1367">
        <f t="shared" si="47"/>
        <v>35.046188839999985</v>
      </c>
      <c r="D1367">
        <f t="shared" si="48"/>
        <v>69.953811160000015</v>
      </c>
    </row>
    <row r="1368" spans="1:4">
      <c r="A1368">
        <v>1367</v>
      </c>
      <c r="B1368">
        <v>126</v>
      </c>
      <c r="C1368">
        <f t="shared" si="47"/>
        <v>34.815505209999998</v>
      </c>
      <c r="D1368">
        <f t="shared" si="48"/>
        <v>91.184494790000002</v>
      </c>
    </row>
    <row r="1369" spans="1:4">
      <c r="A1369">
        <v>1368</v>
      </c>
      <c r="B1369">
        <v>165</v>
      </c>
      <c r="C1369">
        <f t="shared" si="47"/>
        <v>34.584519359999973</v>
      </c>
      <c r="D1369">
        <f t="shared" si="48"/>
        <v>130.41548064000003</v>
      </c>
    </row>
    <row r="1370" spans="1:4">
      <c r="A1370">
        <v>1369</v>
      </c>
      <c r="B1370">
        <v>243</v>
      </c>
      <c r="C1370">
        <f t="shared" si="47"/>
        <v>34.353231289999968</v>
      </c>
      <c r="D1370">
        <f t="shared" si="48"/>
        <v>208.64676871000003</v>
      </c>
    </row>
    <row r="1371" spans="1:4">
      <c r="A1371">
        <v>1370</v>
      </c>
      <c r="B1371">
        <v>342</v>
      </c>
      <c r="C1371">
        <f t="shared" si="47"/>
        <v>34.121640999999983</v>
      </c>
      <c r="D1371">
        <f t="shared" si="48"/>
        <v>307.87835900000005</v>
      </c>
    </row>
    <row r="1372" spans="1:4">
      <c r="A1372">
        <v>1371</v>
      </c>
      <c r="B1372">
        <v>383</v>
      </c>
      <c r="C1372">
        <f t="shared" si="47"/>
        <v>33.88974848999996</v>
      </c>
      <c r="D1372">
        <f t="shared" si="48"/>
        <v>349.11025151000001</v>
      </c>
    </row>
    <row r="1373" spans="1:4">
      <c r="A1373">
        <v>1372</v>
      </c>
      <c r="B1373">
        <v>326</v>
      </c>
      <c r="C1373">
        <f t="shared" si="47"/>
        <v>33.657553759999956</v>
      </c>
      <c r="D1373">
        <f t="shared" si="48"/>
        <v>292.34244624000007</v>
      </c>
    </row>
    <row r="1374" spans="1:4">
      <c r="A1374">
        <v>1373</v>
      </c>
      <c r="B1374">
        <v>245</v>
      </c>
      <c r="C1374">
        <f t="shared" si="47"/>
        <v>33.425056810000001</v>
      </c>
      <c r="D1374">
        <f t="shared" si="48"/>
        <v>211.57494319</v>
      </c>
    </row>
    <row r="1375" spans="1:4">
      <c r="A1375">
        <v>1374</v>
      </c>
      <c r="B1375">
        <v>235</v>
      </c>
      <c r="C1375">
        <f t="shared" si="47"/>
        <v>33.19225763999998</v>
      </c>
      <c r="D1375">
        <f t="shared" si="48"/>
        <v>201.80774236000002</v>
      </c>
    </row>
    <row r="1376" spans="1:4">
      <c r="A1376">
        <v>1375</v>
      </c>
      <c r="B1376">
        <v>288</v>
      </c>
      <c r="C1376">
        <f t="shared" si="47"/>
        <v>32.959156249999978</v>
      </c>
      <c r="D1376">
        <f t="shared" si="48"/>
        <v>255.04084375000002</v>
      </c>
    </row>
    <row r="1377" spans="1:7">
      <c r="A1377">
        <v>1376</v>
      </c>
      <c r="B1377">
        <v>316</v>
      </c>
      <c r="C1377">
        <f t="shared" si="47"/>
        <v>32.725752639999996</v>
      </c>
      <c r="D1377">
        <f t="shared" si="48"/>
        <v>283.27424736</v>
      </c>
    </row>
    <row r="1378" spans="1:7">
      <c r="A1378">
        <v>1377</v>
      </c>
      <c r="B1378">
        <v>262</v>
      </c>
      <c r="C1378">
        <f t="shared" si="47"/>
        <v>32.492046809999977</v>
      </c>
      <c r="D1378">
        <f t="shared" si="48"/>
        <v>229.50795319000002</v>
      </c>
    </row>
    <row r="1379" spans="1:7">
      <c r="A1379">
        <v>1378</v>
      </c>
      <c r="B1379">
        <v>175</v>
      </c>
      <c r="C1379">
        <f t="shared" si="47"/>
        <v>32.258038759999977</v>
      </c>
      <c r="D1379">
        <f t="shared" si="48"/>
        <v>142.74196124000002</v>
      </c>
    </row>
    <row r="1380" spans="1:7">
      <c r="A1380">
        <v>1379</v>
      </c>
      <c r="B1380">
        <v>134</v>
      </c>
      <c r="C1380">
        <f t="shared" si="47"/>
        <v>32.023728489999996</v>
      </c>
      <c r="D1380">
        <f t="shared" si="48"/>
        <v>101.97627151</v>
      </c>
    </row>
    <row r="1381" spans="1:7">
      <c r="A1381">
        <v>1380</v>
      </c>
      <c r="B1381">
        <v>210</v>
      </c>
      <c r="C1381">
        <f t="shared" si="47"/>
        <v>31.789115999999979</v>
      </c>
      <c r="D1381">
        <f t="shared" si="48"/>
        <v>178.21088400000002</v>
      </c>
    </row>
    <row r="1382" spans="1:7">
      <c r="A1382">
        <v>1381</v>
      </c>
      <c r="B1382">
        <v>360</v>
      </c>
      <c r="C1382">
        <f t="shared" si="47"/>
        <v>31.55420128999998</v>
      </c>
      <c r="D1382">
        <f t="shared" si="48"/>
        <v>328.44579871000002</v>
      </c>
    </row>
    <row r="1383" spans="1:7">
      <c r="A1383">
        <v>1382</v>
      </c>
      <c r="B1383">
        <v>539</v>
      </c>
      <c r="C1383">
        <f t="shared" si="47"/>
        <v>31.318984359999945</v>
      </c>
      <c r="D1383">
        <f t="shared" si="48"/>
        <v>507.68101564000006</v>
      </c>
    </row>
    <row r="1384" spans="1:7" ht="17.25">
      <c r="A1384">
        <v>1383</v>
      </c>
      <c r="B1384">
        <v>599</v>
      </c>
      <c r="C1384">
        <f t="shared" si="47"/>
        <v>31.083465209999929</v>
      </c>
      <c r="D1384">
        <f t="shared" si="48"/>
        <v>567.91653479000001</v>
      </c>
      <c r="F1384">
        <v>1383</v>
      </c>
      <c r="G1384" t="s">
        <v>36</v>
      </c>
    </row>
    <row r="1385" spans="1:7">
      <c r="A1385">
        <v>1384</v>
      </c>
      <c r="B1385">
        <v>473</v>
      </c>
      <c r="C1385">
        <f t="shared" si="47"/>
        <v>30.847643839999989</v>
      </c>
      <c r="D1385">
        <f t="shared" si="48"/>
        <v>442.15235616000001</v>
      </c>
    </row>
    <row r="1386" spans="1:7">
      <c r="A1386">
        <v>1385</v>
      </c>
      <c r="B1386">
        <v>246</v>
      </c>
      <c r="C1386">
        <f t="shared" si="47"/>
        <v>30.611520249999955</v>
      </c>
      <c r="D1386">
        <f t="shared" si="48"/>
        <v>215.38847975000004</v>
      </c>
    </row>
    <row r="1387" spans="1:7">
      <c r="A1387">
        <v>1386</v>
      </c>
      <c r="B1387">
        <v>112</v>
      </c>
      <c r="C1387">
        <f t="shared" si="47"/>
        <v>30.37509443999997</v>
      </c>
      <c r="D1387">
        <f t="shared" si="48"/>
        <v>81.62490556000003</v>
      </c>
    </row>
    <row r="1388" spans="1:7">
      <c r="A1388">
        <v>1387</v>
      </c>
      <c r="B1388">
        <v>59</v>
      </c>
      <c r="C1388">
        <f t="shared" si="47"/>
        <v>30.138366409999975</v>
      </c>
      <c r="D1388">
        <f t="shared" si="48"/>
        <v>28.861633590000025</v>
      </c>
    </row>
    <row r="1389" spans="1:7">
      <c r="A1389">
        <v>1388</v>
      </c>
      <c r="B1389">
        <v>47</v>
      </c>
      <c r="C1389">
        <f t="shared" si="47"/>
        <v>29.90133616</v>
      </c>
      <c r="D1389">
        <f t="shared" si="48"/>
        <v>17.09866384</v>
      </c>
    </row>
    <row r="1390" spans="1:7">
      <c r="A1390">
        <v>1389</v>
      </c>
      <c r="B1390">
        <v>53</v>
      </c>
      <c r="C1390">
        <f t="shared" si="47"/>
        <v>29.664003689999987</v>
      </c>
      <c r="D1390">
        <f t="shared" si="48"/>
        <v>23.335996310000013</v>
      </c>
    </row>
    <row r="1391" spans="1:7">
      <c r="A1391">
        <v>1390</v>
      </c>
      <c r="B1391">
        <v>42</v>
      </c>
      <c r="C1391">
        <f t="shared" si="47"/>
        <v>29.426368999999994</v>
      </c>
      <c r="D1391">
        <f t="shared" si="48"/>
        <v>12.573631000000006</v>
      </c>
    </row>
    <row r="1392" spans="1:7">
      <c r="A1392">
        <v>1391</v>
      </c>
      <c r="B1392">
        <v>42</v>
      </c>
      <c r="C1392">
        <f t="shared" si="47"/>
        <v>29.188432089999964</v>
      </c>
      <c r="D1392">
        <f t="shared" si="48"/>
        <v>12.811567910000036</v>
      </c>
    </row>
    <row r="1393" spans="1:7">
      <c r="A1393">
        <v>1392</v>
      </c>
      <c r="B1393">
        <v>29</v>
      </c>
      <c r="C1393">
        <f t="shared" si="47"/>
        <v>28.950192959999953</v>
      </c>
      <c r="D1393">
        <f t="shared" si="48"/>
        <v>4.9807040000047209E-2</v>
      </c>
    </row>
    <row r="1394" spans="1:7">
      <c r="A1394">
        <v>1393</v>
      </c>
      <c r="B1394">
        <v>32</v>
      </c>
      <c r="C1394">
        <f t="shared" si="47"/>
        <v>28.711651609999961</v>
      </c>
      <c r="D1394">
        <f t="shared" si="48"/>
        <v>3.2883483900000385</v>
      </c>
    </row>
    <row r="1395" spans="1:7">
      <c r="A1395">
        <v>1394</v>
      </c>
      <c r="B1395">
        <v>48</v>
      </c>
      <c r="C1395">
        <f t="shared" si="47"/>
        <v>28.47280803999999</v>
      </c>
      <c r="D1395">
        <f t="shared" si="48"/>
        <v>19.52719196000001</v>
      </c>
    </row>
    <row r="1396" spans="1:7">
      <c r="A1396">
        <v>1395</v>
      </c>
      <c r="B1396">
        <v>53</v>
      </c>
      <c r="C1396">
        <f t="shared" si="47"/>
        <v>28.233662249999981</v>
      </c>
      <c r="D1396">
        <f t="shared" si="48"/>
        <v>24.766337750000019</v>
      </c>
    </row>
    <row r="1397" spans="1:7">
      <c r="A1397">
        <v>1396</v>
      </c>
      <c r="B1397">
        <v>69</v>
      </c>
      <c r="C1397">
        <f t="shared" si="47"/>
        <v>27.994214239999991</v>
      </c>
      <c r="D1397">
        <f t="shared" si="48"/>
        <v>41.005785760000009</v>
      </c>
    </row>
    <row r="1398" spans="1:7">
      <c r="A1398">
        <v>1397</v>
      </c>
      <c r="B1398">
        <v>95</v>
      </c>
      <c r="C1398">
        <f t="shared" si="47"/>
        <v>27.754464009999964</v>
      </c>
      <c r="D1398">
        <f t="shared" si="48"/>
        <v>67.245535990000036</v>
      </c>
    </row>
    <row r="1399" spans="1:7">
      <c r="A1399">
        <v>1398</v>
      </c>
      <c r="B1399">
        <v>176</v>
      </c>
      <c r="C1399">
        <f t="shared" si="47"/>
        <v>27.514411559999957</v>
      </c>
      <c r="D1399">
        <f t="shared" si="48"/>
        <v>148.48558844000004</v>
      </c>
    </row>
    <row r="1400" spans="1:7">
      <c r="A1400">
        <v>1399</v>
      </c>
      <c r="B1400">
        <v>394</v>
      </c>
      <c r="C1400">
        <f t="shared" si="47"/>
        <v>27.274056889999969</v>
      </c>
      <c r="D1400">
        <f t="shared" si="48"/>
        <v>366.72594311</v>
      </c>
    </row>
    <row r="1401" spans="1:7">
      <c r="A1401">
        <v>1400</v>
      </c>
      <c r="B1401">
        <v>850</v>
      </c>
      <c r="C1401">
        <f t="shared" si="47"/>
        <v>27.033399999999972</v>
      </c>
      <c r="D1401">
        <f t="shared" si="48"/>
        <v>822.96659999999997</v>
      </c>
    </row>
    <row r="1402" spans="1:7">
      <c r="A1402">
        <v>1401</v>
      </c>
      <c r="B1402">
        <v>1413</v>
      </c>
      <c r="C1402">
        <f t="shared" si="47"/>
        <v>26.792440890000023</v>
      </c>
      <c r="D1402">
        <f t="shared" si="48"/>
        <v>1386.2075591099999</v>
      </c>
    </row>
    <row r="1403" spans="1:7" ht="17.25">
      <c r="A1403">
        <v>1402</v>
      </c>
      <c r="B1403">
        <v>1732</v>
      </c>
      <c r="C1403">
        <f t="shared" si="47"/>
        <v>26.55117955999998</v>
      </c>
      <c r="D1403">
        <f t="shared" si="48"/>
        <v>1705.44882044</v>
      </c>
      <c r="F1403">
        <v>1402</v>
      </c>
      <c r="G1403" t="s">
        <v>37</v>
      </c>
    </row>
    <row r="1404" spans="1:7">
      <c r="A1404">
        <v>1403</v>
      </c>
      <c r="B1404">
        <v>1406</v>
      </c>
      <c r="C1404">
        <f t="shared" si="47"/>
        <v>26.309616009999957</v>
      </c>
      <c r="D1404">
        <f t="shared" si="48"/>
        <v>1379.6903839900001</v>
      </c>
    </row>
    <row r="1405" spans="1:7">
      <c r="A1405">
        <v>1404</v>
      </c>
      <c r="B1405">
        <v>788</v>
      </c>
      <c r="C1405">
        <f t="shared" si="47"/>
        <v>26.067750240000009</v>
      </c>
      <c r="D1405">
        <f t="shared" si="48"/>
        <v>761.93224975999999</v>
      </c>
    </row>
    <row r="1406" spans="1:7">
      <c r="A1406">
        <v>1405</v>
      </c>
      <c r="B1406">
        <v>323</v>
      </c>
      <c r="C1406">
        <f t="shared" si="47"/>
        <v>25.82558224999994</v>
      </c>
      <c r="D1406">
        <f t="shared" si="48"/>
        <v>297.17441775000009</v>
      </c>
    </row>
    <row r="1407" spans="1:7">
      <c r="A1407">
        <v>1406</v>
      </c>
      <c r="B1407">
        <v>171</v>
      </c>
      <c r="C1407">
        <f t="shared" si="47"/>
        <v>25.583112039999918</v>
      </c>
      <c r="D1407">
        <f t="shared" si="48"/>
        <v>145.41688796000008</v>
      </c>
    </row>
    <row r="1408" spans="1:7">
      <c r="A1408">
        <v>1407</v>
      </c>
      <c r="B1408">
        <v>128</v>
      </c>
      <c r="C1408">
        <f t="shared" si="47"/>
        <v>25.340339610000029</v>
      </c>
      <c r="D1408">
        <f t="shared" si="48"/>
        <v>102.65966038999997</v>
      </c>
    </row>
    <row r="1409" spans="1:7">
      <c r="A1409">
        <v>1408</v>
      </c>
      <c r="B1409">
        <v>107</v>
      </c>
      <c r="C1409">
        <f t="shared" si="47"/>
        <v>25.09726495999999</v>
      </c>
      <c r="D1409">
        <f t="shared" si="48"/>
        <v>81.90273504000001</v>
      </c>
    </row>
    <row r="1410" spans="1:7">
      <c r="A1410">
        <v>1409</v>
      </c>
      <c r="B1410">
        <v>107</v>
      </c>
      <c r="C1410">
        <f t="shared" ref="C1410:C1473" si="49" xml:space="preserve"> -0.00015111*A1410*A1410 + 0.1823*A1410 + 67.989</f>
        <v>24.85388808999997</v>
      </c>
      <c r="D1410">
        <f t="shared" ref="D1410:D1473" si="50">B1410-C1410</f>
        <v>82.14611191000003</v>
      </c>
    </row>
    <row r="1411" spans="1:7">
      <c r="A1411">
        <v>1410</v>
      </c>
      <c r="B1411">
        <v>150</v>
      </c>
      <c r="C1411">
        <f t="shared" si="49"/>
        <v>24.610209000000026</v>
      </c>
      <c r="D1411">
        <f t="shared" si="50"/>
        <v>125.38979099999997</v>
      </c>
    </row>
    <row r="1412" spans="1:7">
      <c r="A1412">
        <v>1411</v>
      </c>
      <c r="B1412">
        <v>278</v>
      </c>
      <c r="C1412">
        <f t="shared" si="49"/>
        <v>24.366227689999988</v>
      </c>
      <c r="D1412">
        <f t="shared" si="50"/>
        <v>253.63377231000001</v>
      </c>
    </row>
    <row r="1413" spans="1:7">
      <c r="A1413">
        <v>1412</v>
      </c>
      <c r="B1413">
        <v>437</v>
      </c>
      <c r="C1413">
        <f t="shared" si="49"/>
        <v>24.121944160000027</v>
      </c>
      <c r="D1413">
        <f t="shared" si="50"/>
        <v>412.87805584</v>
      </c>
    </row>
    <row r="1414" spans="1:7" ht="17.25">
      <c r="A1414">
        <v>1413</v>
      </c>
      <c r="B1414">
        <v>521</v>
      </c>
      <c r="C1414">
        <f t="shared" si="49"/>
        <v>23.877358409999971</v>
      </c>
      <c r="D1414">
        <f t="shared" si="50"/>
        <v>497.12264159000006</v>
      </c>
      <c r="F1414">
        <v>1413</v>
      </c>
      <c r="G1414" t="s">
        <v>38</v>
      </c>
    </row>
    <row r="1415" spans="1:7">
      <c r="A1415">
        <v>1414</v>
      </c>
      <c r="B1415">
        <v>444</v>
      </c>
      <c r="C1415">
        <f t="shared" si="49"/>
        <v>23.632470439999992</v>
      </c>
      <c r="D1415">
        <f t="shared" si="50"/>
        <v>420.36752955999998</v>
      </c>
    </row>
    <row r="1416" spans="1:7">
      <c r="A1416">
        <v>1415</v>
      </c>
      <c r="B1416">
        <v>258</v>
      </c>
      <c r="C1416">
        <f t="shared" si="49"/>
        <v>23.387280249999975</v>
      </c>
      <c r="D1416">
        <f t="shared" si="50"/>
        <v>234.61271975000002</v>
      </c>
    </row>
    <row r="1417" spans="1:7">
      <c r="A1417">
        <v>1416</v>
      </c>
      <c r="B1417">
        <v>115</v>
      </c>
      <c r="C1417">
        <f t="shared" si="49"/>
        <v>23.141787839999978</v>
      </c>
      <c r="D1417">
        <f t="shared" si="50"/>
        <v>91.858212160000022</v>
      </c>
    </row>
    <row r="1418" spans="1:7">
      <c r="A1418">
        <v>1417</v>
      </c>
      <c r="B1418">
        <v>64</v>
      </c>
      <c r="C1418">
        <f t="shared" si="49"/>
        <v>22.895993209999943</v>
      </c>
      <c r="D1418">
        <f t="shared" si="50"/>
        <v>41.104006790000057</v>
      </c>
    </row>
    <row r="1419" spans="1:7">
      <c r="A1419">
        <v>1418</v>
      </c>
      <c r="B1419">
        <v>39</v>
      </c>
      <c r="C1419">
        <f t="shared" si="49"/>
        <v>22.649896359999985</v>
      </c>
      <c r="D1419">
        <f t="shared" si="50"/>
        <v>16.350103640000015</v>
      </c>
    </row>
    <row r="1420" spans="1:7">
      <c r="A1420">
        <v>1419</v>
      </c>
      <c r="B1420">
        <v>30</v>
      </c>
      <c r="C1420">
        <f t="shared" si="49"/>
        <v>22.40349728999999</v>
      </c>
      <c r="D1420">
        <f t="shared" si="50"/>
        <v>7.59650271000001</v>
      </c>
    </row>
    <row r="1421" spans="1:7">
      <c r="A1421">
        <v>1420</v>
      </c>
      <c r="B1421">
        <v>21</v>
      </c>
      <c r="C1421">
        <f t="shared" si="49"/>
        <v>22.156795999999957</v>
      </c>
      <c r="D1421">
        <f t="shared" si="50"/>
        <v>-1.1567959999999573</v>
      </c>
    </row>
    <row r="1422" spans="1:7">
      <c r="A1422">
        <v>1421</v>
      </c>
      <c r="B1422">
        <v>18</v>
      </c>
      <c r="C1422">
        <f t="shared" si="49"/>
        <v>21.909792490000001</v>
      </c>
      <c r="D1422">
        <f t="shared" si="50"/>
        <v>-3.909792490000001</v>
      </c>
    </row>
    <row r="1423" spans="1:7">
      <c r="A1423">
        <v>1422</v>
      </c>
      <c r="B1423">
        <v>15</v>
      </c>
      <c r="C1423">
        <f t="shared" si="49"/>
        <v>21.66248675999995</v>
      </c>
      <c r="D1423">
        <f t="shared" si="50"/>
        <v>-6.6624867599999504</v>
      </c>
    </row>
    <row r="1424" spans="1:7">
      <c r="A1424">
        <v>1423</v>
      </c>
      <c r="B1424">
        <v>25</v>
      </c>
      <c r="C1424">
        <f t="shared" si="49"/>
        <v>21.414878809999976</v>
      </c>
      <c r="D1424">
        <f t="shared" si="50"/>
        <v>3.5851211900000237</v>
      </c>
    </row>
    <row r="1425" spans="1:4">
      <c r="A1425">
        <v>1424</v>
      </c>
      <c r="B1425">
        <v>26</v>
      </c>
      <c r="C1425">
        <f t="shared" si="49"/>
        <v>21.166968639999965</v>
      </c>
      <c r="D1425">
        <f t="shared" si="50"/>
        <v>4.8330313600000352</v>
      </c>
    </row>
    <row r="1426" spans="1:4">
      <c r="A1426">
        <v>1425</v>
      </c>
      <c r="B1426">
        <v>32</v>
      </c>
      <c r="C1426">
        <f t="shared" si="49"/>
        <v>20.918756249999973</v>
      </c>
      <c r="D1426">
        <f t="shared" si="50"/>
        <v>11.081243750000027</v>
      </c>
    </row>
    <row r="1427" spans="1:4">
      <c r="A1427">
        <v>1426</v>
      </c>
      <c r="B1427">
        <v>31</v>
      </c>
      <c r="C1427">
        <f t="shared" si="49"/>
        <v>20.67024164</v>
      </c>
      <c r="D1427">
        <f t="shared" si="50"/>
        <v>10.32975836</v>
      </c>
    </row>
    <row r="1428" spans="1:4">
      <c r="A1428">
        <v>1427</v>
      </c>
      <c r="B1428">
        <v>41</v>
      </c>
      <c r="C1428">
        <f t="shared" si="49"/>
        <v>20.421424809999991</v>
      </c>
      <c r="D1428">
        <f t="shared" si="50"/>
        <v>20.578575190000009</v>
      </c>
    </row>
    <row r="1429" spans="1:4">
      <c r="A1429">
        <v>1428</v>
      </c>
      <c r="B1429">
        <v>35</v>
      </c>
      <c r="C1429">
        <f t="shared" si="49"/>
        <v>20.172305759999944</v>
      </c>
      <c r="D1429">
        <f t="shared" si="50"/>
        <v>14.827694240000056</v>
      </c>
    </row>
    <row r="1430" spans="1:4">
      <c r="A1430">
        <v>1429</v>
      </c>
      <c r="B1430">
        <v>32</v>
      </c>
      <c r="C1430">
        <f t="shared" si="49"/>
        <v>19.922884489999973</v>
      </c>
      <c r="D1430">
        <f t="shared" si="50"/>
        <v>12.077115510000027</v>
      </c>
    </row>
    <row r="1431" spans="1:4">
      <c r="A1431">
        <v>1430</v>
      </c>
      <c r="B1431">
        <v>20</v>
      </c>
      <c r="C1431">
        <f t="shared" si="49"/>
        <v>19.673160999999965</v>
      </c>
      <c r="D1431">
        <f t="shared" si="50"/>
        <v>0.32683900000003518</v>
      </c>
    </row>
    <row r="1432" spans="1:4">
      <c r="A1432">
        <v>1431</v>
      </c>
      <c r="B1432">
        <v>17</v>
      </c>
      <c r="C1432">
        <f t="shared" si="49"/>
        <v>19.423135289999919</v>
      </c>
      <c r="D1432">
        <f t="shared" si="50"/>
        <v>-2.4231352899999195</v>
      </c>
    </row>
    <row r="1433" spans="1:4">
      <c r="A1433">
        <v>1432</v>
      </c>
      <c r="B1433">
        <v>14</v>
      </c>
      <c r="C1433">
        <f t="shared" si="49"/>
        <v>19.17280735999995</v>
      </c>
      <c r="D1433">
        <f t="shared" si="50"/>
        <v>-5.1728073599999504</v>
      </c>
    </row>
    <row r="1434" spans="1:4">
      <c r="A1434">
        <v>1433</v>
      </c>
      <c r="B1434">
        <v>12</v>
      </c>
      <c r="C1434">
        <f t="shared" si="49"/>
        <v>18.922177209999944</v>
      </c>
      <c r="D1434">
        <f t="shared" si="50"/>
        <v>-6.9221772099999441</v>
      </c>
    </row>
    <row r="1435" spans="1:4">
      <c r="A1435">
        <v>1434</v>
      </c>
      <c r="B1435">
        <v>12</v>
      </c>
      <c r="C1435">
        <f t="shared" si="49"/>
        <v>18.671244840000014</v>
      </c>
      <c r="D1435">
        <f t="shared" si="50"/>
        <v>-6.6712448400000142</v>
      </c>
    </row>
    <row r="1436" spans="1:4">
      <c r="A1436">
        <v>1435</v>
      </c>
      <c r="B1436">
        <v>18</v>
      </c>
      <c r="C1436">
        <f t="shared" si="49"/>
        <v>18.42001024999999</v>
      </c>
      <c r="D1436">
        <f t="shared" si="50"/>
        <v>-0.42001024999999004</v>
      </c>
    </row>
    <row r="1437" spans="1:4">
      <c r="A1437">
        <v>1436</v>
      </c>
      <c r="B1437">
        <v>18</v>
      </c>
      <c r="C1437">
        <f t="shared" si="49"/>
        <v>18.168473439999985</v>
      </c>
      <c r="D1437">
        <f t="shared" si="50"/>
        <v>-0.16847343999998543</v>
      </c>
    </row>
    <row r="1438" spans="1:4">
      <c r="A1438">
        <v>1437</v>
      </c>
      <c r="B1438">
        <v>12</v>
      </c>
      <c r="C1438">
        <f t="shared" si="49"/>
        <v>17.91663441</v>
      </c>
      <c r="D1438">
        <f t="shared" si="50"/>
        <v>-5.9166344100000003</v>
      </c>
    </row>
    <row r="1439" spans="1:4">
      <c r="A1439">
        <v>1438</v>
      </c>
      <c r="B1439">
        <v>16</v>
      </c>
      <c r="C1439">
        <f t="shared" si="49"/>
        <v>17.664493159999978</v>
      </c>
      <c r="D1439">
        <f t="shared" si="50"/>
        <v>-1.6644931599999779</v>
      </c>
    </row>
    <row r="1440" spans="1:4">
      <c r="A1440">
        <v>1439</v>
      </c>
      <c r="B1440">
        <v>21</v>
      </c>
      <c r="C1440">
        <f t="shared" si="49"/>
        <v>17.412049689999975</v>
      </c>
      <c r="D1440">
        <f t="shared" si="50"/>
        <v>3.587950310000025</v>
      </c>
    </row>
    <row r="1441" spans="1:4">
      <c r="A1441">
        <v>1440</v>
      </c>
      <c r="B1441">
        <v>20</v>
      </c>
      <c r="C1441">
        <f t="shared" si="49"/>
        <v>17.159303999999992</v>
      </c>
      <c r="D1441">
        <f t="shared" si="50"/>
        <v>2.8406960000000083</v>
      </c>
    </row>
    <row r="1442" spans="1:4">
      <c r="A1442">
        <v>1441</v>
      </c>
      <c r="B1442">
        <v>25</v>
      </c>
      <c r="C1442">
        <f t="shared" si="49"/>
        <v>16.906256089999971</v>
      </c>
      <c r="D1442">
        <f t="shared" si="50"/>
        <v>8.093743910000029</v>
      </c>
    </row>
    <row r="1443" spans="1:4">
      <c r="A1443">
        <v>1442</v>
      </c>
      <c r="B1443">
        <v>38</v>
      </c>
      <c r="C1443">
        <f t="shared" si="49"/>
        <v>16.65290595999997</v>
      </c>
      <c r="D1443">
        <f t="shared" si="50"/>
        <v>21.34709404000003</v>
      </c>
    </row>
    <row r="1444" spans="1:4">
      <c r="A1444">
        <v>1443</v>
      </c>
      <c r="B1444">
        <v>51</v>
      </c>
      <c r="C1444">
        <f t="shared" si="49"/>
        <v>16.399253609999988</v>
      </c>
      <c r="D1444">
        <f t="shared" si="50"/>
        <v>34.600746390000012</v>
      </c>
    </row>
    <row r="1445" spans="1:4">
      <c r="A1445">
        <v>1444</v>
      </c>
      <c r="B1445">
        <v>46</v>
      </c>
      <c r="C1445">
        <f t="shared" si="49"/>
        <v>16.145299039999969</v>
      </c>
      <c r="D1445">
        <f t="shared" si="50"/>
        <v>29.854700960000031</v>
      </c>
    </row>
    <row r="1446" spans="1:4">
      <c r="A1446">
        <v>1445</v>
      </c>
      <c r="B1446">
        <v>40</v>
      </c>
      <c r="C1446">
        <f t="shared" si="49"/>
        <v>15.89104224999997</v>
      </c>
      <c r="D1446">
        <f t="shared" si="50"/>
        <v>24.10895775000003</v>
      </c>
    </row>
    <row r="1447" spans="1:4">
      <c r="A1447">
        <v>1446</v>
      </c>
      <c r="B1447">
        <v>20</v>
      </c>
      <c r="C1447">
        <f t="shared" si="49"/>
        <v>15.63648323999999</v>
      </c>
      <c r="D1447">
        <f t="shared" si="50"/>
        <v>4.3635167600000102</v>
      </c>
    </row>
    <row r="1448" spans="1:4">
      <c r="A1448">
        <v>1447</v>
      </c>
      <c r="B1448">
        <v>11</v>
      </c>
      <c r="C1448">
        <f t="shared" si="49"/>
        <v>15.381622009999973</v>
      </c>
      <c r="D1448">
        <f t="shared" si="50"/>
        <v>-4.3816220099999725</v>
      </c>
    </row>
    <row r="1449" spans="1:4">
      <c r="A1449">
        <v>1448</v>
      </c>
      <c r="B1449">
        <v>20</v>
      </c>
      <c r="C1449">
        <f t="shared" si="49"/>
        <v>15.126458559999975</v>
      </c>
      <c r="D1449">
        <f t="shared" si="50"/>
        <v>4.8735414400000252</v>
      </c>
    </row>
    <row r="1450" spans="1:4">
      <c r="A1450">
        <v>1449</v>
      </c>
      <c r="B1450">
        <v>11</v>
      </c>
      <c r="C1450">
        <f t="shared" si="49"/>
        <v>14.870992889999997</v>
      </c>
      <c r="D1450">
        <f t="shared" si="50"/>
        <v>-3.8709928899999966</v>
      </c>
    </row>
    <row r="1451" spans="1:4">
      <c r="A1451">
        <v>1450</v>
      </c>
      <c r="B1451">
        <v>17</v>
      </c>
      <c r="C1451">
        <f t="shared" si="49"/>
        <v>14.615224999999981</v>
      </c>
      <c r="D1451">
        <f t="shared" si="50"/>
        <v>2.384775000000019</v>
      </c>
    </row>
    <row r="1452" spans="1:4">
      <c r="A1452">
        <v>1451</v>
      </c>
      <c r="B1452">
        <v>25</v>
      </c>
      <c r="C1452">
        <f t="shared" si="49"/>
        <v>14.359154889999928</v>
      </c>
      <c r="D1452">
        <f t="shared" si="50"/>
        <v>10.640845110000072</v>
      </c>
    </row>
    <row r="1453" spans="1:4">
      <c r="A1453">
        <v>1452</v>
      </c>
      <c r="B1453">
        <v>18</v>
      </c>
      <c r="C1453">
        <f t="shared" si="49"/>
        <v>14.102782559999952</v>
      </c>
      <c r="D1453">
        <f t="shared" si="50"/>
        <v>3.8972174400000483</v>
      </c>
    </row>
    <row r="1454" spans="1:4">
      <c r="A1454">
        <v>1453</v>
      </c>
      <c r="B1454">
        <v>19</v>
      </c>
      <c r="C1454">
        <f t="shared" si="49"/>
        <v>13.846108009999938</v>
      </c>
      <c r="D1454">
        <f t="shared" si="50"/>
        <v>5.1538919900000622</v>
      </c>
    </row>
    <row r="1455" spans="1:4">
      <c r="A1455">
        <v>1454</v>
      </c>
      <c r="B1455">
        <v>16</v>
      </c>
      <c r="C1455">
        <f t="shared" si="49"/>
        <v>13.589131239999944</v>
      </c>
      <c r="D1455">
        <f t="shared" si="50"/>
        <v>2.4108687600000565</v>
      </c>
    </row>
    <row r="1456" spans="1:4">
      <c r="A1456">
        <v>1455</v>
      </c>
      <c r="B1456">
        <v>6</v>
      </c>
      <c r="C1456">
        <f t="shared" si="49"/>
        <v>13.331852249999969</v>
      </c>
      <c r="D1456">
        <f t="shared" si="50"/>
        <v>-7.3318522499999688</v>
      </c>
    </row>
    <row r="1457" spans="1:4">
      <c r="A1457">
        <v>1456</v>
      </c>
      <c r="B1457">
        <v>15</v>
      </c>
      <c r="C1457">
        <f t="shared" si="49"/>
        <v>13.074271039999957</v>
      </c>
      <c r="D1457">
        <f t="shared" si="50"/>
        <v>1.9257289600000433</v>
      </c>
    </row>
    <row r="1458" spans="1:4">
      <c r="A1458">
        <v>1457</v>
      </c>
      <c r="B1458">
        <v>7</v>
      </c>
      <c r="C1458">
        <f t="shared" si="49"/>
        <v>12.816387609999907</v>
      </c>
      <c r="D1458">
        <f t="shared" si="50"/>
        <v>-5.8163876099999072</v>
      </c>
    </row>
    <row r="1459" spans="1:4">
      <c r="A1459">
        <v>1458</v>
      </c>
      <c r="B1459">
        <v>25</v>
      </c>
      <c r="C1459">
        <f t="shared" si="49"/>
        <v>12.558201959999934</v>
      </c>
      <c r="D1459">
        <f t="shared" si="50"/>
        <v>12.441798040000066</v>
      </c>
    </row>
    <row r="1460" spans="1:4">
      <c r="A1460">
        <v>1459</v>
      </c>
      <c r="B1460">
        <v>37</v>
      </c>
      <c r="C1460">
        <f t="shared" si="49"/>
        <v>12.299714089999924</v>
      </c>
      <c r="D1460">
        <f t="shared" si="50"/>
        <v>24.700285910000076</v>
      </c>
    </row>
    <row r="1461" spans="1:4">
      <c r="A1461">
        <v>1460</v>
      </c>
      <c r="B1461">
        <v>32</v>
      </c>
      <c r="C1461">
        <f t="shared" si="49"/>
        <v>12.04092399999999</v>
      </c>
      <c r="D1461">
        <f t="shared" si="50"/>
        <v>19.95907600000001</v>
      </c>
    </row>
    <row r="1462" spans="1:4">
      <c r="A1462">
        <v>1461</v>
      </c>
      <c r="B1462">
        <v>17</v>
      </c>
      <c r="C1462">
        <f t="shared" si="49"/>
        <v>11.781831690000018</v>
      </c>
      <c r="D1462">
        <f t="shared" si="50"/>
        <v>5.2181683099999816</v>
      </c>
    </row>
    <row r="1463" spans="1:4">
      <c r="A1463">
        <v>1462</v>
      </c>
      <c r="B1463">
        <v>15</v>
      </c>
      <c r="C1463">
        <f t="shared" si="49"/>
        <v>11.52243716000001</v>
      </c>
      <c r="D1463">
        <f t="shared" si="50"/>
        <v>3.4775628399999903</v>
      </c>
    </row>
    <row r="1464" spans="1:4">
      <c r="A1464">
        <v>1463</v>
      </c>
      <c r="B1464">
        <v>18</v>
      </c>
      <c r="C1464">
        <f t="shared" si="49"/>
        <v>11.262740410000021</v>
      </c>
      <c r="D1464">
        <f t="shared" si="50"/>
        <v>6.7372595899999794</v>
      </c>
    </row>
    <row r="1465" spans="1:4">
      <c r="A1465">
        <v>1464</v>
      </c>
      <c r="B1465">
        <v>19</v>
      </c>
      <c r="C1465">
        <f t="shared" si="49"/>
        <v>11.002741439999994</v>
      </c>
      <c r="D1465">
        <f t="shared" si="50"/>
        <v>7.9972585600000059</v>
      </c>
    </row>
    <row r="1466" spans="1:4">
      <c r="A1466">
        <v>1465</v>
      </c>
      <c r="B1466">
        <v>20</v>
      </c>
      <c r="C1466">
        <f t="shared" si="49"/>
        <v>10.742440249999987</v>
      </c>
      <c r="D1466">
        <f t="shared" si="50"/>
        <v>9.2575597500000129</v>
      </c>
    </row>
    <row r="1467" spans="1:4">
      <c r="A1467">
        <v>1466</v>
      </c>
      <c r="B1467">
        <v>17</v>
      </c>
      <c r="C1467">
        <f t="shared" si="49"/>
        <v>10.48183684</v>
      </c>
      <c r="D1467">
        <f t="shared" si="50"/>
        <v>6.5181631600000003</v>
      </c>
    </row>
    <row r="1468" spans="1:4">
      <c r="A1468">
        <v>1467</v>
      </c>
      <c r="B1468">
        <v>13</v>
      </c>
      <c r="C1468">
        <f t="shared" si="49"/>
        <v>10.220931209999975</v>
      </c>
      <c r="D1468">
        <f t="shared" si="50"/>
        <v>2.779068790000025</v>
      </c>
    </row>
    <row r="1469" spans="1:4">
      <c r="A1469">
        <v>1468</v>
      </c>
      <c r="B1469">
        <v>9</v>
      </c>
      <c r="C1469">
        <f t="shared" si="49"/>
        <v>9.9597233599999697</v>
      </c>
      <c r="D1469">
        <f t="shared" si="50"/>
        <v>-0.95972335999996972</v>
      </c>
    </row>
    <row r="1470" spans="1:4">
      <c r="A1470">
        <v>1469</v>
      </c>
      <c r="B1470">
        <v>11</v>
      </c>
      <c r="C1470">
        <f t="shared" si="49"/>
        <v>9.698213289999984</v>
      </c>
      <c r="D1470">
        <f t="shared" si="50"/>
        <v>1.301786710000016</v>
      </c>
    </row>
    <row r="1471" spans="1:4">
      <c r="A1471">
        <v>1470</v>
      </c>
      <c r="B1471">
        <v>21</v>
      </c>
      <c r="C1471">
        <f t="shared" si="49"/>
        <v>9.436400999999961</v>
      </c>
      <c r="D1471">
        <f t="shared" si="50"/>
        <v>11.563599000000039</v>
      </c>
    </row>
    <row r="1472" spans="1:4">
      <c r="A1472">
        <v>1471</v>
      </c>
      <c r="B1472">
        <v>30</v>
      </c>
      <c r="C1472">
        <f t="shared" si="49"/>
        <v>9.1742864899999574</v>
      </c>
      <c r="D1472">
        <f t="shared" si="50"/>
        <v>20.825713510000043</v>
      </c>
    </row>
    <row r="1473" spans="1:4">
      <c r="A1473">
        <v>1472</v>
      </c>
      <c r="B1473">
        <v>21</v>
      </c>
      <c r="C1473">
        <f t="shared" si="49"/>
        <v>8.9118697599999734</v>
      </c>
      <c r="D1473">
        <f t="shared" si="50"/>
        <v>12.088130240000027</v>
      </c>
    </row>
    <row r="1474" spans="1:4">
      <c r="A1474">
        <v>1473</v>
      </c>
      <c r="B1474">
        <v>10</v>
      </c>
      <c r="C1474">
        <f t="shared" ref="C1474:C1530" si="51" xml:space="preserve"> -0.00015111*A1474*A1474 + 0.1823*A1474 + 67.989</f>
        <v>8.6491508099999521</v>
      </c>
      <c r="D1474">
        <f t="shared" ref="D1474:D1530" si="52">B1474-C1474</f>
        <v>1.3508491900000479</v>
      </c>
    </row>
    <row r="1475" spans="1:4">
      <c r="A1475">
        <v>1474</v>
      </c>
      <c r="B1475">
        <v>3</v>
      </c>
      <c r="C1475">
        <f t="shared" si="51"/>
        <v>8.3861296400000072</v>
      </c>
      <c r="D1475">
        <f t="shared" si="52"/>
        <v>-5.3861296400000072</v>
      </c>
    </row>
    <row r="1476" spans="1:4">
      <c r="A1476">
        <v>1475</v>
      </c>
      <c r="B1476">
        <v>0</v>
      </c>
      <c r="C1476">
        <f t="shared" si="51"/>
        <v>8.122806249999968</v>
      </c>
      <c r="D1476">
        <f t="shared" si="52"/>
        <v>-8.122806249999968</v>
      </c>
    </row>
    <row r="1477" spans="1:4">
      <c r="A1477">
        <v>1476</v>
      </c>
      <c r="B1477">
        <v>4</v>
      </c>
      <c r="C1477">
        <f t="shared" si="51"/>
        <v>7.8591806399999484</v>
      </c>
      <c r="D1477">
        <f t="shared" si="52"/>
        <v>-3.8591806399999484</v>
      </c>
    </row>
    <row r="1478" spans="1:4">
      <c r="A1478">
        <v>1477</v>
      </c>
      <c r="B1478">
        <v>7</v>
      </c>
      <c r="C1478">
        <f t="shared" si="51"/>
        <v>7.5952528100000052</v>
      </c>
      <c r="D1478">
        <f t="shared" si="52"/>
        <v>-0.59525281000000518</v>
      </c>
    </row>
    <row r="1479" spans="1:4">
      <c r="A1479">
        <v>1478</v>
      </c>
      <c r="B1479">
        <v>10</v>
      </c>
      <c r="C1479">
        <f t="shared" si="51"/>
        <v>7.3310227599999678</v>
      </c>
      <c r="D1479">
        <f t="shared" si="52"/>
        <v>2.6689772400000322</v>
      </c>
    </row>
    <row r="1480" spans="1:4">
      <c r="A1480">
        <v>1479</v>
      </c>
      <c r="B1480">
        <v>9</v>
      </c>
      <c r="C1480">
        <f t="shared" si="51"/>
        <v>7.0664904899999499</v>
      </c>
      <c r="D1480">
        <f t="shared" si="52"/>
        <v>1.9335095100000501</v>
      </c>
    </row>
    <row r="1481" spans="1:4">
      <c r="A1481">
        <v>1480</v>
      </c>
      <c r="B1481">
        <v>3</v>
      </c>
      <c r="C1481">
        <f t="shared" si="51"/>
        <v>6.8016559999999515</v>
      </c>
      <c r="D1481">
        <f t="shared" si="52"/>
        <v>-3.8016559999999515</v>
      </c>
    </row>
    <row r="1482" spans="1:4">
      <c r="A1482">
        <v>1481</v>
      </c>
      <c r="B1482">
        <v>-1</v>
      </c>
      <c r="C1482">
        <f t="shared" si="51"/>
        <v>6.5365192899999727</v>
      </c>
      <c r="D1482">
        <f t="shared" si="52"/>
        <v>-7.5365192899999727</v>
      </c>
    </row>
    <row r="1483" spans="1:4">
      <c r="A1483">
        <v>1482</v>
      </c>
      <c r="B1483">
        <v>0</v>
      </c>
      <c r="C1483">
        <f t="shared" si="51"/>
        <v>6.2710803599999565</v>
      </c>
      <c r="D1483">
        <f t="shared" si="52"/>
        <v>-6.2710803599999565</v>
      </c>
    </row>
    <row r="1484" spans="1:4">
      <c r="A1484">
        <v>1483</v>
      </c>
      <c r="B1484">
        <v>-3</v>
      </c>
      <c r="C1484">
        <f t="shared" si="51"/>
        <v>6.0053392099999598</v>
      </c>
      <c r="D1484">
        <f t="shared" si="52"/>
        <v>-9.0053392099999598</v>
      </c>
    </row>
    <row r="1485" spans="1:4">
      <c r="A1485">
        <v>1484</v>
      </c>
      <c r="B1485">
        <v>10</v>
      </c>
      <c r="C1485">
        <f t="shared" si="51"/>
        <v>5.7392958399999259</v>
      </c>
      <c r="D1485">
        <f t="shared" si="52"/>
        <v>4.2607041600000741</v>
      </c>
    </row>
    <row r="1486" spans="1:4">
      <c r="A1486">
        <v>1485</v>
      </c>
      <c r="B1486">
        <v>6</v>
      </c>
      <c r="C1486">
        <f t="shared" si="51"/>
        <v>5.4729502499999114</v>
      </c>
      <c r="D1486">
        <f t="shared" si="52"/>
        <v>0.52704975000008858</v>
      </c>
    </row>
    <row r="1487" spans="1:4">
      <c r="A1487">
        <v>1486</v>
      </c>
      <c r="B1487">
        <v>2</v>
      </c>
      <c r="C1487">
        <f t="shared" si="51"/>
        <v>5.2063024399999733</v>
      </c>
      <c r="D1487">
        <f t="shared" si="52"/>
        <v>-3.2063024399999733</v>
      </c>
    </row>
    <row r="1488" spans="1:4">
      <c r="A1488">
        <v>1487</v>
      </c>
      <c r="B1488">
        <v>2</v>
      </c>
      <c r="C1488">
        <f t="shared" si="51"/>
        <v>4.9393524099999411</v>
      </c>
      <c r="D1488">
        <f t="shared" si="52"/>
        <v>-2.9393524099999411</v>
      </c>
    </row>
    <row r="1489" spans="1:4">
      <c r="A1489">
        <v>1488</v>
      </c>
      <c r="B1489">
        <v>0</v>
      </c>
      <c r="C1489">
        <f t="shared" si="51"/>
        <v>4.6721001599999283</v>
      </c>
      <c r="D1489">
        <f t="shared" si="52"/>
        <v>-4.6721001599999283</v>
      </c>
    </row>
    <row r="1490" spans="1:4">
      <c r="A1490">
        <v>1489</v>
      </c>
      <c r="B1490">
        <v>5</v>
      </c>
      <c r="C1490">
        <f t="shared" si="51"/>
        <v>4.404545689999992</v>
      </c>
      <c r="D1490">
        <f t="shared" si="52"/>
        <v>0.59545431000000804</v>
      </c>
    </row>
    <row r="1491" spans="1:4">
      <c r="A1491">
        <v>1490</v>
      </c>
      <c r="B1491">
        <v>7</v>
      </c>
      <c r="C1491">
        <f t="shared" si="51"/>
        <v>4.1366889999999614</v>
      </c>
      <c r="D1491">
        <f t="shared" si="52"/>
        <v>2.8633110000000386</v>
      </c>
    </row>
    <row r="1492" spans="1:4">
      <c r="A1492">
        <v>1491</v>
      </c>
      <c r="B1492">
        <v>21</v>
      </c>
      <c r="C1492">
        <f t="shared" si="51"/>
        <v>3.8685300900000072</v>
      </c>
      <c r="D1492">
        <f t="shared" si="52"/>
        <v>17.131469909999993</v>
      </c>
    </row>
    <row r="1493" spans="1:4">
      <c r="A1493">
        <v>1492</v>
      </c>
      <c r="B1493">
        <v>16</v>
      </c>
      <c r="C1493">
        <f t="shared" si="51"/>
        <v>3.6000689600000157</v>
      </c>
      <c r="D1493">
        <f t="shared" si="52"/>
        <v>12.399931039999984</v>
      </c>
    </row>
    <row r="1494" spans="1:4">
      <c r="A1494">
        <v>1493</v>
      </c>
      <c r="B1494">
        <v>11</v>
      </c>
      <c r="C1494">
        <f t="shared" si="51"/>
        <v>3.3313056099999869</v>
      </c>
      <c r="D1494">
        <f t="shared" si="52"/>
        <v>7.6686943900000131</v>
      </c>
    </row>
    <row r="1495" spans="1:4">
      <c r="A1495">
        <v>1494</v>
      </c>
      <c r="B1495">
        <v>12</v>
      </c>
      <c r="C1495">
        <f t="shared" si="51"/>
        <v>3.0622400399999776</v>
      </c>
      <c r="D1495">
        <f t="shared" si="52"/>
        <v>8.9377599600000224</v>
      </c>
    </row>
    <row r="1496" spans="1:4">
      <c r="A1496">
        <v>1495</v>
      </c>
      <c r="B1496">
        <v>6</v>
      </c>
      <c r="C1496">
        <f t="shared" si="51"/>
        <v>2.7928722499999878</v>
      </c>
      <c r="D1496">
        <f t="shared" si="52"/>
        <v>3.2071277500000122</v>
      </c>
    </row>
    <row r="1497" spans="1:4">
      <c r="A1497">
        <v>1496</v>
      </c>
      <c r="B1497">
        <v>-2</v>
      </c>
      <c r="C1497">
        <f t="shared" si="51"/>
        <v>2.5232022399999607</v>
      </c>
      <c r="D1497">
        <f t="shared" si="52"/>
        <v>-4.5232022399999607</v>
      </c>
    </row>
    <row r="1498" spans="1:4">
      <c r="A1498">
        <v>1497</v>
      </c>
      <c r="B1498">
        <v>2</v>
      </c>
      <c r="C1498">
        <f t="shared" si="51"/>
        <v>2.25323001000001</v>
      </c>
      <c r="D1498">
        <f t="shared" si="52"/>
        <v>-0.25323001000001</v>
      </c>
    </row>
    <row r="1499" spans="1:4">
      <c r="A1499">
        <v>1498</v>
      </c>
      <c r="B1499">
        <v>-8</v>
      </c>
      <c r="C1499">
        <f t="shared" si="51"/>
        <v>1.9829555599999651</v>
      </c>
      <c r="D1499">
        <f t="shared" si="52"/>
        <v>-9.9829555599999651</v>
      </c>
    </row>
    <row r="1500" spans="1:4">
      <c r="A1500">
        <v>1499</v>
      </c>
      <c r="B1500">
        <v>-1</v>
      </c>
      <c r="C1500">
        <f t="shared" si="51"/>
        <v>1.7123788899999397</v>
      </c>
      <c r="D1500">
        <f t="shared" si="52"/>
        <v>-2.7123788899999397</v>
      </c>
    </row>
    <row r="1501" spans="1:4">
      <c r="A1501">
        <v>1500</v>
      </c>
      <c r="B1501">
        <v>7</v>
      </c>
      <c r="C1501">
        <f t="shared" si="51"/>
        <v>1.4414999999999907</v>
      </c>
      <c r="D1501">
        <f t="shared" si="52"/>
        <v>5.5585000000000093</v>
      </c>
    </row>
    <row r="1502" spans="1:4">
      <c r="A1502">
        <v>1501</v>
      </c>
      <c r="B1502">
        <v>8</v>
      </c>
      <c r="C1502">
        <f t="shared" si="51"/>
        <v>1.1703188899999475</v>
      </c>
      <c r="D1502">
        <f t="shared" si="52"/>
        <v>6.8296811100000525</v>
      </c>
    </row>
    <row r="1503" spans="1:4">
      <c r="A1503">
        <v>1502</v>
      </c>
      <c r="B1503">
        <v>4</v>
      </c>
      <c r="C1503">
        <f t="shared" si="51"/>
        <v>0.89883555999992382</v>
      </c>
      <c r="D1503">
        <f t="shared" si="52"/>
        <v>3.1011644400000762</v>
      </c>
    </row>
    <row r="1504" spans="1:4">
      <c r="A1504">
        <v>1503</v>
      </c>
      <c r="B1504">
        <v>8</v>
      </c>
      <c r="C1504">
        <f t="shared" si="51"/>
        <v>0.62705000999997651</v>
      </c>
      <c r="D1504">
        <f t="shared" si="52"/>
        <v>7.3729499900000235</v>
      </c>
    </row>
    <row r="1505" spans="1:4">
      <c r="A1505">
        <v>1504</v>
      </c>
      <c r="B1505">
        <v>1</v>
      </c>
      <c r="C1505">
        <f t="shared" si="51"/>
        <v>0.35496223999993504</v>
      </c>
      <c r="D1505">
        <f t="shared" si="52"/>
        <v>0.64503776000006496</v>
      </c>
    </row>
    <row r="1506" spans="1:4">
      <c r="A1506">
        <v>1505</v>
      </c>
      <c r="B1506">
        <v>5</v>
      </c>
      <c r="C1506">
        <f t="shared" si="51"/>
        <v>8.2572249999969927E-2</v>
      </c>
      <c r="D1506">
        <f t="shared" si="52"/>
        <v>4.9174277500000301</v>
      </c>
    </row>
    <row r="1507" spans="1:4">
      <c r="A1507">
        <v>1506</v>
      </c>
      <c r="B1507">
        <v>0</v>
      </c>
      <c r="C1507">
        <f t="shared" si="51"/>
        <v>-0.19011996000003251</v>
      </c>
      <c r="D1507">
        <f t="shared" si="52"/>
        <v>0.19011996000003251</v>
      </c>
    </row>
    <row r="1508" spans="1:4">
      <c r="A1508">
        <v>1507</v>
      </c>
      <c r="B1508">
        <v>10</v>
      </c>
      <c r="C1508">
        <f t="shared" si="51"/>
        <v>-0.46311439000007226</v>
      </c>
      <c r="D1508">
        <f t="shared" si="52"/>
        <v>10.463114390000072</v>
      </c>
    </row>
    <row r="1509" spans="1:4">
      <c r="A1509">
        <v>1508</v>
      </c>
      <c r="B1509">
        <v>8</v>
      </c>
      <c r="C1509">
        <f t="shared" si="51"/>
        <v>-0.73641104000003565</v>
      </c>
      <c r="D1509">
        <f t="shared" si="52"/>
        <v>8.7364110400000357</v>
      </c>
    </row>
    <row r="1510" spans="1:4">
      <c r="A1510">
        <v>1509</v>
      </c>
      <c r="B1510">
        <v>6</v>
      </c>
      <c r="C1510">
        <f t="shared" si="51"/>
        <v>-1.0100099100000364</v>
      </c>
      <c r="D1510">
        <f t="shared" si="52"/>
        <v>7.0100099100000364</v>
      </c>
    </row>
    <row r="1511" spans="1:4">
      <c r="A1511">
        <v>1510</v>
      </c>
      <c r="B1511">
        <v>1</v>
      </c>
      <c r="C1511">
        <f t="shared" si="51"/>
        <v>-1.2839110000000744</v>
      </c>
      <c r="D1511">
        <f t="shared" si="52"/>
        <v>2.2839110000000744</v>
      </c>
    </row>
    <row r="1512" spans="1:4">
      <c r="A1512">
        <v>1511</v>
      </c>
      <c r="B1512">
        <v>0</v>
      </c>
      <c r="C1512">
        <f t="shared" si="51"/>
        <v>-1.5581143100000361</v>
      </c>
      <c r="D1512">
        <f t="shared" si="52"/>
        <v>1.5581143100000361</v>
      </c>
    </row>
    <row r="1513" spans="1:4">
      <c r="A1513">
        <v>1512</v>
      </c>
      <c r="B1513">
        <v>-5</v>
      </c>
      <c r="C1513">
        <f t="shared" si="51"/>
        <v>-1.8326198400000351</v>
      </c>
      <c r="D1513">
        <f t="shared" si="52"/>
        <v>-3.1673801599999649</v>
      </c>
    </row>
    <row r="1514" spans="1:4">
      <c r="A1514">
        <v>1513</v>
      </c>
      <c r="B1514">
        <v>-3</v>
      </c>
      <c r="C1514">
        <f t="shared" si="51"/>
        <v>-2.1074275900000714</v>
      </c>
      <c r="D1514">
        <f t="shared" si="52"/>
        <v>-0.8925724099999286</v>
      </c>
    </row>
    <row r="1515" spans="1:4">
      <c r="A1515">
        <v>1514</v>
      </c>
      <c r="B1515">
        <v>1</v>
      </c>
      <c r="C1515">
        <f t="shared" si="51"/>
        <v>-2.3825375600000314</v>
      </c>
      <c r="D1515">
        <f t="shared" si="52"/>
        <v>3.3825375600000314</v>
      </c>
    </row>
    <row r="1516" spans="1:4">
      <c r="A1516">
        <v>1515</v>
      </c>
      <c r="B1516">
        <v>10</v>
      </c>
      <c r="C1516">
        <f t="shared" si="51"/>
        <v>-2.6579497500000855</v>
      </c>
      <c r="D1516">
        <f t="shared" si="52"/>
        <v>12.657949750000085</v>
      </c>
    </row>
    <row r="1517" spans="1:4">
      <c r="A1517">
        <v>1516</v>
      </c>
      <c r="B1517">
        <v>13</v>
      </c>
      <c r="C1517">
        <f t="shared" si="51"/>
        <v>-2.9336641600000064</v>
      </c>
      <c r="D1517">
        <f t="shared" si="52"/>
        <v>15.933664160000006</v>
      </c>
    </row>
    <row r="1518" spans="1:4">
      <c r="A1518">
        <v>1517</v>
      </c>
      <c r="B1518">
        <v>-1</v>
      </c>
      <c r="C1518">
        <f t="shared" si="51"/>
        <v>-3.2096807900000215</v>
      </c>
      <c r="D1518">
        <f t="shared" si="52"/>
        <v>2.2096807900000215</v>
      </c>
    </row>
    <row r="1519" spans="1:4">
      <c r="A1519">
        <v>1518</v>
      </c>
      <c r="B1519">
        <v>0</v>
      </c>
      <c r="C1519">
        <f t="shared" si="51"/>
        <v>-3.4859996400000171</v>
      </c>
      <c r="D1519">
        <f t="shared" si="52"/>
        <v>3.4859996400000171</v>
      </c>
    </row>
    <row r="1520" spans="1:4">
      <c r="A1520">
        <v>1519</v>
      </c>
      <c r="B1520">
        <v>5</v>
      </c>
      <c r="C1520">
        <f t="shared" si="51"/>
        <v>-3.7626207100000499</v>
      </c>
      <c r="D1520">
        <f t="shared" si="52"/>
        <v>8.7626207100000499</v>
      </c>
    </row>
    <row r="1521" spans="1:4">
      <c r="A1521">
        <v>1520</v>
      </c>
      <c r="B1521">
        <v>3</v>
      </c>
      <c r="C1521">
        <f t="shared" si="51"/>
        <v>-4.0395440000000065</v>
      </c>
      <c r="D1521">
        <f t="shared" si="52"/>
        <v>7.0395440000000065</v>
      </c>
    </row>
    <row r="1522" spans="1:4">
      <c r="A1522">
        <v>1521</v>
      </c>
      <c r="B1522">
        <v>4</v>
      </c>
      <c r="C1522">
        <f t="shared" si="51"/>
        <v>-4.3167695100000003</v>
      </c>
      <c r="D1522">
        <f t="shared" si="52"/>
        <v>8.3167695100000003</v>
      </c>
    </row>
    <row r="1523" spans="1:4">
      <c r="A1523">
        <v>1522</v>
      </c>
      <c r="B1523">
        <v>17</v>
      </c>
      <c r="C1523">
        <f t="shared" si="51"/>
        <v>-4.5942972399999746</v>
      </c>
      <c r="D1523">
        <f t="shared" si="52"/>
        <v>21.594297239999975</v>
      </c>
    </row>
    <row r="1524" spans="1:4">
      <c r="A1524">
        <v>1523</v>
      </c>
      <c r="B1524">
        <v>9</v>
      </c>
      <c r="C1524">
        <f t="shared" si="51"/>
        <v>-4.8721271899999863</v>
      </c>
      <c r="D1524">
        <f t="shared" si="52"/>
        <v>13.872127189999986</v>
      </c>
    </row>
    <row r="1525" spans="1:4">
      <c r="A1525">
        <v>1524</v>
      </c>
      <c r="B1525">
        <v>8</v>
      </c>
      <c r="C1525">
        <f t="shared" si="51"/>
        <v>-5.1502593600000353</v>
      </c>
      <c r="D1525">
        <f t="shared" si="52"/>
        <v>13.150259360000035</v>
      </c>
    </row>
    <row r="1526" spans="1:4">
      <c r="A1526">
        <v>1525</v>
      </c>
      <c r="B1526">
        <v>12</v>
      </c>
      <c r="C1526">
        <f t="shared" si="51"/>
        <v>-5.4286937500000079</v>
      </c>
      <c r="D1526">
        <f t="shared" si="52"/>
        <v>17.428693750000008</v>
      </c>
    </row>
    <row r="1527" spans="1:4">
      <c r="A1527">
        <v>1526</v>
      </c>
      <c r="B1527">
        <v>22</v>
      </c>
      <c r="C1527">
        <f t="shared" si="51"/>
        <v>-5.7074303600000178</v>
      </c>
      <c r="D1527">
        <f t="shared" si="52"/>
        <v>27.707430360000018</v>
      </c>
    </row>
    <row r="1528" spans="1:4">
      <c r="A1528">
        <v>1527</v>
      </c>
      <c r="B1528">
        <v>42</v>
      </c>
      <c r="C1528">
        <f t="shared" si="51"/>
        <v>-5.9864691900000651</v>
      </c>
      <c r="D1528">
        <f t="shared" si="52"/>
        <v>47.986469190000065</v>
      </c>
    </row>
    <row r="1529" spans="1:4">
      <c r="A1529">
        <v>1528</v>
      </c>
      <c r="B1529">
        <v>67</v>
      </c>
      <c r="C1529">
        <f t="shared" si="51"/>
        <v>-6.2658102400000359</v>
      </c>
      <c r="D1529">
        <f t="shared" si="52"/>
        <v>73.265810240000036</v>
      </c>
    </row>
    <row r="1530" spans="1:4">
      <c r="A1530">
        <v>1529</v>
      </c>
      <c r="B1530">
        <v>94</v>
      </c>
      <c r="C1530">
        <f t="shared" si="51"/>
        <v>-6.5454535100000442</v>
      </c>
      <c r="D1530">
        <f t="shared" si="52"/>
        <v>100.54545351000004</v>
      </c>
    </row>
  </sheetData>
  <sortState xmlns:xlrd2="http://schemas.microsoft.com/office/spreadsheetml/2017/richdata2" ref="M10:N1379">
    <sortCondition ref="M10:M1379"/>
  </sortState>
  <pageMargins left="0.7" right="0.7" top="0.75" bottom="0.75" header="0.3" footer="0.3"/>
  <pageSetup orientation="portrait" horizontalDpi="0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08B2E-35CB-4BFE-A3DA-5554F9FB861F}">
  <dimension ref="A1:X1530"/>
  <sheetViews>
    <sheetView workbookViewId="0">
      <selection activeCell="W10" sqref="W10"/>
    </sheetView>
  </sheetViews>
  <sheetFormatPr baseColWidth="10" defaultRowHeight="15"/>
  <cols>
    <col min="9" max="9" width="12.28515625" customWidth="1"/>
    <col min="10" max="10" width="29.28515625" customWidth="1"/>
  </cols>
  <sheetData>
    <row r="1" spans="1:24">
      <c r="A1">
        <v>0</v>
      </c>
      <c r="B1">
        <v>125</v>
      </c>
      <c r="C1">
        <f xml:space="preserve"> -0.00015111*A1*A1 + 0.1823*A1 + 67.989</f>
        <v>67.989000000000004</v>
      </c>
      <c r="D1">
        <f>B1-C1</f>
        <v>57.010999999999996</v>
      </c>
    </row>
    <row r="2" spans="1:24">
      <c r="A2">
        <v>1</v>
      </c>
      <c r="B2">
        <v>165</v>
      </c>
      <c r="C2">
        <f t="shared" ref="C2:C65" si="0" xml:space="preserve"> -0.00015111*A2*A2 + 0.1823*A2 + 67.989</f>
        <v>68.171148889999998</v>
      </c>
      <c r="D2">
        <f t="shared" ref="D2:D65" si="1">B2-C2</f>
        <v>96.828851110000002</v>
      </c>
    </row>
    <row r="3" spans="1:24">
      <c r="A3">
        <v>2</v>
      </c>
      <c r="B3">
        <v>318</v>
      </c>
      <c r="C3">
        <f t="shared" si="0"/>
        <v>68.352995560000011</v>
      </c>
      <c r="D3">
        <f t="shared" si="1"/>
        <v>249.64700443999999</v>
      </c>
      <c r="I3" s="1" t="s">
        <v>1</v>
      </c>
      <c r="J3" s="1"/>
    </row>
    <row r="4" spans="1:24">
      <c r="A4">
        <v>3</v>
      </c>
      <c r="B4">
        <v>546</v>
      </c>
      <c r="C4">
        <f t="shared" si="0"/>
        <v>68.534540010000001</v>
      </c>
      <c r="D4">
        <f t="shared" si="1"/>
        <v>477.46545999</v>
      </c>
      <c r="I4" s="1"/>
      <c r="J4" s="1"/>
    </row>
    <row r="5" spans="1:24">
      <c r="A5">
        <v>4</v>
      </c>
      <c r="B5">
        <v>1194</v>
      </c>
      <c r="C5">
        <f t="shared" si="0"/>
        <v>68.71578224000001</v>
      </c>
      <c r="D5">
        <f t="shared" si="1"/>
        <v>1125.28421776</v>
      </c>
      <c r="I5" s="1">
        <v>100</v>
      </c>
      <c r="J5" s="14">
        <f>2.788-0.0002348*I5+0.0000001013*I5*I5</f>
        <v>2.7655329999999996</v>
      </c>
    </row>
    <row r="6" spans="1:24">
      <c r="A6">
        <v>5</v>
      </c>
      <c r="B6">
        <v>2646</v>
      </c>
      <c r="C6">
        <f t="shared" si="0"/>
        <v>68.89672225000001</v>
      </c>
      <c r="D6">
        <f t="shared" si="1"/>
        <v>2577.10327775</v>
      </c>
      <c r="R6" t="s">
        <v>45</v>
      </c>
      <c r="S6" t="s">
        <v>47</v>
      </c>
      <c r="T6" t="s">
        <v>45</v>
      </c>
      <c r="U6" s="2" t="s">
        <v>4</v>
      </c>
    </row>
    <row r="7" spans="1:24">
      <c r="A7">
        <v>6</v>
      </c>
      <c r="B7">
        <v>4399</v>
      </c>
      <c r="C7">
        <f t="shared" si="0"/>
        <v>69.077360040000002</v>
      </c>
      <c r="D7">
        <f t="shared" si="1"/>
        <v>4329.9226399600002</v>
      </c>
      <c r="M7" s="3" t="s">
        <v>149</v>
      </c>
      <c r="R7" t="s">
        <v>46</v>
      </c>
      <c r="S7" t="s">
        <v>48</v>
      </c>
      <c r="T7" t="s">
        <v>49</v>
      </c>
      <c r="U7" t="s">
        <v>50</v>
      </c>
      <c r="W7" t="s">
        <v>180</v>
      </c>
      <c r="X7" t="s">
        <v>181</v>
      </c>
    </row>
    <row r="8" spans="1:24">
      <c r="A8">
        <v>7</v>
      </c>
      <c r="B8">
        <v>5646</v>
      </c>
      <c r="C8">
        <f t="shared" si="0"/>
        <v>69.257695609999999</v>
      </c>
      <c r="D8">
        <f t="shared" si="1"/>
        <v>5576.7423043899998</v>
      </c>
      <c r="H8" s="6" t="s">
        <v>3</v>
      </c>
      <c r="I8" s="2" t="s">
        <v>4</v>
      </c>
      <c r="L8" s="3" t="s">
        <v>39</v>
      </c>
      <c r="M8" t="s">
        <v>150</v>
      </c>
      <c r="N8" s="3" t="s">
        <v>41</v>
      </c>
      <c r="O8" s="3" t="s">
        <v>42</v>
      </c>
      <c r="P8" s="3" t="s">
        <v>43</v>
      </c>
    </row>
    <row r="9" spans="1:24">
      <c r="A9">
        <v>8</v>
      </c>
      <c r="B9">
        <v>4890</v>
      </c>
      <c r="C9">
        <f t="shared" si="0"/>
        <v>69.437728960000001</v>
      </c>
      <c r="D9">
        <f t="shared" si="1"/>
        <v>4820.5622710400003</v>
      </c>
      <c r="H9" s="6"/>
      <c r="I9" s="2"/>
    </row>
    <row r="10" spans="1:24">
      <c r="A10">
        <v>9</v>
      </c>
      <c r="B10">
        <v>2838</v>
      </c>
      <c r="C10">
        <f t="shared" si="0"/>
        <v>69.617460090000009</v>
      </c>
      <c r="D10">
        <f t="shared" si="1"/>
        <v>2768.3825399100001</v>
      </c>
      <c r="H10" s="3">
        <v>7</v>
      </c>
      <c r="I10">
        <v>6490.73704</v>
      </c>
      <c r="J10" t="s">
        <v>6</v>
      </c>
      <c r="L10" s="3">
        <v>7</v>
      </c>
      <c r="M10" s="3">
        <v>7</v>
      </c>
      <c r="N10">
        <v>-0.17480000000000001</v>
      </c>
      <c r="O10">
        <v>1.17E-2</v>
      </c>
      <c r="P10">
        <v>8.6045999999999996</v>
      </c>
      <c r="R10">
        <f>L10-O10/(2*N10)</f>
        <v>7.0334668192219683</v>
      </c>
      <c r="S10" s="3">
        <f>2.788-0.0002348*R10+0.0000001013*R10*R10</f>
        <v>2.7863535532669483</v>
      </c>
      <c r="T10" s="3">
        <f>R10-S10</f>
        <v>4.2471132659550204</v>
      </c>
      <c r="U10">
        <v>6490.73704</v>
      </c>
      <c r="W10">
        <f xml:space="preserve"> -3.600522996612E-13*T10*T10*T10*T10 + 1.066229076724E-09*T10*T10*T10 - 0.0000009856353200613*T10*T10 + 0.09290311830026*T10 + 6490.335754191</f>
        <v>6490.7303065598862</v>
      </c>
      <c r="X10">
        <f>U10-W10</f>
        <v>6.7334401137486566E-3</v>
      </c>
    </row>
    <row r="11" spans="1:24">
      <c r="A11">
        <v>10</v>
      </c>
      <c r="B11">
        <v>1224</v>
      </c>
      <c r="C11">
        <f t="shared" si="0"/>
        <v>69.796889000000007</v>
      </c>
      <c r="D11">
        <f t="shared" si="1"/>
        <v>1154.203111</v>
      </c>
      <c r="H11" s="3">
        <v>33.6</v>
      </c>
      <c r="I11">
        <v>6493.1971999999996</v>
      </c>
      <c r="L11" s="3">
        <v>33</v>
      </c>
      <c r="M11" s="3">
        <v>7</v>
      </c>
      <c r="N11">
        <v>-0.17610000000000001</v>
      </c>
      <c r="O11">
        <v>0.20430000000000001</v>
      </c>
      <c r="P11">
        <v>7.2659000000000002</v>
      </c>
      <c r="R11">
        <f t="shared" ref="R11:R38" si="2">L11-O11/(2*N11)</f>
        <v>33.580068143100512</v>
      </c>
      <c r="S11" s="3">
        <f t="shared" ref="S11:S38" si="3">2.788-0.0002348*R11+0.0000001013*R11*R11</f>
        <v>2.7802296280049186</v>
      </c>
      <c r="T11" s="3">
        <f t="shared" ref="T11:T38" si="4">R11-S11</f>
        <v>30.799838515095594</v>
      </c>
      <c r="U11">
        <v>6493.1971999999996</v>
      </c>
      <c r="W11">
        <f t="shared" ref="W11:W38" si="5" xml:space="preserve"> -3.600522996612E-13*T11*T11*T11*T11 + 1.066229076724E-09*T11*T11*T11 - 0.0000009856353200613*T11*T11 + 0.09290311830026*T11 + 6490.335754191</f>
        <v>6493.1962510576113</v>
      </c>
      <c r="X11">
        <f t="shared" ref="X11:X37" si="6">U11-W11</f>
        <v>9.4894238827691879E-4</v>
      </c>
    </row>
    <row r="12" spans="1:24">
      <c r="A12">
        <v>11</v>
      </c>
      <c r="B12">
        <v>690</v>
      </c>
      <c r="C12">
        <f t="shared" si="0"/>
        <v>69.976015690000011</v>
      </c>
      <c r="D12">
        <f t="shared" si="1"/>
        <v>620.02398430999995</v>
      </c>
      <c r="H12" s="3">
        <v>41.9</v>
      </c>
      <c r="I12">
        <v>6493.9690000000001</v>
      </c>
      <c r="L12" s="3">
        <v>42</v>
      </c>
      <c r="M12" s="3">
        <v>6</v>
      </c>
      <c r="N12">
        <v>-0.1701</v>
      </c>
      <c r="O12">
        <v>-0.22020000000000001</v>
      </c>
      <c r="P12">
        <v>6.7359999999999998</v>
      </c>
      <c r="R12">
        <f t="shared" si="2"/>
        <v>41.352733686067019</v>
      </c>
      <c r="S12" s="3">
        <f t="shared" si="3"/>
        <v>2.7784636060520009</v>
      </c>
      <c r="T12" s="3"/>
      <c r="U12">
        <v>6493.9690000000001</v>
      </c>
      <c r="W12">
        <f t="shared" si="5"/>
        <v>6490.335754191</v>
      </c>
    </row>
    <row r="13" spans="1:24">
      <c r="A13">
        <v>12</v>
      </c>
      <c r="B13">
        <v>494</v>
      </c>
      <c r="C13">
        <f t="shared" si="0"/>
        <v>70.154840160000006</v>
      </c>
      <c r="D13">
        <f t="shared" si="1"/>
        <v>423.84515984000001</v>
      </c>
      <c r="H13" s="3">
        <v>97</v>
      </c>
      <c r="J13" s="5" t="s">
        <v>8</v>
      </c>
      <c r="L13" s="3">
        <v>97.5</v>
      </c>
      <c r="M13" s="3">
        <v>6</v>
      </c>
      <c r="N13">
        <v>-0.15240000000000001</v>
      </c>
      <c r="O13">
        <v>-3.85E-2</v>
      </c>
      <c r="P13">
        <v>6.5255000000000001</v>
      </c>
      <c r="R13">
        <f t="shared" si="2"/>
        <v>97.373687664041995</v>
      </c>
      <c r="S13" s="3">
        <f t="shared" si="3"/>
        <v>2.7660971477669762</v>
      </c>
      <c r="T13" s="3">
        <f t="shared" si="4"/>
        <v>94.607590516275025</v>
      </c>
      <c r="W13">
        <f t="shared" si="5"/>
        <v>6499.1171463729161</v>
      </c>
    </row>
    <row r="14" spans="1:24">
      <c r="A14">
        <v>13</v>
      </c>
      <c r="B14">
        <v>358</v>
      </c>
      <c r="C14">
        <f t="shared" si="0"/>
        <v>70.333362410000007</v>
      </c>
      <c r="D14">
        <f t="shared" si="1"/>
        <v>287.66663758999999</v>
      </c>
      <c r="H14" s="3">
        <v>128</v>
      </c>
      <c r="I14">
        <v>6501.9916899999998</v>
      </c>
      <c r="L14" s="3">
        <v>128.5</v>
      </c>
      <c r="M14" s="3">
        <v>6</v>
      </c>
      <c r="N14">
        <v>-0.1202</v>
      </c>
      <c r="O14">
        <v>3.5900000000000001E-2</v>
      </c>
      <c r="P14">
        <v>7.0148000000000001</v>
      </c>
      <c r="R14">
        <f t="shared" si="2"/>
        <v>128.64933444259569</v>
      </c>
      <c r="S14" s="3">
        <f t="shared" si="3"/>
        <v>2.7594697172447589</v>
      </c>
      <c r="T14" s="3">
        <f t="shared" si="4"/>
        <v>125.88986472535093</v>
      </c>
      <c r="W14">
        <f t="shared" si="5"/>
        <v>6502.0177314211533</v>
      </c>
    </row>
    <row r="15" spans="1:24">
      <c r="A15">
        <v>14</v>
      </c>
      <c r="B15">
        <v>222</v>
      </c>
      <c r="C15">
        <f t="shared" si="0"/>
        <v>70.511582439999998</v>
      </c>
      <c r="D15">
        <f t="shared" si="1"/>
        <v>151.48841756000002</v>
      </c>
      <c r="H15" s="3">
        <v>145</v>
      </c>
      <c r="I15">
        <v>6503.5111999999999</v>
      </c>
      <c r="L15" s="3">
        <v>144.5</v>
      </c>
      <c r="M15" s="3">
        <v>6</v>
      </c>
      <c r="N15">
        <v>-0.18210000000000001</v>
      </c>
      <c r="O15">
        <v>0.1104</v>
      </c>
      <c r="P15">
        <v>6.1412000000000004</v>
      </c>
      <c r="R15">
        <f t="shared" si="2"/>
        <v>144.80313014827018</v>
      </c>
      <c r="S15" s="3">
        <f t="shared" si="3"/>
        <v>2.7561242780217108</v>
      </c>
      <c r="T15" s="3">
        <f t="shared" si="4"/>
        <v>142.04700587024848</v>
      </c>
      <c r="U15">
        <v>6503.5111999999999</v>
      </c>
      <c r="W15">
        <f t="shared" si="5"/>
        <v>6503.5153858381282</v>
      </c>
      <c r="X15">
        <f t="shared" si="6"/>
        <v>-4.1858381282509072E-3</v>
      </c>
    </row>
    <row r="16" spans="1:24">
      <c r="A16">
        <v>15</v>
      </c>
      <c r="B16">
        <v>149</v>
      </c>
      <c r="C16">
        <f t="shared" si="0"/>
        <v>70.689500250000009</v>
      </c>
      <c r="D16">
        <f t="shared" si="1"/>
        <v>78.310499749999991</v>
      </c>
      <c r="H16" s="3">
        <v>182</v>
      </c>
      <c r="I16">
        <v>6506.9870199999996</v>
      </c>
      <c r="L16" s="3">
        <v>182.5</v>
      </c>
      <c r="M16" s="3">
        <v>6</v>
      </c>
      <c r="N16">
        <v>-0.1585</v>
      </c>
      <c r="O16">
        <v>-5.8500000000000003E-2</v>
      </c>
      <c r="P16">
        <v>7.1814999999999998</v>
      </c>
      <c r="R16">
        <f t="shared" si="2"/>
        <v>182.31545741324922</v>
      </c>
      <c r="S16" s="3">
        <f t="shared" si="3"/>
        <v>2.7485594338043646</v>
      </c>
      <c r="T16" s="3">
        <f t="shared" si="4"/>
        <v>179.56689797944486</v>
      </c>
      <c r="U16">
        <v>6506.9870199999996</v>
      </c>
      <c r="W16">
        <f t="shared" si="5"/>
        <v>6506.9920969910117</v>
      </c>
      <c r="X16">
        <f t="shared" si="6"/>
        <v>-5.0769910121744033E-3</v>
      </c>
    </row>
    <row r="17" spans="1:24">
      <c r="A17">
        <v>16</v>
      </c>
      <c r="B17">
        <v>103</v>
      </c>
      <c r="C17">
        <f t="shared" si="0"/>
        <v>70.867115840000011</v>
      </c>
      <c r="D17">
        <f t="shared" si="1"/>
        <v>32.132884159999989</v>
      </c>
      <c r="H17" s="3">
        <v>196</v>
      </c>
      <c r="J17" s="5" t="s">
        <v>9</v>
      </c>
      <c r="L17" s="3">
        <v>196</v>
      </c>
      <c r="M17" s="3">
        <v>7</v>
      </c>
      <c r="N17">
        <v>-9.4100000000000003E-2</v>
      </c>
      <c r="O17">
        <v>1.2699999999999999E-2</v>
      </c>
      <c r="P17">
        <v>6.9250999999999996</v>
      </c>
      <c r="R17">
        <f t="shared" si="2"/>
        <v>196.06748140276301</v>
      </c>
      <c r="S17" s="3">
        <f t="shared" si="3"/>
        <v>2.745857576287436</v>
      </c>
      <c r="T17" s="3">
        <f t="shared" si="4"/>
        <v>193.32162382647556</v>
      </c>
      <c r="W17">
        <f t="shared" si="5"/>
        <v>6508.2663001436049</v>
      </c>
    </row>
    <row r="18" spans="1:24">
      <c r="A18">
        <v>17</v>
      </c>
      <c r="B18">
        <v>81</v>
      </c>
      <c r="C18">
        <f t="shared" si="0"/>
        <v>71.044429210000004</v>
      </c>
      <c r="D18">
        <f t="shared" si="1"/>
        <v>9.9555707899999959</v>
      </c>
      <c r="H18" s="3">
        <v>204</v>
      </c>
      <c r="I18">
        <v>6509.0502200000001</v>
      </c>
      <c r="L18" s="3">
        <v>204.5</v>
      </c>
      <c r="M18" s="3">
        <v>6</v>
      </c>
      <c r="N18">
        <v>-0.1734</v>
      </c>
      <c r="O18">
        <v>3.2099999999999997E-2</v>
      </c>
      <c r="P18">
        <v>7.5022000000000002</v>
      </c>
      <c r="R18">
        <f t="shared" si="2"/>
        <v>204.59256055363321</v>
      </c>
      <c r="S18" s="3">
        <f t="shared" si="3"/>
        <v>2.7442018939159798</v>
      </c>
      <c r="T18" s="3">
        <f t="shared" si="4"/>
        <v>201.84835865971723</v>
      </c>
      <c r="U18">
        <v>6509.0502200000001</v>
      </c>
      <c r="W18">
        <f t="shared" si="5"/>
        <v>6509.0561094719933</v>
      </c>
      <c r="X18">
        <f t="shared" si="6"/>
        <v>-5.8894719932141015E-3</v>
      </c>
    </row>
    <row r="19" spans="1:24">
      <c r="A19">
        <v>18</v>
      </c>
      <c r="B19">
        <v>74</v>
      </c>
      <c r="C19">
        <f t="shared" si="0"/>
        <v>71.221440360000003</v>
      </c>
      <c r="D19">
        <f t="shared" si="1"/>
        <v>2.7785596399999974</v>
      </c>
      <c r="H19" s="3">
        <v>240</v>
      </c>
      <c r="I19">
        <v>6512.3636900000001</v>
      </c>
      <c r="J19" t="s">
        <v>6</v>
      </c>
      <c r="L19" s="3">
        <v>240.5</v>
      </c>
      <c r="M19" s="3">
        <v>6</v>
      </c>
      <c r="N19">
        <v>-0.18529999999999999</v>
      </c>
      <c r="O19">
        <v>-4.5999999999999999E-2</v>
      </c>
      <c r="P19">
        <v>8.8064</v>
      </c>
      <c r="R19">
        <f t="shared" si="2"/>
        <v>240.3758769562871</v>
      </c>
      <c r="S19" s="3">
        <f t="shared" si="3"/>
        <v>2.7374129150438034</v>
      </c>
      <c r="T19" s="3">
        <f t="shared" si="4"/>
        <v>237.63846404124331</v>
      </c>
      <c r="U19">
        <v>6512.3636900000001</v>
      </c>
      <c r="W19">
        <f t="shared" si="5"/>
        <v>6512.3706081702985</v>
      </c>
      <c r="X19">
        <f t="shared" si="6"/>
        <v>-6.9181702983769355E-3</v>
      </c>
    </row>
    <row r="20" spans="1:24">
      <c r="A20">
        <v>19</v>
      </c>
      <c r="B20">
        <v>74</v>
      </c>
      <c r="C20">
        <f t="shared" si="0"/>
        <v>71.398149290000006</v>
      </c>
      <c r="D20">
        <f t="shared" si="1"/>
        <v>2.6018507099999937</v>
      </c>
      <c r="H20" s="3">
        <v>256</v>
      </c>
      <c r="I20">
        <v>6513.8459999999995</v>
      </c>
      <c r="L20" s="3">
        <v>256.5</v>
      </c>
      <c r="M20" s="3">
        <v>6</v>
      </c>
      <c r="N20">
        <v>-0.1207</v>
      </c>
      <c r="O20">
        <v>-3.44E-2</v>
      </c>
      <c r="P20">
        <v>6.5751999999999997</v>
      </c>
      <c r="R20">
        <f t="shared" si="2"/>
        <v>256.35749792874896</v>
      </c>
      <c r="S20" s="3">
        <f t="shared" si="3"/>
        <v>2.7344646110775259</v>
      </c>
      <c r="T20" s="3">
        <f t="shared" si="4"/>
        <v>253.62303331767143</v>
      </c>
      <c r="U20">
        <v>6513.8459999999995</v>
      </c>
      <c r="W20">
        <f t="shared" si="5"/>
        <v>6513.8506291311915</v>
      </c>
      <c r="X20">
        <f t="shared" si="6"/>
        <v>-4.6291311919048894E-3</v>
      </c>
    </row>
    <row r="21" spans="1:24">
      <c r="A21">
        <v>20</v>
      </c>
      <c r="B21">
        <v>81</v>
      </c>
      <c r="C21">
        <f t="shared" si="0"/>
        <v>71.574556000000001</v>
      </c>
      <c r="D21">
        <f t="shared" si="1"/>
        <v>9.4254439999999988</v>
      </c>
      <c r="H21" s="3">
        <v>344</v>
      </c>
      <c r="I21">
        <v>6522.0434599999999</v>
      </c>
      <c r="J21" t="s">
        <v>6</v>
      </c>
      <c r="L21" s="3">
        <v>344.5</v>
      </c>
      <c r="M21" s="3">
        <v>6</v>
      </c>
      <c r="N21">
        <v>-0.13850000000000001</v>
      </c>
      <c r="O21">
        <v>6.8199999999999997E-2</v>
      </c>
      <c r="P21">
        <v>7.3308</v>
      </c>
      <c r="R21">
        <f t="shared" si="2"/>
        <v>344.74620938628158</v>
      </c>
      <c r="S21" s="3">
        <f t="shared" si="3"/>
        <v>2.7190930898582741</v>
      </c>
      <c r="T21" s="3">
        <f t="shared" si="4"/>
        <v>342.02711629642329</v>
      </c>
      <c r="U21">
        <v>6522.0434599999999</v>
      </c>
      <c r="W21">
        <f t="shared" si="5"/>
        <v>6522.0335715297942</v>
      </c>
      <c r="X21">
        <f t="shared" si="6"/>
        <v>9.8884702056238893E-3</v>
      </c>
    </row>
    <row r="22" spans="1:24">
      <c r="A22">
        <v>21</v>
      </c>
      <c r="B22">
        <v>75</v>
      </c>
      <c r="C22">
        <f t="shared" si="0"/>
        <v>71.750660490000001</v>
      </c>
      <c r="D22">
        <f t="shared" si="1"/>
        <v>3.2493395099999987</v>
      </c>
      <c r="H22" s="3">
        <v>445</v>
      </c>
      <c r="I22">
        <v>6531.3416999999999</v>
      </c>
      <c r="J22" t="s">
        <v>6</v>
      </c>
      <c r="L22" s="3">
        <v>445</v>
      </c>
      <c r="M22" s="3">
        <v>7</v>
      </c>
      <c r="N22">
        <v>-0.16600000000000001</v>
      </c>
      <c r="O22">
        <v>9.6299999999999997E-2</v>
      </c>
      <c r="P22">
        <v>10.194000000000001</v>
      </c>
      <c r="R22">
        <f t="shared" si="2"/>
        <v>445.29006024096384</v>
      </c>
      <c r="S22" s="3">
        <f t="shared" si="3"/>
        <v>2.7035319858394358</v>
      </c>
      <c r="T22" s="3">
        <f t="shared" si="4"/>
        <v>442.58652825512439</v>
      </c>
      <c r="U22">
        <v>6531.3416999999999</v>
      </c>
      <c r="W22">
        <f t="shared" si="5"/>
        <v>6531.3389753460369</v>
      </c>
      <c r="X22">
        <f t="shared" si="6"/>
        <v>2.7246539630141342E-3</v>
      </c>
    </row>
    <row r="23" spans="1:24">
      <c r="A23">
        <v>22</v>
      </c>
      <c r="B23">
        <v>87</v>
      </c>
      <c r="C23">
        <f t="shared" si="0"/>
        <v>71.926462760000007</v>
      </c>
      <c r="D23">
        <f t="shared" si="1"/>
        <v>15.073537239999993</v>
      </c>
      <c r="H23" s="3">
        <v>518</v>
      </c>
      <c r="I23">
        <v>6538.1120000000001</v>
      </c>
      <c r="J23" t="s">
        <v>6</v>
      </c>
      <c r="L23" s="3">
        <v>518</v>
      </c>
      <c r="M23" s="3">
        <v>7</v>
      </c>
      <c r="N23">
        <v>-0.14130000000000001</v>
      </c>
      <c r="O23">
        <v>6.3799999999999996E-2</v>
      </c>
      <c r="P23">
        <v>8.8272999999999993</v>
      </c>
      <c r="R23">
        <f t="shared" si="2"/>
        <v>518.22576079263979</v>
      </c>
      <c r="S23" s="3">
        <f t="shared" si="3"/>
        <v>2.6935255106016931</v>
      </c>
      <c r="T23" s="3">
        <f t="shared" si="4"/>
        <v>515.53223528203807</v>
      </c>
      <c r="U23">
        <v>6538.1120000000001</v>
      </c>
      <c r="W23">
        <f t="shared" si="5"/>
        <v>6538.0890073705568</v>
      </c>
      <c r="X23">
        <f t="shared" si="6"/>
        <v>2.2992629443251644E-2</v>
      </c>
    </row>
    <row r="24" spans="1:24">
      <c r="A24">
        <v>23</v>
      </c>
      <c r="B24">
        <v>88</v>
      </c>
      <c r="C24">
        <f t="shared" si="0"/>
        <v>72.101962810000003</v>
      </c>
      <c r="D24">
        <f t="shared" si="1"/>
        <v>15.898037189999997</v>
      </c>
      <c r="H24" s="3">
        <v>665</v>
      </c>
      <c r="I24">
        <v>6551.7053900000001</v>
      </c>
      <c r="L24" s="3">
        <v>665</v>
      </c>
      <c r="M24" s="3">
        <v>5</v>
      </c>
      <c r="N24">
        <v>-0.11169999999999999</v>
      </c>
      <c r="O24">
        <v>-1.34E-2</v>
      </c>
      <c r="P24">
        <v>6.7823000000000002</v>
      </c>
      <c r="R24">
        <f t="shared" si="2"/>
        <v>664.94001790510299</v>
      </c>
      <c r="S24" s="3">
        <f t="shared" si="3"/>
        <v>2.676661395332681</v>
      </c>
      <c r="T24" s="3">
        <f t="shared" si="4"/>
        <v>662.26335650977035</v>
      </c>
      <c r="W24">
        <f t="shared" si="5"/>
        <v>6551.670232745666</v>
      </c>
    </row>
    <row r="25" spans="1:24">
      <c r="A25">
        <v>24</v>
      </c>
      <c r="B25">
        <v>91</v>
      </c>
      <c r="C25">
        <f t="shared" si="0"/>
        <v>72.277160640000005</v>
      </c>
      <c r="D25">
        <f t="shared" si="1"/>
        <v>18.722839359999995</v>
      </c>
      <c r="H25" s="3">
        <v>691</v>
      </c>
      <c r="I25">
        <v>6554.16021</v>
      </c>
      <c r="J25" t="s">
        <v>6</v>
      </c>
      <c r="L25" s="3">
        <v>691.5</v>
      </c>
      <c r="M25" s="3">
        <v>6</v>
      </c>
      <c r="N25">
        <v>-0.1285</v>
      </c>
      <c r="O25">
        <v>6.9599999999999995E-2</v>
      </c>
      <c r="P25">
        <v>8.9108999999999998</v>
      </c>
      <c r="R25">
        <f t="shared" si="2"/>
        <v>691.77081712062261</v>
      </c>
      <c r="S25" s="3">
        <f t="shared" si="3"/>
        <v>2.6740490094044964</v>
      </c>
      <c r="T25" s="3">
        <f t="shared" si="4"/>
        <v>689.09676811121813</v>
      </c>
      <c r="U25">
        <v>6554.16021</v>
      </c>
      <c r="W25">
        <f t="shared" si="5"/>
        <v>6554.1546646642482</v>
      </c>
      <c r="X25">
        <f t="shared" si="6"/>
        <v>5.5453357517762925E-3</v>
      </c>
    </row>
    <row r="26" spans="1:24">
      <c r="A26">
        <v>25</v>
      </c>
      <c r="B26">
        <v>82</v>
      </c>
      <c r="C26">
        <f t="shared" si="0"/>
        <v>72.452056249999998</v>
      </c>
      <c r="D26">
        <f t="shared" si="1"/>
        <v>9.5479437500000017</v>
      </c>
      <c r="H26" s="3">
        <v>742</v>
      </c>
      <c r="I26">
        <v>6558.8751300000004</v>
      </c>
      <c r="J26" t="s">
        <v>6</v>
      </c>
      <c r="L26" s="3">
        <v>742.5</v>
      </c>
      <c r="M26" s="3">
        <v>6</v>
      </c>
      <c r="N26">
        <v>-0.1017</v>
      </c>
      <c r="O26">
        <v>8.9099999999999999E-2</v>
      </c>
      <c r="P26">
        <v>7.1932999999999998</v>
      </c>
      <c r="R26">
        <f t="shared" si="2"/>
        <v>742.93805309734512</v>
      </c>
      <c r="S26" s="3">
        <f t="shared" si="3"/>
        <v>2.6694713842427125</v>
      </c>
      <c r="T26" s="3">
        <f t="shared" si="4"/>
        <v>740.26858171310244</v>
      </c>
      <c r="U26">
        <v>6558.8751300000004</v>
      </c>
      <c r="W26">
        <f t="shared" si="5"/>
        <v>6558.8932960906259</v>
      </c>
      <c r="X26">
        <f t="shared" si="6"/>
        <v>-1.8166090625527431E-2</v>
      </c>
    </row>
    <row r="27" spans="1:24">
      <c r="A27">
        <v>26</v>
      </c>
      <c r="B27">
        <v>76</v>
      </c>
      <c r="C27">
        <f t="shared" si="0"/>
        <v>72.626649640000011</v>
      </c>
      <c r="D27">
        <f t="shared" si="1"/>
        <v>3.3733503599999892</v>
      </c>
      <c r="H27" s="3">
        <v>858</v>
      </c>
      <c r="I27">
        <v>6569.6322</v>
      </c>
      <c r="L27" s="3">
        <v>858.5</v>
      </c>
      <c r="M27" s="3">
        <v>6</v>
      </c>
      <c r="N27">
        <v>-0.1139</v>
      </c>
      <c r="O27">
        <v>9.6699999999999994E-2</v>
      </c>
      <c r="P27">
        <v>6.0799000000000003</v>
      </c>
      <c r="R27">
        <f t="shared" si="2"/>
        <v>858.92449517120281</v>
      </c>
      <c r="S27" s="3">
        <f t="shared" si="3"/>
        <v>2.6610587340492389</v>
      </c>
      <c r="T27" s="3">
        <f t="shared" si="4"/>
        <v>856.26343643715359</v>
      </c>
      <c r="U27">
        <v>6569.6322</v>
      </c>
      <c r="W27">
        <f t="shared" si="5"/>
        <v>6569.6384715327731</v>
      </c>
      <c r="X27">
        <f t="shared" si="6"/>
        <v>-6.2715327730984427E-3</v>
      </c>
    </row>
    <row r="28" spans="1:24">
      <c r="A28">
        <v>27</v>
      </c>
      <c r="B28">
        <v>94</v>
      </c>
      <c r="C28">
        <f t="shared" si="0"/>
        <v>72.80094081</v>
      </c>
      <c r="D28">
        <f t="shared" si="1"/>
        <v>21.19905919</v>
      </c>
      <c r="H28" s="3">
        <v>940</v>
      </c>
      <c r="I28">
        <v>6577.21443</v>
      </c>
      <c r="J28" t="s">
        <v>6</v>
      </c>
      <c r="L28" s="3">
        <v>941</v>
      </c>
      <c r="M28" s="3">
        <v>7</v>
      </c>
      <c r="N28">
        <v>-0.1074</v>
      </c>
      <c r="O28">
        <v>-3.2500000000000001E-2</v>
      </c>
      <c r="P28">
        <v>8.8798999999999992</v>
      </c>
      <c r="R28">
        <f t="shared" si="2"/>
        <v>940.84869646182494</v>
      </c>
      <c r="S28" s="3">
        <f t="shared" si="3"/>
        <v>2.6567591081846791</v>
      </c>
      <c r="T28" s="3">
        <f t="shared" si="4"/>
        <v>938.19193735364024</v>
      </c>
      <c r="U28">
        <v>6577.21443</v>
      </c>
      <c r="W28">
        <f t="shared" si="5"/>
        <v>6577.2306890133068</v>
      </c>
      <c r="X28">
        <f t="shared" si="6"/>
        <v>-1.6259013306807901E-2</v>
      </c>
    </row>
    <row r="29" spans="1:24">
      <c r="A29">
        <v>28</v>
      </c>
      <c r="B29">
        <v>116</v>
      </c>
      <c r="C29">
        <f t="shared" si="0"/>
        <v>72.974929760000009</v>
      </c>
      <c r="D29">
        <f t="shared" si="1"/>
        <v>43.025070239999991</v>
      </c>
      <c r="H29" s="3">
        <v>1013</v>
      </c>
      <c r="J29" t="s">
        <v>0</v>
      </c>
      <c r="L29" s="3">
        <v>1094.5</v>
      </c>
      <c r="M29" s="3">
        <v>8</v>
      </c>
      <c r="N29">
        <v>-0.13289999999999999</v>
      </c>
      <c r="O29">
        <v>-2.3999999999999998E-3</v>
      </c>
      <c r="P29">
        <v>10.188000000000001</v>
      </c>
      <c r="R29">
        <f t="shared" si="2"/>
        <v>1094.4909706546275</v>
      </c>
      <c r="S29" s="3">
        <f t="shared" si="3"/>
        <v>2.6523618522050421</v>
      </c>
      <c r="T29" s="3">
        <f t="shared" si="4"/>
        <v>1091.8386088024224</v>
      </c>
      <c r="U29">
        <v>6591.4843000000001</v>
      </c>
      <c r="W29">
        <f t="shared" si="5"/>
        <v>6591.472094022567</v>
      </c>
      <c r="X29">
        <f t="shared" si="6"/>
        <v>1.2205977433040971E-2</v>
      </c>
    </row>
    <row r="30" spans="1:24">
      <c r="A30">
        <v>29</v>
      </c>
      <c r="B30">
        <v>159</v>
      </c>
      <c r="C30">
        <f t="shared" si="0"/>
        <v>73.148616490000009</v>
      </c>
      <c r="D30">
        <f t="shared" si="1"/>
        <v>85.851383509999991</v>
      </c>
      <c r="H30" s="3">
        <v>1063</v>
      </c>
      <c r="J30" t="s">
        <v>0</v>
      </c>
      <c r="L30" s="3">
        <v>1121</v>
      </c>
      <c r="M30" s="3">
        <v>7</v>
      </c>
      <c r="N30">
        <v>-0.14960000000000001</v>
      </c>
      <c r="O30">
        <v>8.0000000000000002E-3</v>
      </c>
      <c r="P30">
        <v>9.4246999999999996</v>
      </c>
      <c r="R30">
        <f t="shared" si="2"/>
        <v>1121.0267379679144</v>
      </c>
      <c r="S30" s="3">
        <f t="shared" si="3"/>
        <v>2.6520867278804428</v>
      </c>
      <c r="T30" s="3">
        <f t="shared" si="4"/>
        <v>1118.3746512400339</v>
      </c>
      <c r="U30">
        <v>6593.9390199999998</v>
      </c>
      <c r="W30">
        <f t="shared" si="5"/>
        <v>6593.9316468916113</v>
      </c>
      <c r="X30">
        <f t="shared" si="6"/>
        <v>7.3731083884922555E-3</v>
      </c>
    </row>
    <row r="31" spans="1:24">
      <c r="A31">
        <v>30</v>
      </c>
      <c r="B31">
        <v>240</v>
      </c>
      <c r="C31">
        <f t="shared" si="0"/>
        <v>73.322001</v>
      </c>
      <c r="D31">
        <f t="shared" si="1"/>
        <v>166.677999</v>
      </c>
      <c r="H31" s="3">
        <v>1095</v>
      </c>
      <c r="I31">
        <v>6591.4843000000001</v>
      </c>
      <c r="J31" t="s">
        <v>6</v>
      </c>
      <c r="L31" s="3">
        <v>1144.5</v>
      </c>
      <c r="M31" s="3">
        <v>6</v>
      </c>
      <c r="N31">
        <v>-0.1565</v>
      </c>
      <c r="O31">
        <v>2.3E-3</v>
      </c>
      <c r="P31">
        <v>6.1894</v>
      </c>
      <c r="R31">
        <f t="shared" si="2"/>
        <v>1144.5073482428115</v>
      </c>
      <c r="S31" s="3">
        <f t="shared" si="3"/>
        <v>2.6519622478420031</v>
      </c>
      <c r="T31" s="3">
        <f t="shared" si="4"/>
        <v>1141.8553859949695</v>
      </c>
      <c r="U31" s="5">
        <v>6596.1130000000003</v>
      </c>
      <c r="W31">
        <f t="shared" si="5"/>
        <v>6596.1078837820151</v>
      </c>
      <c r="X31">
        <f t="shared" si="6"/>
        <v>5.1162179852326517E-3</v>
      </c>
    </row>
    <row r="32" spans="1:24">
      <c r="A32">
        <v>31</v>
      </c>
      <c r="B32">
        <v>523</v>
      </c>
      <c r="C32">
        <f t="shared" si="0"/>
        <v>73.495083290000011</v>
      </c>
      <c r="D32">
        <f t="shared" si="1"/>
        <v>449.50491670999997</v>
      </c>
      <c r="H32" s="3">
        <v>1121</v>
      </c>
      <c r="I32">
        <v>6593.9390199999998</v>
      </c>
      <c r="J32" t="s">
        <v>6</v>
      </c>
      <c r="L32" s="3">
        <v>1181</v>
      </c>
      <c r="M32" s="3">
        <v>5</v>
      </c>
      <c r="N32">
        <v>-0.1787</v>
      </c>
      <c r="O32">
        <v>-3.4599999999999999E-2</v>
      </c>
      <c r="P32">
        <v>6.6307999999999998</v>
      </c>
      <c r="R32">
        <f t="shared" si="2"/>
        <v>1180.9031897034135</v>
      </c>
      <c r="S32" s="3">
        <f t="shared" si="3"/>
        <v>2.6519900574492952</v>
      </c>
      <c r="T32" s="3">
        <f t="shared" si="4"/>
        <v>1178.2511996459643</v>
      </c>
      <c r="U32">
        <v>6599.4824200000003</v>
      </c>
      <c r="W32">
        <f t="shared" si="5"/>
        <v>6599.4807697824981</v>
      </c>
      <c r="X32">
        <f t="shared" si="6"/>
        <v>1.6502175021742005E-3</v>
      </c>
    </row>
    <row r="33" spans="1:24">
      <c r="A33">
        <v>32</v>
      </c>
      <c r="B33">
        <v>996</v>
      </c>
      <c r="C33">
        <f t="shared" si="0"/>
        <v>73.667863359999998</v>
      </c>
      <c r="D33">
        <f t="shared" si="1"/>
        <v>922.33213664000004</v>
      </c>
      <c r="H33" s="3">
        <v>1145</v>
      </c>
      <c r="I33" s="5">
        <v>6596.1130000000003</v>
      </c>
      <c r="L33" s="3">
        <v>1238.5</v>
      </c>
      <c r="M33" s="3">
        <v>6</v>
      </c>
      <c r="N33">
        <v>-0.15709999999999999</v>
      </c>
      <c r="O33">
        <v>0.13589999999999999</v>
      </c>
      <c r="P33">
        <v>8.7243999999999993</v>
      </c>
      <c r="R33">
        <f t="shared" si="2"/>
        <v>1238.9325270528325</v>
      </c>
      <c r="S33" s="3">
        <f t="shared" si="3"/>
        <v>2.6525894632555129</v>
      </c>
      <c r="T33" s="3">
        <f t="shared" si="4"/>
        <v>1236.279937589577</v>
      </c>
      <c r="U33">
        <v>6604.8530000000001</v>
      </c>
      <c r="W33">
        <f t="shared" si="5"/>
        <v>6604.8571671813288</v>
      </c>
      <c r="X33">
        <f t="shared" si="6"/>
        <v>-4.1671813287393888E-3</v>
      </c>
    </row>
    <row r="34" spans="1:24">
      <c r="A34">
        <v>33</v>
      </c>
      <c r="B34">
        <v>1522</v>
      </c>
      <c r="C34">
        <f t="shared" si="0"/>
        <v>73.840341210000005</v>
      </c>
      <c r="D34">
        <f t="shared" si="1"/>
        <v>1448.1596587900001</v>
      </c>
      <c r="H34" s="3">
        <v>1181</v>
      </c>
      <c r="I34">
        <v>6599.4824200000003</v>
      </c>
      <c r="L34" s="3">
        <v>1331</v>
      </c>
      <c r="M34" s="3">
        <v>5</v>
      </c>
      <c r="N34">
        <v>-0.1704</v>
      </c>
      <c r="O34">
        <v>7.3000000000000001E-3</v>
      </c>
      <c r="P34">
        <v>6.9038000000000004</v>
      </c>
      <c r="R34">
        <f t="shared" si="2"/>
        <v>1331.0214201877934</v>
      </c>
      <c r="S34" s="3">
        <f t="shared" si="3"/>
        <v>2.6549410760670771</v>
      </c>
      <c r="T34" s="3">
        <f t="shared" si="4"/>
        <v>1328.3664791117262</v>
      </c>
      <c r="U34" s="5">
        <v>6613.3829999999998</v>
      </c>
      <c r="W34">
        <f t="shared" si="5"/>
        <v>6613.3840691630548</v>
      </c>
      <c r="X34">
        <f t="shared" si="6"/>
        <v>-1.0691630550354603E-3</v>
      </c>
    </row>
    <row r="35" spans="1:24">
      <c r="A35">
        <v>34</v>
      </c>
      <c r="B35">
        <v>1621</v>
      </c>
      <c r="C35">
        <f t="shared" si="0"/>
        <v>74.012516840000004</v>
      </c>
      <c r="D35">
        <f t="shared" si="1"/>
        <v>1546.98748316</v>
      </c>
      <c r="H35" s="3">
        <v>1239</v>
      </c>
      <c r="I35">
        <v>6604.8530000000001</v>
      </c>
      <c r="J35" t="s">
        <v>6</v>
      </c>
      <c r="L35" s="3">
        <v>1342</v>
      </c>
      <c r="M35" s="3">
        <v>5</v>
      </c>
      <c r="N35">
        <v>-0.1734</v>
      </c>
      <c r="O35">
        <v>-0.1784</v>
      </c>
      <c r="P35">
        <v>6.2417999999999996</v>
      </c>
      <c r="R35">
        <f t="shared" si="2"/>
        <v>1341.4855824682813</v>
      </c>
      <c r="S35" s="3">
        <f t="shared" si="3"/>
        <v>2.6553170006718352</v>
      </c>
      <c r="T35" s="3">
        <f t="shared" si="4"/>
        <v>1338.8302654676095</v>
      </c>
      <c r="W35">
        <f t="shared" si="5"/>
        <v>6614.3524628963942</v>
      </c>
    </row>
    <row r="36" spans="1:24">
      <c r="A36">
        <v>35</v>
      </c>
      <c r="B36">
        <v>1179</v>
      </c>
      <c r="C36">
        <f t="shared" si="0"/>
        <v>74.184390250000007</v>
      </c>
      <c r="D36">
        <f t="shared" si="1"/>
        <v>1104.81560975</v>
      </c>
      <c r="H36" s="4">
        <v>1331</v>
      </c>
      <c r="I36" s="5">
        <v>6613.3829999999998</v>
      </c>
      <c r="J36" s="2" t="s">
        <v>5</v>
      </c>
      <c r="L36" s="3">
        <v>1383</v>
      </c>
      <c r="M36" s="3">
        <v>5</v>
      </c>
      <c r="N36">
        <v>-0.1908</v>
      </c>
      <c r="O36">
        <v>-9.8199999999999996E-2</v>
      </c>
      <c r="P36">
        <v>6.3476999999999997</v>
      </c>
      <c r="R36">
        <f t="shared" si="2"/>
        <v>1382.7426624737946</v>
      </c>
      <c r="S36" s="3">
        <f t="shared" si="3"/>
        <v>2.6570153203654772</v>
      </c>
      <c r="T36" s="3">
        <f t="shared" si="4"/>
        <v>1380.0856471534291</v>
      </c>
      <c r="U36">
        <v>6618.1671399999996</v>
      </c>
      <c r="W36">
        <f t="shared" si="5"/>
        <v>6618.1692459234637</v>
      </c>
      <c r="X36">
        <f t="shared" si="6"/>
        <v>-2.1059234641143121E-3</v>
      </c>
    </row>
    <row r="37" spans="1:24">
      <c r="A37">
        <v>36</v>
      </c>
      <c r="B37">
        <v>593</v>
      </c>
      <c r="C37">
        <f t="shared" si="0"/>
        <v>74.355961440000002</v>
      </c>
      <c r="D37">
        <f t="shared" si="1"/>
        <v>518.64403856000001</v>
      </c>
      <c r="H37" s="3">
        <v>1342</v>
      </c>
      <c r="J37" s="5" t="s">
        <v>7</v>
      </c>
      <c r="L37" s="3">
        <v>1402.5</v>
      </c>
      <c r="M37" s="3">
        <v>6</v>
      </c>
      <c r="N37">
        <v>-0.18779999999999999</v>
      </c>
      <c r="O37">
        <v>-0.2029</v>
      </c>
      <c r="P37">
        <v>7.3726000000000003</v>
      </c>
      <c r="R37">
        <f t="shared" si="2"/>
        <v>1401.9597976570819</v>
      </c>
      <c r="S37" s="3">
        <f t="shared" si="3"/>
        <v>2.6579241055913063</v>
      </c>
      <c r="T37" s="3">
        <f t="shared" si="4"/>
        <v>1399.3018735514906</v>
      </c>
      <c r="U37">
        <v>6619.9458400000003</v>
      </c>
      <c r="W37">
        <f t="shared" si="5"/>
        <v>6619.946280542531</v>
      </c>
      <c r="X37">
        <f t="shared" si="6"/>
        <v>-4.4054253066860838E-4</v>
      </c>
    </row>
    <row r="38" spans="1:24">
      <c r="A38">
        <v>37</v>
      </c>
      <c r="B38">
        <v>344</v>
      </c>
      <c r="C38">
        <f t="shared" si="0"/>
        <v>74.527230410000001</v>
      </c>
      <c r="D38">
        <f t="shared" si="1"/>
        <v>269.47276958999998</v>
      </c>
      <c r="H38" s="3">
        <v>1383</v>
      </c>
      <c r="I38">
        <v>6618.1671399999996</v>
      </c>
      <c r="L38" s="3">
        <v>1413</v>
      </c>
      <c r="M38" s="3">
        <v>5</v>
      </c>
      <c r="N38">
        <v>-0.1782</v>
      </c>
      <c r="O38">
        <v>-1.38E-2</v>
      </c>
      <c r="P38">
        <v>6.2096999999999998</v>
      </c>
      <c r="R38">
        <f t="shared" si="2"/>
        <v>1412.9612794612794</v>
      </c>
      <c r="S38" s="3">
        <f t="shared" si="3"/>
        <v>2.6584780467586109</v>
      </c>
      <c r="T38" s="3">
        <f t="shared" si="4"/>
        <v>1410.3028014145209</v>
      </c>
      <c r="W38">
        <f t="shared" si="5"/>
        <v>6620.9633560787779</v>
      </c>
    </row>
    <row r="39" spans="1:24">
      <c r="A39">
        <v>38</v>
      </c>
      <c r="B39">
        <v>299</v>
      </c>
      <c r="C39">
        <f t="shared" si="0"/>
        <v>74.698197160000007</v>
      </c>
      <c r="D39">
        <f t="shared" si="1"/>
        <v>224.30180283999999</v>
      </c>
      <c r="H39" s="3">
        <v>1402</v>
      </c>
      <c r="I39">
        <v>6619.9458400000003</v>
      </c>
      <c r="J39" t="s">
        <v>6</v>
      </c>
    </row>
    <row r="40" spans="1:24">
      <c r="A40">
        <v>39</v>
      </c>
      <c r="B40">
        <v>382</v>
      </c>
      <c r="C40">
        <f t="shared" si="0"/>
        <v>74.868861690000003</v>
      </c>
      <c r="D40">
        <f t="shared" si="1"/>
        <v>307.13113830999998</v>
      </c>
      <c r="H40" s="3">
        <v>1413</v>
      </c>
      <c r="J40" s="5" t="s">
        <v>44</v>
      </c>
    </row>
    <row r="41" spans="1:24">
      <c r="A41">
        <v>40</v>
      </c>
      <c r="B41">
        <v>589</v>
      </c>
      <c r="C41">
        <f t="shared" si="0"/>
        <v>75.039224000000004</v>
      </c>
      <c r="D41">
        <f t="shared" si="1"/>
        <v>513.96077600000001</v>
      </c>
    </row>
    <row r="42" spans="1:24">
      <c r="A42">
        <v>41</v>
      </c>
      <c r="B42">
        <v>843</v>
      </c>
      <c r="C42">
        <f t="shared" si="0"/>
        <v>75.209284090000011</v>
      </c>
      <c r="D42">
        <f t="shared" si="1"/>
        <v>767.79071591000002</v>
      </c>
    </row>
    <row r="43" spans="1:24">
      <c r="A43">
        <v>42</v>
      </c>
      <c r="B43">
        <v>985</v>
      </c>
      <c r="C43">
        <f t="shared" si="0"/>
        <v>75.379041960000009</v>
      </c>
      <c r="D43">
        <f t="shared" si="1"/>
        <v>909.62095804</v>
      </c>
    </row>
    <row r="44" spans="1:24">
      <c r="A44">
        <v>43</v>
      </c>
      <c r="B44">
        <v>814</v>
      </c>
      <c r="C44">
        <f t="shared" si="0"/>
        <v>75.548497609999998</v>
      </c>
      <c r="D44">
        <f t="shared" si="1"/>
        <v>738.45150238999997</v>
      </c>
    </row>
    <row r="45" spans="1:24">
      <c r="A45">
        <v>44</v>
      </c>
      <c r="B45">
        <v>486</v>
      </c>
      <c r="C45">
        <f t="shared" si="0"/>
        <v>75.717651040000007</v>
      </c>
      <c r="D45">
        <f t="shared" si="1"/>
        <v>410.28234895999998</v>
      </c>
    </row>
    <row r="46" spans="1:24">
      <c r="A46">
        <v>45</v>
      </c>
      <c r="B46">
        <v>243</v>
      </c>
      <c r="C46">
        <f t="shared" si="0"/>
        <v>75.886502250000007</v>
      </c>
      <c r="D46">
        <f t="shared" si="1"/>
        <v>167.11349774999999</v>
      </c>
    </row>
    <row r="47" spans="1:24">
      <c r="A47">
        <v>46</v>
      </c>
      <c r="B47">
        <v>174</v>
      </c>
      <c r="C47">
        <f t="shared" si="0"/>
        <v>76.055051240000012</v>
      </c>
      <c r="D47">
        <f t="shared" si="1"/>
        <v>97.944948759999988</v>
      </c>
    </row>
    <row r="48" spans="1:24">
      <c r="A48">
        <v>47</v>
      </c>
      <c r="B48">
        <v>124</v>
      </c>
      <c r="C48">
        <f t="shared" si="0"/>
        <v>76.223298010000008</v>
      </c>
      <c r="D48">
        <f t="shared" si="1"/>
        <v>47.776701989999992</v>
      </c>
    </row>
    <row r="49" spans="1:10" ht="17.25">
      <c r="A49">
        <v>48</v>
      </c>
      <c r="B49">
        <v>93</v>
      </c>
      <c r="C49">
        <f t="shared" si="0"/>
        <v>76.391242560000009</v>
      </c>
      <c r="D49">
        <f t="shared" si="1"/>
        <v>16.608757439999991</v>
      </c>
      <c r="F49">
        <v>7</v>
      </c>
      <c r="G49">
        <v>7</v>
      </c>
      <c r="H49" t="s">
        <v>151</v>
      </c>
      <c r="J49" s="3"/>
    </row>
    <row r="50" spans="1:10" ht="17.25">
      <c r="A50">
        <v>49</v>
      </c>
      <c r="B50">
        <v>82</v>
      </c>
      <c r="C50">
        <f t="shared" si="0"/>
        <v>76.558884890000002</v>
      </c>
      <c r="D50">
        <f t="shared" si="1"/>
        <v>5.4411151099999984</v>
      </c>
      <c r="F50">
        <v>33</v>
      </c>
      <c r="G50">
        <v>7</v>
      </c>
      <c r="H50" t="s">
        <v>152</v>
      </c>
      <c r="J50" s="3"/>
    </row>
    <row r="51" spans="1:10" ht="17.25">
      <c r="A51">
        <v>50</v>
      </c>
      <c r="B51">
        <v>80</v>
      </c>
      <c r="C51">
        <f t="shared" si="0"/>
        <v>76.726224999999999</v>
      </c>
      <c r="D51">
        <f t="shared" si="1"/>
        <v>3.2737750000000005</v>
      </c>
      <c r="F51">
        <v>42</v>
      </c>
      <c r="G51">
        <v>6</v>
      </c>
      <c r="H51" t="s">
        <v>153</v>
      </c>
      <c r="J51" s="3"/>
    </row>
    <row r="52" spans="1:10">
      <c r="A52">
        <v>51</v>
      </c>
      <c r="B52">
        <v>77</v>
      </c>
      <c r="C52">
        <f t="shared" si="0"/>
        <v>76.893262890000003</v>
      </c>
      <c r="D52">
        <f t="shared" si="1"/>
        <v>0.10673710999999741</v>
      </c>
      <c r="J52" s="3"/>
    </row>
    <row r="53" spans="1:10">
      <c r="A53">
        <v>52</v>
      </c>
      <c r="B53">
        <v>78</v>
      </c>
      <c r="C53">
        <f t="shared" si="0"/>
        <v>77.059998559999997</v>
      </c>
      <c r="D53">
        <f t="shared" si="1"/>
        <v>0.94000144000000319</v>
      </c>
      <c r="J53" s="3"/>
    </row>
    <row r="54" spans="1:10">
      <c r="A54">
        <v>53</v>
      </c>
      <c r="B54">
        <v>97</v>
      </c>
      <c r="C54">
        <f t="shared" si="0"/>
        <v>77.226432009999996</v>
      </c>
      <c r="D54">
        <f t="shared" si="1"/>
        <v>19.773567990000004</v>
      </c>
      <c r="J54" s="3"/>
    </row>
    <row r="55" spans="1:10">
      <c r="A55">
        <v>54</v>
      </c>
      <c r="B55">
        <v>130</v>
      </c>
      <c r="C55">
        <f t="shared" si="0"/>
        <v>77.392563240000001</v>
      </c>
      <c r="D55">
        <f t="shared" si="1"/>
        <v>52.607436759999999</v>
      </c>
      <c r="J55" s="3"/>
    </row>
    <row r="56" spans="1:10">
      <c r="A56">
        <v>55</v>
      </c>
      <c r="B56">
        <v>182</v>
      </c>
      <c r="C56">
        <f t="shared" si="0"/>
        <v>77.558392249999997</v>
      </c>
      <c r="D56">
        <f t="shared" si="1"/>
        <v>104.44160775</v>
      </c>
      <c r="J56" s="3"/>
    </row>
    <row r="57" spans="1:10">
      <c r="A57">
        <v>56</v>
      </c>
      <c r="B57">
        <v>198</v>
      </c>
      <c r="C57">
        <f t="shared" si="0"/>
        <v>77.723919039999998</v>
      </c>
      <c r="D57">
        <f t="shared" si="1"/>
        <v>120.27608096</v>
      </c>
      <c r="J57" s="3"/>
    </row>
    <row r="58" spans="1:10">
      <c r="A58">
        <v>57</v>
      </c>
      <c r="B58">
        <v>185</v>
      </c>
      <c r="C58">
        <f t="shared" si="0"/>
        <v>77.889143610000005</v>
      </c>
      <c r="D58">
        <f t="shared" si="1"/>
        <v>107.11085639</v>
      </c>
      <c r="J58" s="3"/>
    </row>
    <row r="59" spans="1:10">
      <c r="A59">
        <v>58</v>
      </c>
      <c r="B59">
        <v>124</v>
      </c>
      <c r="C59">
        <f t="shared" si="0"/>
        <v>78.054065960000003</v>
      </c>
      <c r="D59">
        <f t="shared" si="1"/>
        <v>45.945934039999997</v>
      </c>
      <c r="J59" s="3"/>
    </row>
    <row r="60" spans="1:10">
      <c r="A60">
        <v>59</v>
      </c>
      <c r="B60">
        <v>102</v>
      </c>
      <c r="C60">
        <f t="shared" si="0"/>
        <v>78.218686090000006</v>
      </c>
      <c r="D60">
        <f t="shared" si="1"/>
        <v>23.781313909999994</v>
      </c>
      <c r="J60" s="3"/>
    </row>
    <row r="61" spans="1:10">
      <c r="A61">
        <v>60</v>
      </c>
      <c r="B61">
        <v>114</v>
      </c>
      <c r="C61">
        <f t="shared" si="0"/>
        <v>78.383004</v>
      </c>
      <c r="D61">
        <f t="shared" si="1"/>
        <v>35.616996</v>
      </c>
      <c r="J61" s="3"/>
    </row>
    <row r="62" spans="1:10">
      <c r="A62">
        <v>61</v>
      </c>
      <c r="B62">
        <v>137</v>
      </c>
      <c r="C62">
        <f t="shared" si="0"/>
        <v>78.547019689999999</v>
      </c>
      <c r="D62">
        <f t="shared" si="1"/>
        <v>58.452980310000001</v>
      </c>
      <c r="J62" s="3"/>
    </row>
    <row r="63" spans="1:10">
      <c r="A63">
        <v>62</v>
      </c>
      <c r="B63">
        <v>183</v>
      </c>
      <c r="C63">
        <f t="shared" si="0"/>
        <v>78.710733160000004</v>
      </c>
      <c r="D63">
        <f t="shared" si="1"/>
        <v>104.28926684</v>
      </c>
      <c r="J63" s="3"/>
    </row>
    <row r="64" spans="1:10">
      <c r="A64">
        <v>63</v>
      </c>
      <c r="B64">
        <v>256</v>
      </c>
      <c r="C64">
        <f t="shared" si="0"/>
        <v>78.87414441</v>
      </c>
      <c r="D64">
        <f t="shared" si="1"/>
        <v>177.12585559000001</v>
      </c>
      <c r="J64" s="3"/>
    </row>
    <row r="65" spans="1:10">
      <c r="A65">
        <v>64</v>
      </c>
      <c r="B65">
        <v>288</v>
      </c>
      <c r="C65">
        <f t="shared" si="0"/>
        <v>79.037253440000001</v>
      </c>
      <c r="D65">
        <f t="shared" si="1"/>
        <v>208.96274656</v>
      </c>
      <c r="J65" s="3"/>
    </row>
    <row r="66" spans="1:10">
      <c r="A66">
        <v>65</v>
      </c>
      <c r="B66">
        <v>248</v>
      </c>
      <c r="C66">
        <f t="shared" ref="C66:C129" si="7" xml:space="preserve"> -0.00015111*A66*A66 + 0.1823*A66 + 67.989</f>
        <v>79.200060250000007</v>
      </c>
      <c r="D66">
        <f t="shared" ref="D66:D129" si="8">B66-C66</f>
        <v>168.79993974999999</v>
      </c>
      <c r="J66" s="3"/>
    </row>
    <row r="67" spans="1:10">
      <c r="A67">
        <v>66</v>
      </c>
      <c r="B67">
        <v>185</v>
      </c>
      <c r="C67">
        <f t="shared" si="7"/>
        <v>79.362564840000005</v>
      </c>
      <c r="D67">
        <f t="shared" si="8"/>
        <v>105.63743516</v>
      </c>
      <c r="J67" s="3"/>
    </row>
    <row r="68" spans="1:10">
      <c r="A68">
        <v>67</v>
      </c>
      <c r="B68">
        <v>137</v>
      </c>
      <c r="C68">
        <f t="shared" si="7"/>
        <v>79.524767210000007</v>
      </c>
      <c r="D68">
        <f t="shared" si="8"/>
        <v>57.475232789999993</v>
      </c>
      <c r="J68" s="3"/>
    </row>
    <row r="69" spans="1:10">
      <c r="A69">
        <v>68</v>
      </c>
      <c r="B69">
        <v>121</v>
      </c>
      <c r="C69">
        <f t="shared" si="7"/>
        <v>79.686667360000001</v>
      </c>
      <c r="D69">
        <f t="shared" si="8"/>
        <v>41.313332639999999</v>
      </c>
      <c r="J69" s="3"/>
    </row>
    <row r="70" spans="1:10">
      <c r="A70">
        <v>69</v>
      </c>
      <c r="B70">
        <v>115</v>
      </c>
      <c r="C70">
        <f t="shared" si="7"/>
        <v>79.848265290000001</v>
      </c>
      <c r="D70">
        <f t="shared" si="8"/>
        <v>35.151734709999999</v>
      </c>
      <c r="J70" s="3"/>
    </row>
    <row r="71" spans="1:10">
      <c r="A71">
        <v>70</v>
      </c>
      <c r="B71">
        <v>100</v>
      </c>
      <c r="C71">
        <f t="shared" si="7"/>
        <v>80.009561000000005</v>
      </c>
      <c r="D71">
        <f t="shared" si="8"/>
        <v>19.990438999999995</v>
      </c>
      <c r="J71" s="3"/>
    </row>
    <row r="72" spans="1:10">
      <c r="A72">
        <v>71</v>
      </c>
      <c r="B72">
        <v>86</v>
      </c>
      <c r="C72">
        <f t="shared" si="7"/>
        <v>80.170554490000001</v>
      </c>
      <c r="D72">
        <f t="shared" si="8"/>
        <v>5.8294455099999993</v>
      </c>
      <c r="J72" s="3"/>
    </row>
    <row r="73" spans="1:10">
      <c r="A73">
        <v>72</v>
      </c>
      <c r="B73">
        <v>103</v>
      </c>
      <c r="C73">
        <f t="shared" si="7"/>
        <v>80.331245760000002</v>
      </c>
      <c r="D73">
        <f t="shared" si="8"/>
        <v>22.668754239999998</v>
      </c>
      <c r="J73" s="3"/>
    </row>
    <row r="74" spans="1:10">
      <c r="A74">
        <v>73</v>
      </c>
      <c r="B74">
        <v>107</v>
      </c>
      <c r="C74">
        <f t="shared" si="7"/>
        <v>80.491634810000008</v>
      </c>
      <c r="D74">
        <f t="shared" si="8"/>
        <v>26.508365189999992</v>
      </c>
      <c r="J74" s="3"/>
    </row>
    <row r="75" spans="1:10">
      <c r="A75">
        <v>74</v>
      </c>
      <c r="B75">
        <v>132</v>
      </c>
      <c r="C75">
        <f t="shared" si="7"/>
        <v>80.651721640000005</v>
      </c>
      <c r="D75">
        <f t="shared" si="8"/>
        <v>51.348278359999995</v>
      </c>
      <c r="J75" s="3"/>
    </row>
    <row r="76" spans="1:10">
      <c r="A76">
        <v>75</v>
      </c>
      <c r="B76">
        <v>132</v>
      </c>
      <c r="C76">
        <f t="shared" si="7"/>
        <v>80.811506250000008</v>
      </c>
      <c r="D76">
        <f t="shared" si="8"/>
        <v>51.188493749999992</v>
      </c>
      <c r="J76" s="3"/>
    </row>
    <row r="77" spans="1:10">
      <c r="A77">
        <v>76</v>
      </c>
      <c r="B77">
        <v>123</v>
      </c>
      <c r="C77">
        <f t="shared" si="7"/>
        <v>80.970988640000002</v>
      </c>
      <c r="D77">
        <f t="shared" si="8"/>
        <v>42.029011359999998</v>
      </c>
      <c r="J77" s="3"/>
    </row>
    <row r="78" spans="1:10">
      <c r="A78">
        <v>77</v>
      </c>
      <c r="B78">
        <v>130</v>
      </c>
      <c r="C78">
        <f t="shared" si="7"/>
        <v>81.130168810000001</v>
      </c>
      <c r="D78">
        <f t="shared" si="8"/>
        <v>48.869831189999999</v>
      </c>
    </row>
    <row r="79" spans="1:10">
      <c r="A79">
        <v>78</v>
      </c>
      <c r="B79">
        <v>185</v>
      </c>
      <c r="C79">
        <f t="shared" si="7"/>
        <v>81.289046760000005</v>
      </c>
      <c r="D79">
        <f t="shared" si="8"/>
        <v>103.71095323999999</v>
      </c>
    </row>
    <row r="80" spans="1:10">
      <c r="A80">
        <v>79</v>
      </c>
      <c r="B80">
        <v>245</v>
      </c>
      <c r="C80">
        <f t="shared" si="7"/>
        <v>81.447622490000001</v>
      </c>
      <c r="D80">
        <f t="shared" si="8"/>
        <v>163.55237750999999</v>
      </c>
    </row>
    <row r="81" spans="1:4">
      <c r="A81">
        <v>80</v>
      </c>
      <c r="B81">
        <v>274</v>
      </c>
      <c r="C81">
        <f t="shared" si="7"/>
        <v>81.605896000000001</v>
      </c>
      <c r="D81">
        <f t="shared" si="8"/>
        <v>192.394104</v>
      </c>
    </row>
    <row r="82" spans="1:4">
      <c r="A82">
        <v>81</v>
      </c>
      <c r="B82">
        <v>241</v>
      </c>
      <c r="C82">
        <f t="shared" si="7"/>
        <v>81.763867290000007</v>
      </c>
      <c r="D82">
        <f t="shared" si="8"/>
        <v>159.23613270999999</v>
      </c>
    </row>
    <row r="83" spans="1:4">
      <c r="A83">
        <v>82</v>
      </c>
      <c r="B83">
        <v>165</v>
      </c>
      <c r="C83">
        <f t="shared" si="7"/>
        <v>81.921536360000005</v>
      </c>
      <c r="D83">
        <f t="shared" si="8"/>
        <v>83.078463639999995</v>
      </c>
    </row>
    <row r="84" spans="1:4">
      <c r="A84">
        <v>83</v>
      </c>
      <c r="B84">
        <v>120</v>
      </c>
      <c r="C84">
        <f t="shared" si="7"/>
        <v>82.078903210000007</v>
      </c>
      <c r="D84">
        <f t="shared" si="8"/>
        <v>37.921096789999993</v>
      </c>
    </row>
    <row r="85" spans="1:4">
      <c r="A85">
        <v>84</v>
      </c>
      <c r="B85">
        <v>114</v>
      </c>
      <c r="C85">
        <f t="shared" si="7"/>
        <v>82.235967840000001</v>
      </c>
      <c r="D85">
        <f t="shared" si="8"/>
        <v>31.764032159999999</v>
      </c>
    </row>
    <row r="86" spans="1:4">
      <c r="A86">
        <v>85</v>
      </c>
      <c r="B86">
        <v>105</v>
      </c>
      <c r="C86">
        <f t="shared" si="7"/>
        <v>82.39273025</v>
      </c>
      <c r="D86">
        <f t="shared" si="8"/>
        <v>22.60726975</v>
      </c>
    </row>
    <row r="87" spans="1:4">
      <c r="A87">
        <v>86</v>
      </c>
      <c r="B87">
        <v>118</v>
      </c>
      <c r="C87">
        <f t="shared" si="7"/>
        <v>82.549190440000004</v>
      </c>
      <c r="D87">
        <f t="shared" si="8"/>
        <v>35.450809559999996</v>
      </c>
    </row>
    <row r="88" spans="1:4">
      <c r="A88">
        <v>87</v>
      </c>
      <c r="B88">
        <v>121</v>
      </c>
      <c r="C88">
        <f t="shared" si="7"/>
        <v>82.705348409999999</v>
      </c>
      <c r="D88">
        <f t="shared" si="8"/>
        <v>38.294651590000001</v>
      </c>
    </row>
    <row r="89" spans="1:4">
      <c r="A89">
        <v>88</v>
      </c>
      <c r="B89">
        <v>123</v>
      </c>
      <c r="C89">
        <f t="shared" si="7"/>
        <v>82.86120416</v>
      </c>
      <c r="D89">
        <f t="shared" si="8"/>
        <v>40.13879584</v>
      </c>
    </row>
    <row r="90" spans="1:4">
      <c r="A90">
        <v>89</v>
      </c>
      <c r="B90">
        <v>129</v>
      </c>
      <c r="C90">
        <f t="shared" si="7"/>
        <v>83.016757690000006</v>
      </c>
      <c r="D90">
        <f t="shared" si="8"/>
        <v>45.983242309999994</v>
      </c>
    </row>
    <row r="91" spans="1:4">
      <c r="A91">
        <v>90</v>
      </c>
      <c r="B91">
        <v>134</v>
      </c>
      <c r="C91">
        <f t="shared" si="7"/>
        <v>83.172009000000003</v>
      </c>
      <c r="D91">
        <f t="shared" si="8"/>
        <v>50.827990999999997</v>
      </c>
    </row>
    <row r="92" spans="1:4">
      <c r="A92">
        <v>91</v>
      </c>
      <c r="B92">
        <v>146</v>
      </c>
      <c r="C92">
        <f t="shared" si="7"/>
        <v>83.326958090000005</v>
      </c>
      <c r="D92">
        <f t="shared" si="8"/>
        <v>62.673041909999995</v>
      </c>
    </row>
    <row r="93" spans="1:4">
      <c r="A93">
        <v>92</v>
      </c>
      <c r="B93">
        <v>172</v>
      </c>
      <c r="C93">
        <f t="shared" si="7"/>
        <v>83.481604959999999</v>
      </c>
      <c r="D93">
        <f t="shared" si="8"/>
        <v>88.518395040000001</v>
      </c>
    </row>
    <row r="94" spans="1:4">
      <c r="A94">
        <v>93</v>
      </c>
      <c r="B94">
        <v>205</v>
      </c>
      <c r="C94">
        <f t="shared" si="7"/>
        <v>83.635949609999997</v>
      </c>
      <c r="D94">
        <f t="shared" si="8"/>
        <v>121.36405039</v>
      </c>
    </row>
    <row r="95" spans="1:4">
      <c r="A95">
        <v>94</v>
      </c>
      <c r="B95">
        <v>257</v>
      </c>
      <c r="C95">
        <f t="shared" si="7"/>
        <v>83.789992040000001</v>
      </c>
      <c r="D95">
        <f t="shared" si="8"/>
        <v>173.21000795999998</v>
      </c>
    </row>
    <row r="96" spans="1:4">
      <c r="A96">
        <v>95</v>
      </c>
      <c r="B96">
        <v>376</v>
      </c>
      <c r="C96">
        <f t="shared" si="7"/>
        <v>83.943732250000011</v>
      </c>
      <c r="D96">
        <f t="shared" si="8"/>
        <v>292.05626774999996</v>
      </c>
    </row>
    <row r="97" spans="1:8">
      <c r="A97">
        <v>96</v>
      </c>
      <c r="B97">
        <v>585</v>
      </c>
      <c r="C97">
        <f t="shared" si="7"/>
        <v>84.097170239999997</v>
      </c>
      <c r="D97">
        <f t="shared" si="8"/>
        <v>500.90282976000003</v>
      </c>
    </row>
    <row r="98" spans="1:8" ht="17.25">
      <c r="A98">
        <v>97</v>
      </c>
      <c r="B98">
        <v>769</v>
      </c>
      <c r="C98">
        <f t="shared" si="7"/>
        <v>84.250306010000003</v>
      </c>
      <c r="D98">
        <f t="shared" si="8"/>
        <v>684.74969398999997</v>
      </c>
      <c r="F98">
        <v>97.5</v>
      </c>
      <c r="G98">
        <v>6</v>
      </c>
      <c r="H98" t="s">
        <v>154</v>
      </c>
    </row>
    <row r="99" spans="1:8">
      <c r="A99">
        <v>98</v>
      </c>
      <c r="B99">
        <v>730</v>
      </c>
      <c r="C99">
        <f t="shared" si="7"/>
        <v>84.40313956</v>
      </c>
      <c r="D99">
        <f t="shared" si="8"/>
        <v>645.59686044</v>
      </c>
    </row>
    <row r="100" spans="1:8">
      <c r="A100">
        <v>99</v>
      </c>
      <c r="B100">
        <v>536</v>
      </c>
      <c r="C100">
        <f t="shared" si="7"/>
        <v>84.555670890000002</v>
      </c>
      <c r="D100">
        <f t="shared" si="8"/>
        <v>451.44432911000001</v>
      </c>
    </row>
    <row r="101" spans="1:8">
      <c r="A101">
        <v>100</v>
      </c>
      <c r="B101">
        <v>325</v>
      </c>
      <c r="C101">
        <f t="shared" si="7"/>
        <v>84.707900000000009</v>
      </c>
      <c r="D101">
        <f t="shared" si="8"/>
        <v>240.2921</v>
      </c>
    </row>
    <row r="102" spans="1:8">
      <c r="A102">
        <v>101</v>
      </c>
      <c r="B102">
        <v>240</v>
      </c>
      <c r="C102">
        <f t="shared" si="7"/>
        <v>84.859826889999994</v>
      </c>
      <c r="D102">
        <f t="shared" si="8"/>
        <v>155.14017311000001</v>
      </c>
    </row>
    <row r="103" spans="1:8">
      <c r="A103">
        <v>102</v>
      </c>
      <c r="B103">
        <v>214</v>
      </c>
      <c r="C103">
        <f t="shared" si="7"/>
        <v>85.011451560000012</v>
      </c>
      <c r="D103">
        <f t="shared" si="8"/>
        <v>128.98854843999999</v>
      </c>
    </row>
    <row r="104" spans="1:8">
      <c r="A104">
        <v>103</v>
      </c>
      <c r="B104">
        <v>208</v>
      </c>
      <c r="C104">
        <f t="shared" si="7"/>
        <v>85.162774010000007</v>
      </c>
      <c r="D104">
        <f t="shared" si="8"/>
        <v>122.83722598999999</v>
      </c>
    </row>
    <row r="105" spans="1:8">
      <c r="A105">
        <v>104</v>
      </c>
      <c r="B105">
        <v>254</v>
      </c>
      <c r="C105">
        <f t="shared" si="7"/>
        <v>85.313794240000007</v>
      </c>
      <c r="D105">
        <f t="shared" si="8"/>
        <v>168.68620576000001</v>
      </c>
    </row>
    <row r="106" spans="1:8">
      <c r="A106">
        <v>105</v>
      </c>
      <c r="B106">
        <v>340</v>
      </c>
      <c r="C106">
        <f t="shared" si="7"/>
        <v>85.464512250000013</v>
      </c>
      <c r="D106">
        <f t="shared" si="8"/>
        <v>254.53548774999999</v>
      </c>
    </row>
    <row r="107" spans="1:8">
      <c r="A107">
        <v>106</v>
      </c>
      <c r="B107">
        <v>436</v>
      </c>
      <c r="C107">
        <f t="shared" si="7"/>
        <v>85.614928039999995</v>
      </c>
      <c r="D107">
        <f t="shared" si="8"/>
        <v>350.38507196</v>
      </c>
    </row>
    <row r="108" spans="1:8">
      <c r="A108">
        <v>107</v>
      </c>
      <c r="B108">
        <v>526</v>
      </c>
      <c r="C108">
        <f t="shared" si="7"/>
        <v>85.765041609999997</v>
      </c>
      <c r="D108">
        <f t="shared" si="8"/>
        <v>440.23495838999997</v>
      </c>
    </row>
    <row r="109" spans="1:8">
      <c r="A109">
        <v>108</v>
      </c>
      <c r="B109">
        <v>582</v>
      </c>
      <c r="C109">
        <f t="shared" si="7"/>
        <v>85.914852960000005</v>
      </c>
      <c r="D109">
        <f t="shared" si="8"/>
        <v>496.08514703999998</v>
      </c>
    </row>
    <row r="110" spans="1:8">
      <c r="A110">
        <v>109</v>
      </c>
      <c r="B110">
        <v>597</v>
      </c>
      <c r="C110">
        <f t="shared" si="7"/>
        <v>86.064362090000003</v>
      </c>
      <c r="D110">
        <f t="shared" si="8"/>
        <v>510.93563790999997</v>
      </c>
    </row>
    <row r="111" spans="1:8">
      <c r="A111">
        <v>110</v>
      </c>
      <c r="B111">
        <v>552</v>
      </c>
      <c r="C111">
        <f t="shared" si="7"/>
        <v>86.213569000000007</v>
      </c>
      <c r="D111">
        <f t="shared" si="8"/>
        <v>465.78643099999999</v>
      </c>
    </row>
    <row r="112" spans="1:8">
      <c r="A112">
        <v>111</v>
      </c>
      <c r="B112">
        <v>452</v>
      </c>
      <c r="C112">
        <f t="shared" si="7"/>
        <v>86.362473690000002</v>
      </c>
      <c r="D112">
        <f t="shared" si="8"/>
        <v>365.63752631</v>
      </c>
    </row>
    <row r="113" spans="1:4">
      <c r="A113">
        <v>112</v>
      </c>
      <c r="B113">
        <v>398</v>
      </c>
      <c r="C113">
        <f t="shared" si="7"/>
        <v>86.511076160000002</v>
      </c>
      <c r="D113">
        <f t="shared" si="8"/>
        <v>311.48892383999998</v>
      </c>
    </row>
    <row r="114" spans="1:4">
      <c r="A114">
        <v>113</v>
      </c>
      <c r="B114">
        <v>399</v>
      </c>
      <c r="C114">
        <f t="shared" si="7"/>
        <v>86.659376410000007</v>
      </c>
      <c r="D114">
        <f t="shared" si="8"/>
        <v>312.34062359000001</v>
      </c>
    </row>
    <row r="115" spans="1:4">
      <c r="A115">
        <v>114</v>
      </c>
      <c r="B115">
        <v>408</v>
      </c>
      <c r="C115">
        <f t="shared" si="7"/>
        <v>86.807374440000004</v>
      </c>
      <c r="D115">
        <f t="shared" si="8"/>
        <v>321.19262556000001</v>
      </c>
    </row>
    <row r="116" spans="1:4">
      <c r="A116">
        <v>115</v>
      </c>
      <c r="B116">
        <v>370</v>
      </c>
      <c r="C116">
        <f t="shared" si="7"/>
        <v>86.955070250000006</v>
      </c>
      <c r="D116">
        <f t="shared" si="8"/>
        <v>283.04492974999999</v>
      </c>
    </row>
    <row r="117" spans="1:4">
      <c r="A117">
        <v>116</v>
      </c>
      <c r="B117">
        <v>303</v>
      </c>
      <c r="C117">
        <f t="shared" si="7"/>
        <v>87.102463839999999</v>
      </c>
      <c r="D117">
        <f t="shared" si="8"/>
        <v>215.89753616000002</v>
      </c>
    </row>
    <row r="118" spans="1:4">
      <c r="A118">
        <v>117</v>
      </c>
      <c r="B118">
        <v>256</v>
      </c>
      <c r="C118">
        <f t="shared" si="7"/>
        <v>87.249555210000011</v>
      </c>
      <c r="D118">
        <f t="shared" si="8"/>
        <v>168.75044478999999</v>
      </c>
    </row>
    <row r="119" spans="1:4">
      <c r="A119">
        <v>118</v>
      </c>
      <c r="B119">
        <v>248</v>
      </c>
      <c r="C119">
        <f t="shared" si="7"/>
        <v>87.396344360000001</v>
      </c>
      <c r="D119">
        <f t="shared" si="8"/>
        <v>160.60365564</v>
      </c>
    </row>
    <row r="120" spans="1:4">
      <c r="A120">
        <v>119</v>
      </c>
      <c r="B120">
        <v>297</v>
      </c>
      <c r="C120">
        <f t="shared" si="7"/>
        <v>87.542831290000009</v>
      </c>
      <c r="D120">
        <f t="shared" si="8"/>
        <v>209.45716870999999</v>
      </c>
    </row>
    <row r="121" spans="1:4">
      <c r="A121">
        <v>120</v>
      </c>
      <c r="B121">
        <v>371</v>
      </c>
      <c r="C121">
        <f t="shared" si="7"/>
        <v>87.689016000000009</v>
      </c>
      <c r="D121">
        <f t="shared" si="8"/>
        <v>283.31098399999996</v>
      </c>
    </row>
    <row r="122" spans="1:4">
      <c r="A122">
        <v>121</v>
      </c>
      <c r="B122">
        <v>465</v>
      </c>
      <c r="C122">
        <f t="shared" si="7"/>
        <v>87.83489849</v>
      </c>
      <c r="D122">
        <f t="shared" si="8"/>
        <v>377.16510151</v>
      </c>
    </row>
    <row r="123" spans="1:4">
      <c r="A123">
        <v>122</v>
      </c>
      <c r="B123">
        <v>508</v>
      </c>
      <c r="C123">
        <f t="shared" si="7"/>
        <v>87.980478759999997</v>
      </c>
      <c r="D123">
        <f t="shared" si="8"/>
        <v>420.01952124000002</v>
      </c>
    </row>
    <row r="124" spans="1:4">
      <c r="A124">
        <v>123</v>
      </c>
      <c r="B124">
        <v>473</v>
      </c>
      <c r="C124">
        <f t="shared" si="7"/>
        <v>88.125756809999999</v>
      </c>
      <c r="D124">
        <f t="shared" si="8"/>
        <v>384.87424319000002</v>
      </c>
    </row>
    <row r="125" spans="1:4">
      <c r="A125">
        <v>124</v>
      </c>
      <c r="B125">
        <v>432</v>
      </c>
      <c r="C125">
        <f t="shared" si="7"/>
        <v>88.270732640000006</v>
      </c>
      <c r="D125">
        <f t="shared" si="8"/>
        <v>343.72926735999999</v>
      </c>
    </row>
    <row r="126" spans="1:4">
      <c r="A126">
        <v>125</v>
      </c>
      <c r="B126">
        <v>430</v>
      </c>
      <c r="C126">
        <f t="shared" si="7"/>
        <v>88.415406250000004</v>
      </c>
      <c r="D126">
        <f t="shared" si="8"/>
        <v>341.58459375000001</v>
      </c>
    </row>
    <row r="127" spans="1:4">
      <c r="A127">
        <v>126</v>
      </c>
      <c r="B127">
        <v>577</v>
      </c>
      <c r="C127">
        <f t="shared" si="7"/>
        <v>88.559777640000007</v>
      </c>
      <c r="D127">
        <f t="shared" si="8"/>
        <v>488.44022236000001</v>
      </c>
    </row>
    <row r="128" spans="1:4">
      <c r="A128">
        <v>127</v>
      </c>
      <c r="B128">
        <v>860</v>
      </c>
      <c r="C128">
        <f t="shared" si="7"/>
        <v>88.703846810000002</v>
      </c>
      <c r="D128">
        <f t="shared" si="8"/>
        <v>771.29615319000004</v>
      </c>
    </row>
    <row r="129" spans="1:8" ht="17.25">
      <c r="A129">
        <v>128</v>
      </c>
      <c r="B129">
        <v>1175</v>
      </c>
      <c r="C129">
        <f t="shared" si="7"/>
        <v>88.847613760000002</v>
      </c>
      <c r="D129">
        <f t="shared" si="8"/>
        <v>1086.1523862399999</v>
      </c>
      <c r="F129">
        <v>128.5</v>
      </c>
      <c r="G129">
        <v>6</v>
      </c>
      <c r="H129" t="s">
        <v>155</v>
      </c>
    </row>
    <row r="130" spans="1:8">
      <c r="A130">
        <v>129</v>
      </c>
      <c r="B130">
        <v>1199</v>
      </c>
      <c r="C130">
        <f t="shared" ref="C130:C193" si="9" xml:space="preserve"> -0.00015111*A130*A130 + 0.1823*A130 + 67.989</f>
        <v>88.991078490000007</v>
      </c>
      <c r="D130">
        <f t="shared" ref="D130:D193" si="10">B130-C130</f>
        <v>1110.0089215099999</v>
      </c>
    </row>
    <row r="131" spans="1:8">
      <c r="A131">
        <v>130</v>
      </c>
      <c r="B131">
        <v>979</v>
      </c>
      <c r="C131">
        <f t="shared" si="9"/>
        <v>89.134241000000003</v>
      </c>
      <c r="D131">
        <f t="shared" si="10"/>
        <v>889.86575900000003</v>
      </c>
    </row>
    <row r="132" spans="1:8">
      <c r="A132">
        <v>131</v>
      </c>
      <c r="B132">
        <v>663</v>
      </c>
      <c r="C132">
        <f t="shared" si="9"/>
        <v>89.277101290000004</v>
      </c>
      <c r="D132">
        <f t="shared" si="10"/>
        <v>573.72289870999998</v>
      </c>
    </row>
    <row r="133" spans="1:8">
      <c r="A133">
        <v>132</v>
      </c>
      <c r="B133">
        <v>446</v>
      </c>
      <c r="C133">
        <f t="shared" si="9"/>
        <v>89.419659359999997</v>
      </c>
      <c r="D133">
        <f t="shared" si="10"/>
        <v>356.58034064000003</v>
      </c>
    </row>
    <row r="134" spans="1:8">
      <c r="A134">
        <v>133</v>
      </c>
      <c r="B134">
        <v>324</v>
      </c>
      <c r="C134">
        <f t="shared" si="9"/>
        <v>89.561915209999995</v>
      </c>
      <c r="D134">
        <f t="shared" si="10"/>
        <v>234.43808479</v>
      </c>
    </row>
    <row r="135" spans="1:8">
      <c r="A135">
        <v>134</v>
      </c>
      <c r="B135">
        <v>240</v>
      </c>
      <c r="C135">
        <f t="shared" si="9"/>
        <v>89.703868840000013</v>
      </c>
      <c r="D135">
        <f t="shared" si="10"/>
        <v>150.29613115999999</v>
      </c>
    </row>
    <row r="136" spans="1:8">
      <c r="A136">
        <v>135</v>
      </c>
      <c r="B136">
        <v>192</v>
      </c>
      <c r="C136">
        <f t="shared" si="9"/>
        <v>89.845520250000007</v>
      </c>
      <c r="D136">
        <f t="shared" si="10"/>
        <v>102.15447974999999</v>
      </c>
    </row>
    <row r="137" spans="1:8">
      <c r="A137">
        <v>136</v>
      </c>
      <c r="B137">
        <v>161</v>
      </c>
      <c r="C137">
        <f t="shared" si="9"/>
        <v>89.986869440000007</v>
      </c>
      <c r="D137">
        <f t="shared" si="10"/>
        <v>71.013130559999993</v>
      </c>
    </row>
    <row r="138" spans="1:8">
      <c r="A138">
        <v>137</v>
      </c>
      <c r="B138">
        <v>135</v>
      </c>
      <c r="C138">
        <f t="shared" si="9"/>
        <v>90.127916409999997</v>
      </c>
      <c r="D138">
        <f t="shared" si="10"/>
        <v>44.872083590000003</v>
      </c>
    </row>
    <row r="139" spans="1:8">
      <c r="A139">
        <v>138</v>
      </c>
      <c r="B139">
        <v>123</v>
      </c>
      <c r="C139">
        <f t="shared" si="9"/>
        <v>90.268661160000008</v>
      </c>
      <c r="D139">
        <f t="shared" si="10"/>
        <v>32.731338839999992</v>
      </c>
    </row>
    <row r="140" spans="1:8">
      <c r="A140">
        <v>139</v>
      </c>
      <c r="B140">
        <v>125</v>
      </c>
      <c r="C140">
        <f t="shared" si="9"/>
        <v>90.409103689999995</v>
      </c>
      <c r="D140">
        <f t="shared" si="10"/>
        <v>34.590896310000005</v>
      </c>
    </row>
    <row r="141" spans="1:8">
      <c r="A141">
        <v>140</v>
      </c>
      <c r="B141">
        <v>129</v>
      </c>
      <c r="C141">
        <f t="shared" si="9"/>
        <v>90.549244000000002</v>
      </c>
      <c r="D141">
        <f t="shared" si="10"/>
        <v>38.450755999999998</v>
      </c>
    </row>
    <row r="142" spans="1:8">
      <c r="A142">
        <v>141</v>
      </c>
      <c r="B142">
        <v>148</v>
      </c>
      <c r="C142">
        <f t="shared" si="9"/>
        <v>90.689082089999999</v>
      </c>
      <c r="D142">
        <f t="shared" si="10"/>
        <v>57.310917910000001</v>
      </c>
    </row>
    <row r="143" spans="1:8">
      <c r="A143">
        <v>142</v>
      </c>
      <c r="B143">
        <v>208</v>
      </c>
      <c r="C143">
        <f t="shared" si="9"/>
        <v>90.828617960000003</v>
      </c>
      <c r="D143">
        <f t="shared" si="10"/>
        <v>117.17138204</v>
      </c>
    </row>
    <row r="144" spans="1:8">
      <c r="A144">
        <v>143</v>
      </c>
      <c r="B144">
        <v>338</v>
      </c>
      <c r="C144">
        <f t="shared" si="9"/>
        <v>90.967851609999997</v>
      </c>
      <c r="D144">
        <f t="shared" si="10"/>
        <v>247.03214839</v>
      </c>
    </row>
    <row r="145" spans="1:8" ht="17.25">
      <c r="A145">
        <v>144</v>
      </c>
      <c r="B145">
        <v>502</v>
      </c>
      <c r="C145">
        <f t="shared" si="9"/>
        <v>91.106783039999996</v>
      </c>
      <c r="D145">
        <f t="shared" si="10"/>
        <v>410.89321696000002</v>
      </c>
      <c r="F145">
        <v>144.5</v>
      </c>
      <c r="G145">
        <v>6</v>
      </c>
      <c r="H145" t="s">
        <v>156</v>
      </c>
    </row>
    <row r="146" spans="1:8">
      <c r="A146">
        <v>145</v>
      </c>
      <c r="B146">
        <v>578</v>
      </c>
      <c r="C146">
        <f t="shared" si="9"/>
        <v>91.245412250000001</v>
      </c>
      <c r="D146">
        <f t="shared" si="10"/>
        <v>486.75458774999998</v>
      </c>
    </row>
    <row r="147" spans="1:8">
      <c r="A147">
        <v>146</v>
      </c>
      <c r="B147">
        <v>468</v>
      </c>
      <c r="C147">
        <f t="shared" si="9"/>
        <v>91.383739240000011</v>
      </c>
      <c r="D147">
        <f t="shared" si="10"/>
        <v>376.61626075999999</v>
      </c>
    </row>
    <row r="148" spans="1:8">
      <c r="A148">
        <v>147</v>
      </c>
      <c r="B148">
        <v>282</v>
      </c>
      <c r="C148">
        <f t="shared" si="9"/>
        <v>91.521764009999998</v>
      </c>
      <c r="D148">
        <f t="shared" si="10"/>
        <v>190.47823599</v>
      </c>
    </row>
    <row r="149" spans="1:8">
      <c r="A149">
        <v>148</v>
      </c>
      <c r="B149">
        <v>189</v>
      </c>
      <c r="C149">
        <f t="shared" si="9"/>
        <v>91.659486560000005</v>
      </c>
      <c r="D149">
        <f t="shared" si="10"/>
        <v>97.340513439999995</v>
      </c>
    </row>
    <row r="150" spans="1:8">
      <c r="A150">
        <v>149</v>
      </c>
      <c r="B150">
        <v>153</v>
      </c>
      <c r="C150">
        <f t="shared" si="9"/>
        <v>91.796906890000002</v>
      </c>
      <c r="D150">
        <f t="shared" si="10"/>
        <v>61.203093109999998</v>
      </c>
    </row>
    <row r="151" spans="1:8">
      <c r="A151">
        <v>150</v>
      </c>
      <c r="B151">
        <v>142</v>
      </c>
      <c r="C151">
        <f t="shared" si="9"/>
        <v>91.934025000000005</v>
      </c>
      <c r="D151">
        <f t="shared" si="10"/>
        <v>50.065974999999995</v>
      </c>
    </row>
    <row r="152" spans="1:8">
      <c r="A152">
        <v>151</v>
      </c>
      <c r="B152">
        <v>151</v>
      </c>
      <c r="C152">
        <f t="shared" si="9"/>
        <v>92.070840889999999</v>
      </c>
      <c r="D152">
        <f t="shared" si="10"/>
        <v>58.929159110000001</v>
      </c>
    </row>
    <row r="153" spans="1:8">
      <c r="A153">
        <v>152</v>
      </c>
      <c r="B153">
        <v>150</v>
      </c>
      <c r="C153">
        <f t="shared" si="9"/>
        <v>92.207354559999999</v>
      </c>
      <c r="D153">
        <f t="shared" si="10"/>
        <v>57.792645440000001</v>
      </c>
    </row>
    <row r="154" spans="1:8">
      <c r="A154">
        <v>153</v>
      </c>
      <c r="B154">
        <v>144</v>
      </c>
      <c r="C154">
        <f t="shared" si="9"/>
        <v>92.343566010000004</v>
      </c>
      <c r="D154">
        <f t="shared" si="10"/>
        <v>51.656433989999996</v>
      </c>
    </row>
    <row r="155" spans="1:8">
      <c r="A155">
        <v>154</v>
      </c>
      <c r="B155">
        <v>145</v>
      </c>
      <c r="C155">
        <f t="shared" si="9"/>
        <v>92.479475239999999</v>
      </c>
      <c r="D155">
        <f t="shared" si="10"/>
        <v>52.520524760000001</v>
      </c>
    </row>
    <row r="156" spans="1:8">
      <c r="A156">
        <v>155</v>
      </c>
      <c r="B156">
        <v>124</v>
      </c>
      <c r="C156">
        <f t="shared" si="9"/>
        <v>92.61508225</v>
      </c>
      <c r="D156">
        <f t="shared" si="10"/>
        <v>31.38491775</v>
      </c>
    </row>
    <row r="157" spans="1:8">
      <c r="A157">
        <v>156</v>
      </c>
      <c r="B157">
        <v>117</v>
      </c>
      <c r="C157">
        <f t="shared" si="9"/>
        <v>92.750387039999993</v>
      </c>
      <c r="D157">
        <f t="shared" si="10"/>
        <v>24.249612960000007</v>
      </c>
    </row>
    <row r="158" spans="1:8">
      <c r="A158">
        <v>157</v>
      </c>
      <c r="B158">
        <v>123</v>
      </c>
      <c r="C158">
        <f t="shared" si="9"/>
        <v>92.885389610000004</v>
      </c>
      <c r="D158">
        <f t="shared" si="10"/>
        <v>30.114610389999996</v>
      </c>
    </row>
    <row r="159" spans="1:8">
      <c r="A159">
        <v>158</v>
      </c>
      <c r="B159">
        <v>135</v>
      </c>
      <c r="C159">
        <f t="shared" si="9"/>
        <v>93.020089960000007</v>
      </c>
      <c r="D159">
        <f t="shared" si="10"/>
        <v>41.979910039999993</v>
      </c>
    </row>
    <row r="160" spans="1:8">
      <c r="A160">
        <v>159</v>
      </c>
      <c r="B160">
        <v>159</v>
      </c>
      <c r="C160">
        <f t="shared" si="9"/>
        <v>93.154488090000001</v>
      </c>
      <c r="D160">
        <f t="shared" si="10"/>
        <v>65.845511909999999</v>
      </c>
    </row>
    <row r="161" spans="1:4">
      <c r="A161">
        <v>160</v>
      </c>
      <c r="B161">
        <v>203</v>
      </c>
      <c r="C161">
        <f t="shared" si="9"/>
        <v>93.288584</v>
      </c>
      <c r="D161">
        <f t="shared" si="10"/>
        <v>109.711416</v>
      </c>
    </row>
    <row r="162" spans="1:4">
      <c r="A162">
        <v>161</v>
      </c>
      <c r="B162">
        <v>228</v>
      </c>
      <c r="C162">
        <f t="shared" si="9"/>
        <v>93.422377690000005</v>
      </c>
      <c r="D162">
        <f t="shared" si="10"/>
        <v>134.57762230999998</v>
      </c>
    </row>
    <row r="163" spans="1:4">
      <c r="A163">
        <v>162</v>
      </c>
      <c r="B163">
        <v>250</v>
      </c>
      <c r="C163">
        <f t="shared" si="9"/>
        <v>93.55586916</v>
      </c>
      <c r="D163">
        <f t="shared" si="10"/>
        <v>156.44413084000001</v>
      </c>
    </row>
    <row r="164" spans="1:4">
      <c r="A164">
        <v>163</v>
      </c>
      <c r="B164">
        <v>258</v>
      </c>
      <c r="C164">
        <f t="shared" si="9"/>
        <v>93.689058410000001</v>
      </c>
      <c r="D164">
        <f t="shared" si="10"/>
        <v>164.31094159</v>
      </c>
    </row>
    <row r="165" spans="1:4">
      <c r="A165">
        <v>164</v>
      </c>
      <c r="B165">
        <v>262</v>
      </c>
      <c r="C165">
        <f t="shared" si="9"/>
        <v>93.821945440000007</v>
      </c>
      <c r="D165">
        <f t="shared" si="10"/>
        <v>168.17805455999999</v>
      </c>
    </row>
    <row r="166" spans="1:4">
      <c r="A166">
        <v>165</v>
      </c>
      <c r="B166">
        <v>306</v>
      </c>
      <c r="C166">
        <f t="shared" si="9"/>
        <v>93.954530250000005</v>
      </c>
      <c r="D166">
        <f t="shared" si="10"/>
        <v>212.04546975</v>
      </c>
    </row>
    <row r="167" spans="1:4">
      <c r="A167">
        <v>166</v>
      </c>
      <c r="B167">
        <v>346</v>
      </c>
      <c r="C167">
        <f t="shared" si="9"/>
        <v>94.086812839999993</v>
      </c>
      <c r="D167">
        <f t="shared" si="10"/>
        <v>251.91318716000001</v>
      </c>
    </row>
    <row r="168" spans="1:4">
      <c r="A168">
        <v>167</v>
      </c>
      <c r="B168">
        <v>383</v>
      </c>
      <c r="C168">
        <f t="shared" si="9"/>
        <v>94.218793210000001</v>
      </c>
      <c r="D168">
        <f t="shared" si="10"/>
        <v>288.78120679</v>
      </c>
    </row>
    <row r="169" spans="1:4">
      <c r="A169">
        <v>168</v>
      </c>
      <c r="B169">
        <v>389</v>
      </c>
      <c r="C169">
        <f t="shared" si="9"/>
        <v>94.35047136</v>
      </c>
      <c r="D169">
        <f t="shared" si="10"/>
        <v>294.64952863999997</v>
      </c>
    </row>
    <row r="170" spans="1:4">
      <c r="A170">
        <v>169</v>
      </c>
      <c r="B170">
        <v>367</v>
      </c>
      <c r="C170">
        <f t="shared" si="9"/>
        <v>94.481847290000005</v>
      </c>
      <c r="D170">
        <f t="shared" si="10"/>
        <v>272.51815270999998</v>
      </c>
    </row>
    <row r="171" spans="1:4">
      <c r="A171">
        <v>170</v>
      </c>
      <c r="B171">
        <v>366</v>
      </c>
      <c r="C171">
        <f t="shared" si="9"/>
        <v>94.612921</v>
      </c>
      <c r="D171">
        <f t="shared" si="10"/>
        <v>271.38707899999997</v>
      </c>
    </row>
    <row r="172" spans="1:4">
      <c r="A172">
        <v>171</v>
      </c>
      <c r="B172">
        <v>376</v>
      </c>
      <c r="C172">
        <f t="shared" si="9"/>
        <v>94.743692490000001</v>
      </c>
      <c r="D172">
        <f t="shared" si="10"/>
        <v>281.25630751</v>
      </c>
    </row>
    <row r="173" spans="1:4">
      <c r="A173">
        <v>172</v>
      </c>
      <c r="B173">
        <v>383</v>
      </c>
      <c r="C173">
        <f t="shared" si="9"/>
        <v>94.874161760000007</v>
      </c>
      <c r="D173">
        <f t="shared" si="10"/>
        <v>288.12583824000001</v>
      </c>
    </row>
    <row r="174" spans="1:4">
      <c r="A174">
        <v>173</v>
      </c>
      <c r="B174">
        <v>388</v>
      </c>
      <c r="C174">
        <f t="shared" si="9"/>
        <v>95.004328810000004</v>
      </c>
      <c r="D174">
        <f t="shared" si="10"/>
        <v>292.99567119</v>
      </c>
    </row>
    <row r="175" spans="1:4">
      <c r="A175">
        <v>174</v>
      </c>
      <c r="B175">
        <v>385</v>
      </c>
      <c r="C175">
        <f t="shared" si="9"/>
        <v>95.134193640000007</v>
      </c>
      <c r="D175">
        <f t="shared" si="10"/>
        <v>289.86580635999997</v>
      </c>
    </row>
    <row r="176" spans="1:4">
      <c r="A176">
        <v>175</v>
      </c>
      <c r="B176">
        <v>352</v>
      </c>
      <c r="C176">
        <f t="shared" si="9"/>
        <v>95.26375625</v>
      </c>
      <c r="D176">
        <f t="shared" si="10"/>
        <v>256.73624374999997</v>
      </c>
    </row>
    <row r="177" spans="1:8">
      <c r="A177">
        <v>176</v>
      </c>
      <c r="B177">
        <v>326</v>
      </c>
      <c r="C177">
        <f t="shared" si="9"/>
        <v>95.393016640000013</v>
      </c>
      <c r="D177">
        <f t="shared" si="10"/>
        <v>230.60698335999999</v>
      </c>
    </row>
    <row r="178" spans="1:8">
      <c r="A178">
        <v>177</v>
      </c>
      <c r="B178">
        <v>335</v>
      </c>
      <c r="C178">
        <f t="shared" si="9"/>
        <v>95.521974810000003</v>
      </c>
      <c r="D178">
        <f t="shared" si="10"/>
        <v>239.47802518999998</v>
      </c>
    </row>
    <row r="179" spans="1:8">
      <c r="A179">
        <v>178</v>
      </c>
      <c r="B179">
        <v>345</v>
      </c>
      <c r="C179">
        <f t="shared" si="9"/>
        <v>95.650630759999999</v>
      </c>
      <c r="D179">
        <f t="shared" si="10"/>
        <v>249.34936923999999</v>
      </c>
    </row>
    <row r="180" spans="1:8">
      <c r="A180">
        <v>179</v>
      </c>
      <c r="B180">
        <v>410</v>
      </c>
      <c r="C180">
        <f t="shared" si="9"/>
        <v>95.778984489999999</v>
      </c>
      <c r="D180">
        <f t="shared" si="10"/>
        <v>314.22101551000003</v>
      </c>
    </row>
    <row r="181" spans="1:8">
      <c r="A181">
        <v>180</v>
      </c>
      <c r="B181">
        <v>666</v>
      </c>
      <c r="C181">
        <f t="shared" si="9"/>
        <v>95.907036000000005</v>
      </c>
      <c r="D181">
        <f t="shared" si="10"/>
        <v>570.09296399999994</v>
      </c>
    </row>
    <row r="182" spans="1:8">
      <c r="A182">
        <v>181</v>
      </c>
      <c r="B182">
        <v>1071</v>
      </c>
      <c r="C182">
        <f t="shared" si="9"/>
        <v>96.034785290000002</v>
      </c>
      <c r="D182">
        <f t="shared" si="10"/>
        <v>974.96521471000005</v>
      </c>
    </row>
    <row r="183" spans="1:8" ht="17.25">
      <c r="A183">
        <v>182</v>
      </c>
      <c r="B183">
        <v>1437</v>
      </c>
      <c r="C183">
        <f t="shared" si="9"/>
        <v>96.162232360000004</v>
      </c>
      <c r="D183">
        <f t="shared" si="10"/>
        <v>1340.83776764</v>
      </c>
      <c r="F183">
        <v>182.5</v>
      </c>
      <c r="G183">
        <v>6</v>
      </c>
      <c r="H183" t="s">
        <v>157</v>
      </c>
    </row>
    <row r="184" spans="1:8">
      <c r="A184">
        <v>183</v>
      </c>
      <c r="B184">
        <v>1329</v>
      </c>
      <c r="C184">
        <f t="shared" si="9"/>
        <v>96.289377209999998</v>
      </c>
      <c r="D184">
        <f t="shared" si="10"/>
        <v>1232.7106227899999</v>
      </c>
    </row>
    <row r="185" spans="1:8">
      <c r="A185">
        <v>184</v>
      </c>
      <c r="B185">
        <v>922</v>
      </c>
      <c r="C185">
        <f t="shared" si="9"/>
        <v>96.416219839999997</v>
      </c>
      <c r="D185">
        <f t="shared" si="10"/>
        <v>825.58378016000006</v>
      </c>
    </row>
    <row r="186" spans="1:8">
      <c r="A186">
        <v>185</v>
      </c>
      <c r="B186">
        <v>522</v>
      </c>
      <c r="C186">
        <f t="shared" si="9"/>
        <v>96.542760250000001</v>
      </c>
      <c r="D186">
        <f t="shared" si="10"/>
        <v>425.45723974999999</v>
      </c>
    </row>
    <row r="187" spans="1:8">
      <c r="A187">
        <v>186</v>
      </c>
      <c r="B187">
        <v>377</v>
      </c>
      <c r="C187">
        <f t="shared" si="9"/>
        <v>96.668998439999996</v>
      </c>
      <c r="D187">
        <f t="shared" si="10"/>
        <v>280.33100156</v>
      </c>
    </row>
    <row r="188" spans="1:8">
      <c r="A188">
        <v>187</v>
      </c>
      <c r="B188">
        <v>343</v>
      </c>
      <c r="C188">
        <f t="shared" si="9"/>
        <v>96.794934409999996</v>
      </c>
      <c r="D188">
        <f t="shared" si="10"/>
        <v>246.20506559</v>
      </c>
    </row>
    <row r="189" spans="1:8">
      <c r="A189">
        <v>188</v>
      </c>
      <c r="B189">
        <v>317</v>
      </c>
      <c r="C189">
        <f t="shared" si="9"/>
        <v>96.920568160000002</v>
      </c>
      <c r="D189">
        <f t="shared" si="10"/>
        <v>220.07943183999998</v>
      </c>
    </row>
    <row r="190" spans="1:8">
      <c r="A190">
        <v>189</v>
      </c>
      <c r="B190">
        <v>294</v>
      </c>
      <c r="C190">
        <f t="shared" si="9"/>
        <v>97.045899689999999</v>
      </c>
      <c r="D190">
        <f t="shared" si="10"/>
        <v>196.95410031</v>
      </c>
    </row>
    <row r="191" spans="1:8">
      <c r="A191">
        <v>190</v>
      </c>
      <c r="B191">
        <v>290</v>
      </c>
      <c r="C191">
        <f t="shared" si="9"/>
        <v>97.170929000000001</v>
      </c>
      <c r="D191">
        <f t="shared" si="10"/>
        <v>192.829071</v>
      </c>
    </row>
    <row r="192" spans="1:8">
      <c r="A192">
        <v>191</v>
      </c>
      <c r="B192">
        <v>302</v>
      </c>
      <c r="C192">
        <f t="shared" si="9"/>
        <v>97.295656089999994</v>
      </c>
      <c r="D192">
        <f t="shared" si="10"/>
        <v>204.70434391000001</v>
      </c>
    </row>
    <row r="193" spans="1:8">
      <c r="A193">
        <v>192</v>
      </c>
      <c r="B193">
        <v>358</v>
      </c>
      <c r="C193">
        <f t="shared" si="9"/>
        <v>97.420080960000007</v>
      </c>
      <c r="D193">
        <f t="shared" si="10"/>
        <v>260.57991903999999</v>
      </c>
    </row>
    <row r="194" spans="1:8">
      <c r="A194">
        <v>193</v>
      </c>
      <c r="B194">
        <v>516</v>
      </c>
      <c r="C194">
        <f t="shared" ref="C194:C257" si="11" xml:space="preserve"> -0.00015111*A194*A194 + 0.1823*A194 + 67.989</f>
        <v>97.544203610000011</v>
      </c>
      <c r="D194">
        <f t="shared" ref="D194:D257" si="12">B194-C194</f>
        <v>418.45579638999999</v>
      </c>
    </row>
    <row r="195" spans="1:8">
      <c r="A195">
        <v>194</v>
      </c>
      <c r="B195">
        <v>768</v>
      </c>
      <c r="C195">
        <f t="shared" si="11"/>
        <v>97.668024040000006</v>
      </c>
      <c r="D195">
        <f t="shared" si="12"/>
        <v>670.33197596000002</v>
      </c>
    </row>
    <row r="196" spans="1:8">
      <c r="A196">
        <v>195</v>
      </c>
      <c r="B196">
        <v>1035</v>
      </c>
      <c r="C196">
        <f t="shared" si="11"/>
        <v>97.791542249999992</v>
      </c>
      <c r="D196">
        <f t="shared" si="12"/>
        <v>937.20845774999998</v>
      </c>
    </row>
    <row r="197" spans="1:8" ht="17.25">
      <c r="A197">
        <v>196</v>
      </c>
      <c r="B197">
        <v>1136</v>
      </c>
      <c r="C197">
        <f t="shared" si="11"/>
        <v>97.914758239999998</v>
      </c>
      <c r="D197">
        <f t="shared" si="12"/>
        <v>1038.0852417599999</v>
      </c>
      <c r="F197">
        <v>196</v>
      </c>
      <c r="G197">
        <v>7</v>
      </c>
      <c r="H197" t="s">
        <v>158</v>
      </c>
    </row>
    <row r="198" spans="1:8">
      <c r="A198">
        <v>197</v>
      </c>
      <c r="B198">
        <v>1026</v>
      </c>
      <c r="C198">
        <f t="shared" si="11"/>
        <v>98.037672010000009</v>
      </c>
      <c r="D198">
        <f t="shared" si="12"/>
        <v>927.96232798999995</v>
      </c>
    </row>
    <row r="199" spans="1:8">
      <c r="A199">
        <v>198</v>
      </c>
      <c r="B199">
        <v>784</v>
      </c>
      <c r="C199">
        <f t="shared" si="11"/>
        <v>98.160283560000011</v>
      </c>
      <c r="D199">
        <f t="shared" si="12"/>
        <v>685.83971643999996</v>
      </c>
    </row>
    <row r="200" spans="1:8">
      <c r="A200">
        <v>199</v>
      </c>
      <c r="B200">
        <v>564</v>
      </c>
      <c r="C200">
        <f t="shared" si="11"/>
        <v>98.282592890000004</v>
      </c>
      <c r="D200">
        <f t="shared" si="12"/>
        <v>465.71740711000001</v>
      </c>
    </row>
    <row r="201" spans="1:8">
      <c r="A201">
        <v>200</v>
      </c>
      <c r="B201">
        <v>431</v>
      </c>
      <c r="C201">
        <f t="shared" si="11"/>
        <v>98.404600000000002</v>
      </c>
      <c r="D201">
        <f t="shared" si="12"/>
        <v>332.59539999999998</v>
      </c>
    </row>
    <row r="202" spans="1:8">
      <c r="A202">
        <v>201</v>
      </c>
      <c r="B202">
        <v>454</v>
      </c>
      <c r="C202">
        <f t="shared" si="11"/>
        <v>98.526304890000006</v>
      </c>
      <c r="D202">
        <f t="shared" si="12"/>
        <v>355.47369510999999</v>
      </c>
    </row>
    <row r="203" spans="1:8">
      <c r="A203">
        <v>202</v>
      </c>
      <c r="B203">
        <v>680</v>
      </c>
      <c r="C203">
        <f t="shared" si="11"/>
        <v>98.647707560000001</v>
      </c>
      <c r="D203">
        <f t="shared" si="12"/>
        <v>581.35229244000004</v>
      </c>
    </row>
    <row r="204" spans="1:8">
      <c r="A204">
        <v>203</v>
      </c>
      <c r="B204">
        <v>1209</v>
      </c>
      <c r="C204">
        <f t="shared" si="11"/>
        <v>98.768808010000001</v>
      </c>
      <c r="D204">
        <f t="shared" si="12"/>
        <v>1110.2311919900001</v>
      </c>
    </row>
    <row r="205" spans="1:8" ht="17.25">
      <c r="A205">
        <v>204</v>
      </c>
      <c r="B205">
        <v>1813</v>
      </c>
      <c r="C205">
        <f t="shared" si="11"/>
        <v>98.889606240000006</v>
      </c>
      <c r="D205">
        <f t="shared" si="12"/>
        <v>1714.1103937600001</v>
      </c>
      <c r="F205">
        <v>204.5</v>
      </c>
      <c r="G205">
        <v>6</v>
      </c>
      <c r="H205" t="s">
        <v>159</v>
      </c>
    </row>
    <row r="206" spans="1:8">
      <c r="A206">
        <v>205</v>
      </c>
      <c r="B206">
        <v>1907</v>
      </c>
      <c r="C206">
        <f t="shared" si="11"/>
        <v>99.010102250000003</v>
      </c>
      <c r="D206">
        <f t="shared" si="12"/>
        <v>1807.98989775</v>
      </c>
    </row>
    <row r="207" spans="1:8">
      <c r="A207">
        <v>206</v>
      </c>
      <c r="B207">
        <v>1397</v>
      </c>
      <c r="C207">
        <f t="shared" si="11"/>
        <v>99.13029603999999</v>
      </c>
      <c r="D207">
        <f t="shared" si="12"/>
        <v>1297.8697039599999</v>
      </c>
    </row>
    <row r="208" spans="1:8">
      <c r="A208">
        <v>207</v>
      </c>
      <c r="B208">
        <v>755</v>
      </c>
      <c r="C208">
        <f t="shared" si="11"/>
        <v>99.250187610000012</v>
      </c>
      <c r="D208">
        <f t="shared" si="12"/>
        <v>655.74981238999999</v>
      </c>
    </row>
    <row r="209" spans="1:4">
      <c r="A209">
        <v>208</v>
      </c>
      <c r="B209">
        <v>445</v>
      </c>
      <c r="C209">
        <f t="shared" si="11"/>
        <v>99.369776959999996</v>
      </c>
      <c r="D209">
        <f t="shared" si="12"/>
        <v>345.63022304000003</v>
      </c>
    </row>
    <row r="210" spans="1:4">
      <c r="A210">
        <v>209</v>
      </c>
      <c r="B210">
        <v>319</v>
      </c>
      <c r="C210">
        <f t="shared" si="11"/>
        <v>99.489064089999999</v>
      </c>
      <c r="D210">
        <f t="shared" si="12"/>
        <v>219.51093591</v>
      </c>
    </row>
    <row r="211" spans="1:4">
      <c r="A211">
        <v>210</v>
      </c>
      <c r="B211">
        <v>258</v>
      </c>
      <c r="C211">
        <f t="shared" si="11"/>
        <v>99.608049000000008</v>
      </c>
      <c r="D211">
        <f t="shared" si="12"/>
        <v>158.39195100000001</v>
      </c>
    </row>
    <row r="212" spans="1:4">
      <c r="A212">
        <v>211</v>
      </c>
      <c r="B212">
        <v>219</v>
      </c>
      <c r="C212">
        <f t="shared" si="11"/>
        <v>99.726731690000008</v>
      </c>
      <c r="D212">
        <f t="shared" si="12"/>
        <v>119.27326830999999</v>
      </c>
    </row>
    <row r="213" spans="1:4">
      <c r="A213">
        <v>212</v>
      </c>
      <c r="B213">
        <v>193</v>
      </c>
      <c r="C213">
        <f t="shared" si="11"/>
        <v>99.845112159999999</v>
      </c>
      <c r="D213">
        <f t="shared" si="12"/>
        <v>93.154887840000001</v>
      </c>
    </row>
    <row r="214" spans="1:4">
      <c r="A214">
        <v>213</v>
      </c>
      <c r="B214">
        <v>177</v>
      </c>
      <c r="C214">
        <f t="shared" si="11"/>
        <v>99.963190409999996</v>
      </c>
      <c r="D214">
        <f t="shared" si="12"/>
        <v>77.036809590000004</v>
      </c>
    </row>
    <row r="215" spans="1:4">
      <c r="A215">
        <v>214</v>
      </c>
      <c r="B215">
        <v>178</v>
      </c>
      <c r="C215">
        <f t="shared" si="11"/>
        <v>100.08096644</v>
      </c>
      <c r="D215">
        <f t="shared" si="12"/>
        <v>77.919033560000003</v>
      </c>
    </row>
    <row r="216" spans="1:4">
      <c r="A216">
        <v>215</v>
      </c>
      <c r="B216">
        <v>168</v>
      </c>
      <c r="C216">
        <f t="shared" si="11"/>
        <v>100.19844025</v>
      </c>
      <c r="D216">
        <f t="shared" si="12"/>
        <v>67.801559749999996</v>
      </c>
    </row>
    <row r="217" spans="1:4">
      <c r="A217">
        <v>216</v>
      </c>
      <c r="B217">
        <v>170</v>
      </c>
      <c r="C217">
        <f t="shared" si="11"/>
        <v>100.31561184</v>
      </c>
      <c r="D217">
        <f t="shared" si="12"/>
        <v>69.684388159999997</v>
      </c>
    </row>
    <row r="218" spans="1:4">
      <c r="A218">
        <v>217</v>
      </c>
      <c r="B218">
        <v>171</v>
      </c>
      <c r="C218">
        <f t="shared" si="11"/>
        <v>100.43248121000001</v>
      </c>
      <c r="D218">
        <f t="shared" si="12"/>
        <v>70.567518789999994</v>
      </c>
    </row>
    <row r="219" spans="1:4">
      <c r="A219">
        <v>218</v>
      </c>
      <c r="B219">
        <v>188</v>
      </c>
      <c r="C219">
        <f t="shared" si="11"/>
        <v>100.54904836</v>
      </c>
      <c r="D219">
        <f t="shared" si="12"/>
        <v>87.45095164</v>
      </c>
    </row>
    <row r="220" spans="1:4">
      <c r="A220">
        <v>219</v>
      </c>
      <c r="B220">
        <v>189</v>
      </c>
      <c r="C220">
        <f t="shared" si="11"/>
        <v>100.66531329</v>
      </c>
      <c r="D220">
        <f t="shared" si="12"/>
        <v>88.33468671</v>
      </c>
    </row>
    <row r="221" spans="1:4">
      <c r="A221">
        <v>220</v>
      </c>
      <c r="B221">
        <v>194</v>
      </c>
      <c r="C221">
        <f t="shared" si="11"/>
        <v>100.78127599999999</v>
      </c>
      <c r="D221">
        <f t="shared" si="12"/>
        <v>93.218724000000009</v>
      </c>
    </row>
    <row r="222" spans="1:4">
      <c r="A222">
        <v>221</v>
      </c>
      <c r="B222">
        <v>219</v>
      </c>
      <c r="C222">
        <f t="shared" si="11"/>
        <v>100.89693649</v>
      </c>
      <c r="D222">
        <f t="shared" si="12"/>
        <v>118.10306351</v>
      </c>
    </row>
    <row r="223" spans="1:4">
      <c r="A223">
        <v>222</v>
      </c>
      <c r="B223">
        <v>246</v>
      </c>
      <c r="C223">
        <f t="shared" si="11"/>
        <v>101.01229476</v>
      </c>
      <c r="D223">
        <f t="shared" si="12"/>
        <v>144.98770524</v>
      </c>
    </row>
    <row r="224" spans="1:4">
      <c r="A224">
        <v>223</v>
      </c>
      <c r="B224">
        <v>301</v>
      </c>
      <c r="C224">
        <f t="shared" si="11"/>
        <v>101.12735081</v>
      </c>
      <c r="D224">
        <f t="shared" si="12"/>
        <v>199.87264919</v>
      </c>
    </row>
    <row r="225" spans="1:4">
      <c r="A225">
        <v>224</v>
      </c>
      <c r="B225">
        <v>385</v>
      </c>
      <c r="C225">
        <f t="shared" si="11"/>
        <v>101.24210464000001</v>
      </c>
      <c r="D225">
        <f t="shared" si="12"/>
        <v>283.75789536000002</v>
      </c>
    </row>
    <row r="226" spans="1:4">
      <c r="A226">
        <v>225</v>
      </c>
      <c r="B226">
        <v>493</v>
      </c>
      <c r="C226">
        <f t="shared" si="11"/>
        <v>101.35655625000001</v>
      </c>
      <c r="D226">
        <f t="shared" si="12"/>
        <v>391.64344374999996</v>
      </c>
    </row>
    <row r="227" spans="1:4">
      <c r="A227">
        <v>226</v>
      </c>
      <c r="B227">
        <v>570</v>
      </c>
      <c r="C227">
        <f t="shared" si="11"/>
        <v>101.47070564000001</v>
      </c>
      <c r="D227">
        <f t="shared" si="12"/>
        <v>468.52929435999999</v>
      </c>
    </row>
    <row r="228" spans="1:4">
      <c r="A228">
        <v>227</v>
      </c>
      <c r="B228">
        <v>598</v>
      </c>
      <c r="C228">
        <f t="shared" si="11"/>
        <v>101.58455281000001</v>
      </c>
      <c r="D228">
        <f t="shared" si="12"/>
        <v>496.41544719000001</v>
      </c>
    </row>
    <row r="229" spans="1:4">
      <c r="A229">
        <v>228</v>
      </c>
      <c r="B229">
        <v>670</v>
      </c>
      <c r="C229">
        <f t="shared" si="11"/>
        <v>101.69809776</v>
      </c>
      <c r="D229">
        <f t="shared" si="12"/>
        <v>568.30190224</v>
      </c>
    </row>
    <row r="230" spans="1:4">
      <c r="A230">
        <v>229</v>
      </c>
      <c r="B230">
        <v>722</v>
      </c>
      <c r="C230">
        <f t="shared" si="11"/>
        <v>101.81134048999999</v>
      </c>
      <c r="D230">
        <f t="shared" si="12"/>
        <v>620.18865950999998</v>
      </c>
    </row>
    <row r="231" spans="1:4">
      <c r="A231">
        <v>230</v>
      </c>
      <c r="B231">
        <v>674</v>
      </c>
      <c r="C231">
        <f t="shared" si="11"/>
        <v>101.92428100000001</v>
      </c>
      <c r="D231">
        <f t="shared" si="12"/>
        <v>572.07571899999994</v>
      </c>
    </row>
    <row r="232" spans="1:4">
      <c r="A232">
        <v>231</v>
      </c>
      <c r="B232">
        <v>568</v>
      </c>
      <c r="C232">
        <f t="shared" si="11"/>
        <v>102.03691929</v>
      </c>
      <c r="D232">
        <f t="shared" si="12"/>
        <v>465.96308070999999</v>
      </c>
    </row>
    <row r="233" spans="1:4">
      <c r="A233">
        <v>232</v>
      </c>
      <c r="B233">
        <v>469</v>
      </c>
      <c r="C233">
        <f t="shared" si="11"/>
        <v>102.14925536</v>
      </c>
      <c r="D233">
        <f t="shared" si="12"/>
        <v>366.85074464000002</v>
      </c>
    </row>
    <row r="234" spans="1:4">
      <c r="A234">
        <v>233</v>
      </c>
      <c r="B234">
        <v>440</v>
      </c>
      <c r="C234">
        <f t="shared" si="11"/>
        <v>102.26128921</v>
      </c>
      <c r="D234">
        <f t="shared" si="12"/>
        <v>337.73871079000003</v>
      </c>
    </row>
    <row r="235" spans="1:4">
      <c r="A235">
        <v>234</v>
      </c>
      <c r="B235">
        <v>472</v>
      </c>
      <c r="C235">
        <f t="shared" si="11"/>
        <v>102.37302084000001</v>
      </c>
      <c r="D235">
        <f t="shared" si="12"/>
        <v>369.62697916000002</v>
      </c>
    </row>
    <row r="236" spans="1:4">
      <c r="A236">
        <v>235</v>
      </c>
      <c r="B236">
        <v>573</v>
      </c>
      <c r="C236">
        <f t="shared" si="11"/>
        <v>102.48445025000001</v>
      </c>
      <c r="D236">
        <f t="shared" si="12"/>
        <v>470.51554974999999</v>
      </c>
    </row>
    <row r="237" spans="1:4">
      <c r="A237">
        <v>236</v>
      </c>
      <c r="B237">
        <v>738</v>
      </c>
      <c r="C237">
        <f t="shared" si="11"/>
        <v>102.59557744</v>
      </c>
      <c r="D237">
        <f t="shared" si="12"/>
        <v>635.40442256000006</v>
      </c>
    </row>
    <row r="238" spans="1:4">
      <c r="A238">
        <v>237</v>
      </c>
      <c r="B238">
        <v>1146</v>
      </c>
      <c r="C238">
        <f t="shared" si="11"/>
        <v>102.70640241</v>
      </c>
      <c r="D238">
        <f t="shared" si="12"/>
        <v>1043.29359759</v>
      </c>
    </row>
    <row r="239" spans="1:4">
      <c r="A239">
        <v>238</v>
      </c>
      <c r="B239">
        <v>2452</v>
      </c>
      <c r="C239">
        <f t="shared" si="11"/>
        <v>102.81692516000001</v>
      </c>
      <c r="D239">
        <f t="shared" si="12"/>
        <v>2349.1830748399998</v>
      </c>
    </row>
    <row r="240" spans="1:4">
      <c r="A240">
        <v>239</v>
      </c>
      <c r="B240">
        <v>4771</v>
      </c>
      <c r="C240">
        <f t="shared" si="11"/>
        <v>102.92714569</v>
      </c>
      <c r="D240">
        <f t="shared" si="12"/>
        <v>4668.0728543100004</v>
      </c>
    </row>
    <row r="241" spans="1:8" ht="17.25">
      <c r="A241">
        <v>240</v>
      </c>
      <c r="B241">
        <v>6795</v>
      </c>
      <c r="C241">
        <f t="shared" si="11"/>
        <v>103.037064</v>
      </c>
      <c r="D241">
        <f t="shared" si="12"/>
        <v>6691.9629359999999</v>
      </c>
      <c r="F241">
        <v>240.5</v>
      </c>
      <c r="G241">
        <v>6</v>
      </c>
      <c r="H241" t="s">
        <v>160</v>
      </c>
    </row>
    <row r="242" spans="1:8">
      <c r="A242">
        <v>241</v>
      </c>
      <c r="B242">
        <v>6331</v>
      </c>
      <c r="C242">
        <f t="shared" si="11"/>
        <v>103.14668009</v>
      </c>
      <c r="D242">
        <f t="shared" si="12"/>
        <v>6227.8533199100002</v>
      </c>
    </row>
    <row r="243" spans="1:8">
      <c r="A243">
        <v>242</v>
      </c>
      <c r="B243">
        <v>4098</v>
      </c>
      <c r="C243">
        <f t="shared" si="11"/>
        <v>103.25599396</v>
      </c>
      <c r="D243">
        <f t="shared" si="12"/>
        <v>3994.7440060399999</v>
      </c>
    </row>
    <row r="244" spans="1:8">
      <c r="A244">
        <v>243</v>
      </c>
      <c r="B244">
        <v>2000</v>
      </c>
      <c r="C244">
        <f t="shared" si="11"/>
        <v>103.36500561</v>
      </c>
      <c r="D244">
        <f t="shared" si="12"/>
        <v>1896.63499439</v>
      </c>
    </row>
    <row r="245" spans="1:8">
      <c r="A245">
        <v>244</v>
      </c>
      <c r="B245">
        <v>1128</v>
      </c>
      <c r="C245">
        <f t="shared" si="11"/>
        <v>103.47371504</v>
      </c>
      <c r="D245">
        <f t="shared" si="12"/>
        <v>1024.5262849599999</v>
      </c>
    </row>
    <row r="246" spans="1:8">
      <c r="A246">
        <v>245</v>
      </c>
      <c r="B246">
        <v>762</v>
      </c>
      <c r="C246">
        <f t="shared" si="11"/>
        <v>103.58212225</v>
      </c>
      <c r="D246">
        <f t="shared" si="12"/>
        <v>658.41787775</v>
      </c>
    </row>
    <row r="247" spans="1:8">
      <c r="A247">
        <v>246</v>
      </c>
      <c r="B247">
        <v>564</v>
      </c>
      <c r="C247">
        <f t="shared" si="11"/>
        <v>103.69022724</v>
      </c>
      <c r="D247">
        <f t="shared" si="12"/>
        <v>460.30977275999999</v>
      </c>
    </row>
    <row r="248" spans="1:8">
      <c r="A248">
        <v>247</v>
      </c>
      <c r="B248">
        <v>441</v>
      </c>
      <c r="C248">
        <f t="shared" si="11"/>
        <v>103.79803000999999</v>
      </c>
      <c r="D248">
        <f t="shared" si="12"/>
        <v>337.20196999000001</v>
      </c>
    </row>
    <row r="249" spans="1:8">
      <c r="A249">
        <v>248</v>
      </c>
      <c r="B249">
        <v>407</v>
      </c>
      <c r="C249">
        <f t="shared" si="11"/>
        <v>103.90553056</v>
      </c>
      <c r="D249">
        <f t="shared" si="12"/>
        <v>303.09446944000001</v>
      </c>
    </row>
    <row r="250" spans="1:8">
      <c r="A250">
        <v>249</v>
      </c>
      <c r="B250">
        <v>349</v>
      </c>
      <c r="C250">
        <f t="shared" si="11"/>
        <v>104.01272889000001</v>
      </c>
      <c r="D250">
        <f t="shared" si="12"/>
        <v>244.98727110999999</v>
      </c>
    </row>
    <row r="251" spans="1:8">
      <c r="A251">
        <v>250</v>
      </c>
      <c r="B251">
        <v>327</v>
      </c>
      <c r="C251">
        <f t="shared" si="11"/>
        <v>104.119625</v>
      </c>
      <c r="D251">
        <f t="shared" si="12"/>
        <v>222.88037500000002</v>
      </c>
    </row>
    <row r="252" spans="1:8">
      <c r="A252">
        <v>251</v>
      </c>
      <c r="B252">
        <v>320</v>
      </c>
      <c r="C252">
        <f t="shared" si="11"/>
        <v>104.22621889000001</v>
      </c>
      <c r="D252">
        <f t="shared" si="12"/>
        <v>215.77378110999999</v>
      </c>
    </row>
    <row r="253" spans="1:8">
      <c r="A253">
        <v>252</v>
      </c>
      <c r="B253">
        <v>341</v>
      </c>
      <c r="C253">
        <f t="shared" si="11"/>
        <v>104.33251056</v>
      </c>
      <c r="D253">
        <f t="shared" si="12"/>
        <v>236.66748944</v>
      </c>
    </row>
    <row r="254" spans="1:8">
      <c r="A254">
        <v>253</v>
      </c>
      <c r="B254">
        <v>383</v>
      </c>
      <c r="C254">
        <f t="shared" si="11"/>
        <v>104.43850001</v>
      </c>
      <c r="D254">
        <f t="shared" si="12"/>
        <v>278.56149999000002</v>
      </c>
    </row>
    <row r="255" spans="1:8">
      <c r="A255">
        <v>254</v>
      </c>
      <c r="B255">
        <v>476</v>
      </c>
      <c r="C255">
        <f t="shared" si="11"/>
        <v>104.54418724</v>
      </c>
      <c r="D255">
        <f t="shared" si="12"/>
        <v>371.45581276000001</v>
      </c>
    </row>
    <row r="256" spans="1:8">
      <c r="A256">
        <v>255</v>
      </c>
      <c r="B256">
        <v>666</v>
      </c>
      <c r="C256">
        <f t="shared" si="11"/>
        <v>104.64957225000001</v>
      </c>
      <c r="D256">
        <f t="shared" si="12"/>
        <v>561.35042774999999</v>
      </c>
    </row>
    <row r="257" spans="1:8" ht="17.25">
      <c r="A257">
        <v>256</v>
      </c>
      <c r="B257">
        <v>821</v>
      </c>
      <c r="C257">
        <f t="shared" si="11"/>
        <v>104.75465504</v>
      </c>
      <c r="D257">
        <f t="shared" si="12"/>
        <v>716.24534496000001</v>
      </c>
      <c r="F257">
        <v>256.5</v>
      </c>
      <c r="G257">
        <v>6</v>
      </c>
      <c r="H257" t="s">
        <v>161</v>
      </c>
    </row>
    <row r="258" spans="1:8">
      <c r="A258">
        <v>257</v>
      </c>
      <c r="B258">
        <v>793</v>
      </c>
      <c r="C258">
        <f t="shared" ref="C258:C321" si="13" xml:space="preserve"> -0.00015111*A258*A258 + 0.1823*A258 + 67.989</f>
        <v>104.85943560999999</v>
      </c>
      <c r="D258">
        <f t="shared" ref="D258:D321" si="14">B258-C258</f>
        <v>688.14056439000001</v>
      </c>
    </row>
    <row r="259" spans="1:8">
      <c r="A259">
        <v>258</v>
      </c>
      <c r="B259">
        <v>623</v>
      </c>
      <c r="C259">
        <f t="shared" si="13"/>
        <v>104.96391396000001</v>
      </c>
      <c r="D259">
        <f t="shared" si="14"/>
        <v>518.03608603999999</v>
      </c>
    </row>
    <row r="260" spans="1:8">
      <c r="A260">
        <v>259</v>
      </c>
      <c r="B260">
        <v>414</v>
      </c>
      <c r="C260">
        <f t="shared" si="13"/>
        <v>105.06809009</v>
      </c>
      <c r="D260">
        <f t="shared" si="14"/>
        <v>308.93190991</v>
      </c>
    </row>
    <row r="261" spans="1:8">
      <c r="A261">
        <v>260</v>
      </c>
      <c r="B261">
        <v>314</v>
      </c>
      <c r="C261">
        <f t="shared" si="13"/>
        <v>105.171964</v>
      </c>
      <c r="D261">
        <f t="shared" si="14"/>
        <v>208.828036</v>
      </c>
    </row>
    <row r="262" spans="1:8">
      <c r="A262">
        <v>261</v>
      </c>
      <c r="B262">
        <v>283</v>
      </c>
      <c r="C262">
        <f t="shared" si="13"/>
        <v>105.27553569</v>
      </c>
      <c r="D262">
        <f t="shared" si="14"/>
        <v>177.72446431</v>
      </c>
    </row>
    <row r="263" spans="1:8">
      <c r="A263">
        <v>262</v>
      </c>
      <c r="B263">
        <v>276</v>
      </c>
      <c r="C263">
        <f t="shared" si="13"/>
        <v>105.37880516000001</v>
      </c>
      <c r="D263">
        <f t="shared" si="14"/>
        <v>170.62119483999999</v>
      </c>
    </row>
    <row r="264" spans="1:8">
      <c r="A264">
        <v>263</v>
      </c>
      <c r="B264">
        <v>266</v>
      </c>
      <c r="C264">
        <f t="shared" si="13"/>
        <v>105.48177241</v>
      </c>
      <c r="D264">
        <f t="shared" si="14"/>
        <v>160.51822758999998</v>
      </c>
    </row>
    <row r="265" spans="1:8">
      <c r="A265">
        <v>264</v>
      </c>
      <c r="B265">
        <v>246</v>
      </c>
      <c r="C265">
        <f t="shared" si="13"/>
        <v>105.58443744</v>
      </c>
      <c r="D265">
        <f t="shared" si="14"/>
        <v>140.41556256000001</v>
      </c>
    </row>
    <row r="266" spans="1:8">
      <c r="A266">
        <v>265</v>
      </c>
      <c r="B266">
        <v>250</v>
      </c>
      <c r="C266">
        <f t="shared" si="13"/>
        <v>105.68680025</v>
      </c>
      <c r="D266">
        <f t="shared" si="14"/>
        <v>144.31319975</v>
      </c>
    </row>
    <row r="267" spans="1:8">
      <c r="A267">
        <v>266</v>
      </c>
      <c r="B267">
        <v>263</v>
      </c>
      <c r="C267">
        <f t="shared" si="13"/>
        <v>105.78886084</v>
      </c>
      <c r="D267">
        <f t="shared" si="14"/>
        <v>157.21113916000002</v>
      </c>
    </row>
    <row r="268" spans="1:8">
      <c r="A268">
        <v>267</v>
      </c>
      <c r="B268">
        <v>294</v>
      </c>
      <c r="C268">
        <f t="shared" si="13"/>
        <v>105.89061921</v>
      </c>
      <c r="D268">
        <f t="shared" si="14"/>
        <v>188.10938078999999</v>
      </c>
    </row>
    <row r="269" spans="1:8">
      <c r="A269">
        <v>268</v>
      </c>
      <c r="B269">
        <v>291</v>
      </c>
      <c r="C269">
        <f t="shared" si="13"/>
        <v>105.99207536</v>
      </c>
      <c r="D269">
        <f t="shared" si="14"/>
        <v>185.00792464</v>
      </c>
    </row>
    <row r="270" spans="1:8">
      <c r="A270">
        <v>269</v>
      </c>
      <c r="B270">
        <v>275</v>
      </c>
      <c r="C270">
        <f t="shared" si="13"/>
        <v>106.09322929000001</v>
      </c>
      <c r="D270">
        <f t="shared" si="14"/>
        <v>168.90677070999999</v>
      </c>
    </row>
    <row r="271" spans="1:8">
      <c r="A271">
        <v>270</v>
      </c>
      <c r="B271">
        <v>256</v>
      </c>
      <c r="C271">
        <f t="shared" si="13"/>
        <v>106.194081</v>
      </c>
      <c r="D271">
        <f t="shared" si="14"/>
        <v>149.80591900000002</v>
      </c>
    </row>
    <row r="272" spans="1:8">
      <c r="A272">
        <v>271</v>
      </c>
      <c r="B272">
        <v>262</v>
      </c>
      <c r="C272">
        <f t="shared" si="13"/>
        <v>106.29463049</v>
      </c>
      <c r="D272">
        <f t="shared" si="14"/>
        <v>155.70536951</v>
      </c>
    </row>
    <row r="273" spans="1:4">
      <c r="A273">
        <v>272</v>
      </c>
      <c r="B273">
        <v>267</v>
      </c>
      <c r="C273">
        <f t="shared" si="13"/>
        <v>106.39487776</v>
      </c>
      <c r="D273">
        <f t="shared" si="14"/>
        <v>160.60512224000001</v>
      </c>
    </row>
    <row r="274" spans="1:4">
      <c r="A274">
        <v>273</v>
      </c>
      <c r="B274">
        <v>263</v>
      </c>
      <c r="C274">
        <f t="shared" si="13"/>
        <v>106.49482281</v>
      </c>
      <c r="D274">
        <f t="shared" si="14"/>
        <v>156.50517718999998</v>
      </c>
    </row>
    <row r="275" spans="1:4">
      <c r="A275">
        <v>274</v>
      </c>
      <c r="B275">
        <v>237</v>
      </c>
      <c r="C275">
        <f t="shared" si="13"/>
        <v>106.59446564</v>
      </c>
      <c r="D275">
        <f t="shared" si="14"/>
        <v>130.40553435999999</v>
      </c>
    </row>
    <row r="276" spans="1:4">
      <c r="A276">
        <v>275</v>
      </c>
      <c r="B276">
        <v>225</v>
      </c>
      <c r="C276">
        <f t="shared" si="13"/>
        <v>106.69380624999999</v>
      </c>
      <c r="D276">
        <f t="shared" si="14"/>
        <v>118.30619375000001</v>
      </c>
    </row>
    <row r="277" spans="1:4">
      <c r="A277">
        <v>276</v>
      </c>
      <c r="B277">
        <v>238</v>
      </c>
      <c r="C277">
        <f t="shared" si="13"/>
        <v>106.79284464</v>
      </c>
      <c r="D277">
        <f t="shared" si="14"/>
        <v>131.20715536</v>
      </c>
    </row>
    <row r="278" spans="1:4">
      <c r="A278">
        <v>277</v>
      </c>
      <c r="B278">
        <v>268</v>
      </c>
      <c r="C278">
        <f t="shared" si="13"/>
        <v>106.89158080999999</v>
      </c>
      <c r="D278">
        <f t="shared" si="14"/>
        <v>161.10841919000001</v>
      </c>
    </row>
    <row r="279" spans="1:4">
      <c r="A279">
        <v>278</v>
      </c>
      <c r="B279">
        <v>270</v>
      </c>
      <c r="C279">
        <f t="shared" si="13"/>
        <v>106.99001475999999</v>
      </c>
      <c r="D279">
        <f t="shared" si="14"/>
        <v>163.00998523999999</v>
      </c>
    </row>
    <row r="280" spans="1:4">
      <c r="A280">
        <v>279</v>
      </c>
      <c r="B280">
        <v>260</v>
      </c>
      <c r="C280">
        <f t="shared" si="13"/>
        <v>107.08814649</v>
      </c>
      <c r="D280">
        <f t="shared" si="14"/>
        <v>152.91185351000001</v>
      </c>
    </row>
    <row r="281" spans="1:4">
      <c r="A281">
        <v>280</v>
      </c>
      <c r="B281">
        <v>245</v>
      </c>
      <c r="C281">
        <f t="shared" si="13"/>
        <v>107.185976</v>
      </c>
      <c r="D281">
        <f t="shared" si="14"/>
        <v>137.81402400000002</v>
      </c>
    </row>
    <row r="282" spans="1:4">
      <c r="A282">
        <v>281</v>
      </c>
      <c r="B282">
        <v>249</v>
      </c>
      <c r="C282">
        <f t="shared" si="13"/>
        <v>107.28350329</v>
      </c>
      <c r="D282">
        <f t="shared" si="14"/>
        <v>141.71649671</v>
      </c>
    </row>
    <row r="283" spans="1:4">
      <c r="A283">
        <v>282</v>
      </c>
      <c r="B283">
        <v>265</v>
      </c>
      <c r="C283">
        <f t="shared" si="13"/>
        <v>107.38072836000001</v>
      </c>
      <c r="D283">
        <f t="shared" si="14"/>
        <v>157.61927163999999</v>
      </c>
    </row>
    <row r="284" spans="1:4">
      <c r="A284">
        <v>283</v>
      </c>
      <c r="B284">
        <v>254</v>
      </c>
      <c r="C284">
        <f t="shared" si="13"/>
        <v>107.47765121</v>
      </c>
      <c r="D284">
        <f t="shared" si="14"/>
        <v>146.52234879</v>
      </c>
    </row>
    <row r="285" spans="1:4">
      <c r="A285">
        <v>284</v>
      </c>
      <c r="B285">
        <v>229</v>
      </c>
      <c r="C285">
        <f t="shared" si="13"/>
        <v>107.57427183999999</v>
      </c>
      <c r="D285">
        <f t="shared" si="14"/>
        <v>121.42572816000001</v>
      </c>
    </row>
    <row r="286" spans="1:4">
      <c r="A286">
        <v>285</v>
      </c>
      <c r="B286">
        <v>210</v>
      </c>
      <c r="C286">
        <f t="shared" si="13"/>
        <v>107.67059025</v>
      </c>
      <c r="D286">
        <f t="shared" si="14"/>
        <v>102.32940975</v>
      </c>
    </row>
    <row r="287" spans="1:4">
      <c r="A287">
        <v>286</v>
      </c>
      <c r="B287">
        <v>211</v>
      </c>
      <c r="C287">
        <f t="shared" si="13"/>
        <v>107.76660644</v>
      </c>
      <c r="D287">
        <f t="shared" si="14"/>
        <v>103.23339356</v>
      </c>
    </row>
    <row r="288" spans="1:4">
      <c r="A288">
        <v>287</v>
      </c>
      <c r="B288">
        <v>220</v>
      </c>
      <c r="C288">
        <f t="shared" si="13"/>
        <v>107.86232041</v>
      </c>
      <c r="D288">
        <f t="shared" si="14"/>
        <v>112.13767959</v>
      </c>
    </row>
    <row r="289" spans="1:4">
      <c r="A289">
        <v>288</v>
      </c>
      <c r="B289">
        <v>229</v>
      </c>
      <c r="C289">
        <f t="shared" si="13"/>
        <v>107.95773216000001</v>
      </c>
      <c r="D289">
        <f t="shared" si="14"/>
        <v>121.04226783999999</v>
      </c>
    </row>
    <row r="290" spans="1:4">
      <c r="A290">
        <v>289</v>
      </c>
      <c r="B290">
        <v>198</v>
      </c>
      <c r="C290">
        <f t="shared" si="13"/>
        <v>108.05284169000001</v>
      </c>
      <c r="D290">
        <f t="shared" si="14"/>
        <v>89.947158309999992</v>
      </c>
    </row>
    <row r="291" spans="1:4">
      <c r="A291">
        <v>290</v>
      </c>
      <c r="B291">
        <v>188</v>
      </c>
      <c r="C291">
        <f t="shared" si="13"/>
        <v>108.147649</v>
      </c>
      <c r="D291">
        <f t="shared" si="14"/>
        <v>79.852350999999999</v>
      </c>
    </row>
    <row r="292" spans="1:4">
      <c r="A292">
        <v>291</v>
      </c>
      <c r="B292">
        <v>191</v>
      </c>
      <c r="C292">
        <f t="shared" si="13"/>
        <v>108.24215409</v>
      </c>
      <c r="D292">
        <f t="shared" si="14"/>
        <v>82.75784591</v>
      </c>
    </row>
    <row r="293" spans="1:4">
      <c r="A293">
        <v>292</v>
      </c>
      <c r="B293">
        <v>212</v>
      </c>
      <c r="C293">
        <f t="shared" si="13"/>
        <v>108.33635696</v>
      </c>
      <c r="D293">
        <f t="shared" si="14"/>
        <v>103.66364304</v>
      </c>
    </row>
    <row r="294" spans="1:4">
      <c r="A294">
        <v>293</v>
      </c>
      <c r="B294">
        <v>218</v>
      </c>
      <c r="C294">
        <f t="shared" si="13"/>
        <v>108.43025761</v>
      </c>
      <c r="D294">
        <f t="shared" si="14"/>
        <v>109.56974239</v>
      </c>
    </row>
    <row r="295" spans="1:4">
      <c r="A295">
        <v>294</v>
      </c>
      <c r="B295">
        <v>194</v>
      </c>
      <c r="C295">
        <f t="shared" si="13"/>
        <v>108.52385604</v>
      </c>
      <c r="D295">
        <f t="shared" si="14"/>
        <v>85.476143960000002</v>
      </c>
    </row>
    <row r="296" spans="1:4">
      <c r="A296">
        <v>295</v>
      </c>
      <c r="B296">
        <v>200</v>
      </c>
      <c r="C296">
        <f t="shared" si="13"/>
        <v>108.61715225</v>
      </c>
      <c r="D296">
        <f t="shared" si="14"/>
        <v>91.382847749999996</v>
      </c>
    </row>
    <row r="297" spans="1:4">
      <c r="A297">
        <v>296</v>
      </c>
      <c r="B297">
        <v>209</v>
      </c>
      <c r="C297">
        <f t="shared" si="13"/>
        <v>108.71014624</v>
      </c>
      <c r="D297">
        <f t="shared" si="14"/>
        <v>100.28985376</v>
      </c>
    </row>
    <row r="298" spans="1:4">
      <c r="A298">
        <v>297</v>
      </c>
      <c r="B298">
        <v>230</v>
      </c>
      <c r="C298">
        <f t="shared" si="13"/>
        <v>108.80283801</v>
      </c>
      <c r="D298">
        <f t="shared" si="14"/>
        <v>121.19716199</v>
      </c>
    </row>
    <row r="299" spans="1:4">
      <c r="A299">
        <v>298</v>
      </c>
      <c r="B299">
        <v>235</v>
      </c>
      <c r="C299">
        <f t="shared" si="13"/>
        <v>108.89522756</v>
      </c>
      <c r="D299">
        <f t="shared" si="14"/>
        <v>126.10477244</v>
      </c>
    </row>
    <row r="300" spans="1:4">
      <c r="A300">
        <v>299</v>
      </c>
      <c r="B300">
        <v>225</v>
      </c>
      <c r="C300">
        <f t="shared" si="13"/>
        <v>108.98731489000001</v>
      </c>
      <c r="D300">
        <f t="shared" si="14"/>
        <v>116.01268510999999</v>
      </c>
    </row>
    <row r="301" spans="1:4">
      <c r="A301">
        <v>300</v>
      </c>
      <c r="B301">
        <v>218</v>
      </c>
      <c r="C301">
        <f t="shared" si="13"/>
        <v>109.0791</v>
      </c>
      <c r="D301">
        <f t="shared" si="14"/>
        <v>108.9209</v>
      </c>
    </row>
    <row r="302" spans="1:4">
      <c r="A302">
        <v>301</v>
      </c>
      <c r="B302">
        <v>230</v>
      </c>
      <c r="C302">
        <f t="shared" si="13"/>
        <v>109.17058288999999</v>
      </c>
      <c r="D302">
        <f t="shared" si="14"/>
        <v>120.82941711000001</v>
      </c>
    </row>
    <row r="303" spans="1:4">
      <c r="A303">
        <v>302</v>
      </c>
      <c r="B303">
        <v>230</v>
      </c>
      <c r="C303">
        <f t="shared" si="13"/>
        <v>109.26176355999999</v>
      </c>
      <c r="D303">
        <f t="shared" si="14"/>
        <v>120.73823644000001</v>
      </c>
    </row>
    <row r="304" spans="1:4">
      <c r="A304">
        <v>303</v>
      </c>
      <c r="B304">
        <v>262</v>
      </c>
      <c r="C304">
        <f t="shared" si="13"/>
        <v>109.35264201000001</v>
      </c>
      <c r="D304">
        <f t="shared" si="14"/>
        <v>152.64735798999999</v>
      </c>
    </row>
    <row r="305" spans="1:4">
      <c r="A305">
        <v>304</v>
      </c>
      <c r="B305">
        <v>269</v>
      </c>
      <c r="C305">
        <f t="shared" si="13"/>
        <v>109.44321823999999</v>
      </c>
      <c r="D305">
        <f t="shared" si="14"/>
        <v>159.55678176000001</v>
      </c>
    </row>
    <row r="306" spans="1:4">
      <c r="A306">
        <v>305</v>
      </c>
      <c r="B306">
        <v>257</v>
      </c>
      <c r="C306">
        <f t="shared" si="13"/>
        <v>109.53349224999999</v>
      </c>
      <c r="D306">
        <f t="shared" si="14"/>
        <v>147.46650775000001</v>
      </c>
    </row>
    <row r="307" spans="1:4">
      <c r="A307">
        <v>306</v>
      </c>
      <c r="B307">
        <v>265</v>
      </c>
      <c r="C307">
        <f t="shared" si="13"/>
        <v>109.62346404</v>
      </c>
      <c r="D307">
        <f t="shared" si="14"/>
        <v>155.37653596000001</v>
      </c>
    </row>
    <row r="308" spans="1:4">
      <c r="A308">
        <v>307</v>
      </c>
      <c r="B308">
        <v>262</v>
      </c>
      <c r="C308">
        <f t="shared" si="13"/>
        <v>109.71313361</v>
      </c>
      <c r="D308">
        <f t="shared" si="14"/>
        <v>152.28686639</v>
      </c>
    </row>
    <row r="309" spans="1:4">
      <c r="A309">
        <v>308</v>
      </c>
      <c r="B309">
        <v>257</v>
      </c>
      <c r="C309">
        <f t="shared" si="13"/>
        <v>109.80250096</v>
      </c>
      <c r="D309">
        <f t="shared" si="14"/>
        <v>147.19749904</v>
      </c>
    </row>
    <row r="310" spans="1:4">
      <c r="A310">
        <v>309</v>
      </c>
      <c r="B310">
        <v>228</v>
      </c>
      <c r="C310">
        <f t="shared" si="13"/>
        <v>109.89156609</v>
      </c>
      <c r="D310">
        <f t="shared" si="14"/>
        <v>118.10843391</v>
      </c>
    </row>
    <row r="311" spans="1:4">
      <c r="A311">
        <v>310</v>
      </c>
      <c r="B311">
        <v>222</v>
      </c>
      <c r="C311">
        <f t="shared" si="13"/>
        <v>109.98032900000001</v>
      </c>
      <c r="D311">
        <f t="shared" si="14"/>
        <v>112.01967099999999</v>
      </c>
    </row>
    <row r="312" spans="1:4">
      <c r="A312">
        <v>311</v>
      </c>
      <c r="B312">
        <v>204</v>
      </c>
      <c r="C312">
        <f t="shared" si="13"/>
        <v>110.06878969</v>
      </c>
      <c r="D312">
        <f t="shared" si="14"/>
        <v>93.931210309999997</v>
      </c>
    </row>
    <row r="313" spans="1:4">
      <c r="A313">
        <v>312</v>
      </c>
      <c r="B313">
        <v>211</v>
      </c>
      <c r="C313">
        <f t="shared" si="13"/>
        <v>110.15694816</v>
      </c>
      <c r="D313">
        <f t="shared" si="14"/>
        <v>100.84305184</v>
      </c>
    </row>
    <row r="314" spans="1:4">
      <c r="A314">
        <v>313</v>
      </c>
      <c r="B314">
        <v>223</v>
      </c>
      <c r="C314">
        <f t="shared" si="13"/>
        <v>110.24480441</v>
      </c>
      <c r="D314">
        <f t="shared" si="14"/>
        <v>112.75519559</v>
      </c>
    </row>
    <row r="315" spans="1:4">
      <c r="A315">
        <v>314</v>
      </c>
      <c r="B315">
        <v>218</v>
      </c>
      <c r="C315">
        <f t="shared" si="13"/>
        <v>110.33235844000001</v>
      </c>
      <c r="D315">
        <f t="shared" si="14"/>
        <v>107.66764155999999</v>
      </c>
    </row>
    <row r="316" spans="1:4">
      <c r="A316">
        <v>315</v>
      </c>
      <c r="B316">
        <v>200</v>
      </c>
      <c r="C316">
        <f t="shared" si="13"/>
        <v>110.41961025000001</v>
      </c>
      <c r="D316">
        <f t="shared" si="14"/>
        <v>89.580389749999995</v>
      </c>
    </row>
    <row r="317" spans="1:4">
      <c r="A317">
        <v>316</v>
      </c>
      <c r="B317">
        <v>185</v>
      </c>
      <c r="C317">
        <f t="shared" si="13"/>
        <v>110.50655983999999</v>
      </c>
      <c r="D317">
        <f t="shared" si="14"/>
        <v>74.493440160000006</v>
      </c>
    </row>
    <row r="318" spans="1:4">
      <c r="A318">
        <v>317</v>
      </c>
      <c r="B318">
        <v>187</v>
      </c>
      <c r="C318">
        <f t="shared" si="13"/>
        <v>110.59320721</v>
      </c>
      <c r="D318">
        <f t="shared" si="14"/>
        <v>76.406792789999997</v>
      </c>
    </row>
    <row r="319" spans="1:4">
      <c r="A319">
        <v>318</v>
      </c>
      <c r="B319">
        <v>182</v>
      </c>
      <c r="C319">
        <f t="shared" si="13"/>
        <v>110.67955236</v>
      </c>
      <c r="D319">
        <f t="shared" si="14"/>
        <v>71.320447639999998</v>
      </c>
    </row>
    <row r="320" spans="1:4">
      <c r="A320">
        <v>319</v>
      </c>
      <c r="B320">
        <v>190</v>
      </c>
      <c r="C320">
        <f t="shared" si="13"/>
        <v>110.76559528999999</v>
      </c>
      <c r="D320">
        <f t="shared" si="14"/>
        <v>79.234404710000007</v>
      </c>
    </row>
    <row r="321" spans="1:4">
      <c r="A321">
        <v>320</v>
      </c>
      <c r="B321">
        <v>194</v>
      </c>
      <c r="C321">
        <f t="shared" si="13"/>
        <v>110.851336</v>
      </c>
      <c r="D321">
        <f t="shared" si="14"/>
        <v>83.148663999999997</v>
      </c>
    </row>
    <row r="322" spans="1:4">
      <c r="A322">
        <v>321</v>
      </c>
      <c r="B322">
        <v>179</v>
      </c>
      <c r="C322">
        <f t="shared" ref="C322:C385" si="15" xml:space="preserve"> -0.00015111*A322*A322 + 0.1823*A322 + 67.989</f>
        <v>110.93677449</v>
      </c>
      <c r="D322">
        <f t="shared" ref="D322:D385" si="16">B322-C322</f>
        <v>68.063225509999995</v>
      </c>
    </row>
    <row r="323" spans="1:4">
      <c r="A323">
        <v>322</v>
      </c>
      <c r="B323">
        <v>169</v>
      </c>
      <c r="C323">
        <f t="shared" si="15"/>
        <v>111.02191076</v>
      </c>
      <c r="D323">
        <f t="shared" si="16"/>
        <v>57.978089240000003</v>
      </c>
    </row>
    <row r="324" spans="1:4">
      <c r="A324">
        <v>323</v>
      </c>
      <c r="B324">
        <v>169</v>
      </c>
      <c r="C324">
        <f t="shared" si="15"/>
        <v>111.10674481000001</v>
      </c>
      <c r="D324">
        <f t="shared" si="16"/>
        <v>57.893255189999991</v>
      </c>
    </row>
    <row r="325" spans="1:4">
      <c r="A325">
        <v>324</v>
      </c>
      <c r="B325">
        <v>178</v>
      </c>
      <c r="C325">
        <f t="shared" si="15"/>
        <v>111.19127664</v>
      </c>
      <c r="D325">
        <f t="shared" si="16"/>
        <v>66.808723360000002</v>
      </c>
    </row>
    <row r="326" spans="1:4">
      <c r="A326">
        <v>325</v>
      </c>
      <c r="B326">
        <v>176</v>
      </c>
      <c r="C326">
        <f t="shared" si="15"/>
        <v>111.27550625000001</v>
      </c>
      <c r="D326">
        <f t="shared" si="16"/>
        <v>64.724493749999993</v>
      </c>
    </row>
    <row r="327" spans="1:4">
      <c r="A327">
        <v>326</v>
      </c>
      <c r="B327">
        <v>179</v>
      </c>
      <c r="C327">
        <f t="shared" si="15"/>
        <v>111.35943364000001</v>
      </c>
      <c r="D327">
        <f t="shared" si="16"/>
        <v>67.640566359999994</v>
      </c>
    </row>
    <row r="328" spans="1:4">
      <c r="A328">
        <v>327</v>
      </c>
      <c r="B328">
        <v>177</v>
      </c>
      <c r="C328">
        <f t="shared" si="15"/>
        <v>111.44305881</v>
      </c>
      <c r="D328">
        <f t="shared" si="16"/>
        <v>65.556941190000003</v>
      </c>
    </row>
    <row r="329" spans="1:4">
      <c r="A329">
        <v>328</v>
      </c>
      <c r="B329">
        <v>179</v>
      </c>
      <c r="C329">
        <f t="shared" si="15"/>
        <v>111.52638175999999</v>
      </c>
      <c r="D329">
        <f t="shared" si="16"/>
        <v>67.473618240000008</v>
      </c>
    </row>
    <row r="330" spans="1:4">
      <c r="A330">
        <v>329</v>
      </c>
      <c r="B330">
        <v>174</v>
      </c>
      <c r="C330">
        <f t="shared" si="15"/>
        <v>111.60940248999999</v>
      </c>
      <c r="D330">
        <f t="shared" si="16"/>
        <v>62.390597510000006</v>
      </c>
    </row>
    <row r="331" spans="1:4">
      <c r="A331">
        <v>330</v>
      </c>
      <c r="B331">
        <v>174</v>
      </c>
      <c r="C331">
        <f t="shared" si="15"/>
        <v>111.692121</v>
      </c>
      <c r="D331">
        <f t="shared" si="16"/>
        <v>62.307879</v>
      </c>
    </row>
    <row r="332" spans="1:4">
      <c r="A332">
        <v>331</v>
      </c>
      <c r="B332">
        <v>179</v>
      </c>
      <c r="C332">
        <f t="shared" si="15"/>
        <v>111.77453729</v>
      </c>
      <c r="D332">
        <f t="shared" si="16"/>
        <v>67.225462710000002</v>
      </c>
    </row>
    <row r="333" spans="1:4">
      <c r="A333">
        <v>332</v>
      </c>
      <c r="B333">
        <v>181</v>
      </c>
      <c r="C333">
        <f t="shared" si="15"/>
        <v>111.85665136</v>
      </c>
      <c r="D333">
        <f t="shared" si="16"/>
        <v>69.143348639999999</v>
      </c>
    </row>
    <row r="334" spans="1:4">
      <c r="A334">
        <v>333</v>
      </c>
      <c r="B334">
        <v>179</v>
      </c>
      <c r="C334">
        <f t="shared" si="15"/>
        <v>111.93846321000001</v>
      </c>
      <c r="D334">
        <f t="shared" si="16"/>
        <v>67.061536789999991</v>
      </c>
    </row>
    <row r="335" spans="1:4">
      <c r="A335">
        <v>334</v>
      </c>
      <c r="B335">
        <v>182</v>
      </c>
      <c r="C335">
        <f t="shared" si="15"/>
        <v>112.01997284000001</v>
      </c>
      <c r="D335">
        <f t="shared" si="16"/>
        <v>69.980027159999992</v>
      </c>
    </row>
    <row r="336" spans="1:4">
      <c r="A336">
        <v>335</v>
      </c>
      <c r="B336">
        <v>187</v>
      </c>
      <c r="C336">
        <f t="shared" si="15"/>
        <v>112.10118025</v>
      </c>
      <c r="D336">
        <f t="shared" si="16"/>
        <v>74.898819750000001</v>
      </c>
    </row>
    <row r="337" spans="1:8">
      <c r="A337">
        <v>336</v>
      </c>
      <c r="B337">
        <v>195</v>
      </c>
      <c r="C337">
        <f t="shared" si="15"/>
        <v>112.18208543999999</v>
      </c>
      <c r="D337">
        <f t="shared" si="16"/>
        <v>82.817914560000006</v>
      </c>
    </row>
    <row r="338" spans="1:8">
      <c r="A338">
        <v>337</v>
      </c>
      <c r="B338">
        <v>239</v>
      </c>
      <c r="C338">
        <f t="shared" si="15"/>
        <v>112.26268841000001</v>
      </c>
      <c r="D338">
        <f t="shared" si="16"/>
        <v>126.73731158999999</v>
      </c>
    </row>
    <row r="339" spans="1:8">
      <c r="A339">
        <v>338</v>
      </c>
      <c r="B339">
        <v>334</v>
      </c>
      <c r="C339">
        <f t="shared" si="15"/>
        <v>112.34298916</v>
      </c>
      <c r="D339">
        <f t="shared" si="16"/>
        <v>221.65701084</v>
      </c>
    </row>
    <row r="340" spans="1:8">
      <c r="A340">
        <v>339</v>
      </c>
      <c r="B340">
        <v>419</v>
      </c>
      <c r="C340">
        <f t="shared" si="15"/>
        <v>112.42298769</v>
      </c>
      <c r="D340">
        <f t="shared" si="16"/>
        <v>306.57701230999999</v>
      </c>
    </row>
    <row r="341" spans="1:8">
      <c r="A341">
        <v>340</v>
      </c>
      <c r="B341">
        <v>501</v>
      </c>
      <c r="C341">
        <f t="shared" si="15"/>
        <v>112.502684</v>
      </c>
      <c r="D341">
        <f t="shared" si="16"/>
        <v>388.49731600000001</v>
      </c>
    </row>
    <row r="342" spans="1:8">
      <c r="A342">
        <v>341</v>
      </c>
      <c r="B342">
        <v>547</v>
      </c>
      <c r="C342">
        <f t="shared" si="15"/>
        <v>112.58207809000001</v>
      </c>
      <c r="D342">
        <f t="shared" si="16"/>
        <v>434.41792191000002</v>
      </c>
    </row>
    <row r="343" spans="1:8">
      <c r="A343">
        <v>342</v>
      </c>
      <c r="B343">
        <v>682</v>
      </c>
      <c r="C343">
        <f t="shared" si="15"/>
        <v>112.66116996</v>
      </c>
      <c r="D343">
        <f t="shared" si="16"/>
        <v>569.33883003999995</v>
      </c>
    </row>
    <row r="344" spans="1:8">
      <c r="A344">
        <v>343</v>
      </c>
      <c r="B344">
        <v>1031</v>
      </c>
      <c r="C344">
        <f t="shared" si="15"/>
        <v>112.73995961</v>
      </c>
      <c r="D344">
        <f t="shared" si="16"/>
        <v>918.26004038999997</v>
      </c>
    </row>
    <row r="345" spans="1:8" ht="17.25">
      <c r="A345">
        <v>344</v>
      </c>
      <c r="B345">
        <v>1546</v>
      </c>
      <c r="C345">
        <f t="shared" si="15"/>
        <v>112.81844704</v>
      </c>
      <c r="D345">
        <f t="shared" si="16"/>
        <v>1433.1815529600001</v>
      </c>
      <c r="F345">
        <v>344.5</v>
      </c>
      <c r="G345">
        <v>6</v>
      </c>
      <c r="H345" t="s">
        <v>162</v>
      </c>
    </row>
    <row r="346" spans="1:8">
      <c r="A346">
        <v>345</v>
      </c>
      <c r="B346">
        <v>1724</v>
      </c>
      <c r="C346">
        <f t="shared" si="15"/>
        <v>112.89663225</v>
      </c>
      <c r="D346">
        <f t="shared" si="16"/>
        <v>1611.10336775</v>
      </c>
    </row>
    <row r="347" spans="1:8">
      <c r="A347">
        <v>346</v>
      </c>
      <c r="B347">
        <v>1357</v>
      </c>
      <c r="C347">
        <f t="shared" si="15"/>
        <v>112.97451524</v>
      </c>
      <c r="D347">
        <f t="shared" si="16"/>
        <v>1244.0254847599999</v>
      </c>
    </row>
    <row r="348" spans="1:8">
      <c r="A348">
        <v>347</v>
      </c>
      <c r="B348">
        <v>860</v>
      </c>
      <c r="C348">
        <f t="shared" si="15"/>
        <v>113.05209601</v>
      </c>
      <c r="D348">
        <f t="shared" si="16"/>
        <v>746.94790398999999</v>
      </c>
    </row>
    <row r="349" spans="1:8">
      <c r="A349">
        <v>348</v>
      </c>
      <c r="B349">
        <v>590</v>
      </c>
      <c r="C349">
        <f t="shared" si="15"/>
        <v>113.12937456</v>
      </c>
      <c r="D349">
        <f t="shared" si="16"/>
        <v>476.87062544000003</v>
      </c>
    </row>
    <row r="350" spans="1:8">
      <c r="A350">
        <v>349</v>
      </c>
      <c r="B350">
        <v>516</v>
      </c>
      <c r="C350">
        <f t="shared" si="15"/>
        <v>113.20635089</v>
      </c>
      <c r="D350">
        <f t="shared" si="16"/>
        <v>402.79364910999999</v>
      </c>
    </row>
    <row r="351" spans="1:8">
      <c r="A351">
        <v>350</v>
      </c>
      <c r="B351">
        <v>470</v>
      </c>
      <c r="C351">
        <f t="shared" si="15"/>
        <v>113.28302500000001</v>
      </c>
      <c r="D351">
        <f t="shared" si="16"/>
        <v>356.71697499999999</v>
      </c>
    </row>
    <row r="352" spans="1:8">
      <c r="A352">
        <v>351</v>
      </c>
      <c r="B352">
        <v>396</v>
      </c>
      <c r="C352">
        <f t="shared" si="15"/>
        <v>113.35939689</v>
      </c>
      <c r="D352">
        <f t="shared" si="16"/>
        <v>282.64060311000003</v>
      </c>
    </row>
    <row r="353" spans="1:4">
      <c r="A353">
        <v>352</v>
      </c>
      <c r="B353">
        <v>299</v>
      </c>
      <c r="C353">
        <f t="shared" si="15"/>
        <v>113.43546656000001</v>
      </c>
      <c r="D353">
        <f t="shared" si="16"/>
        <v>185.56453343999999</v>
      </c>
    </row>
    <row r="354" spans="1:4">
      <c r="A354">
        <v>353</v>
      </c>
      <c r="B354">
        <v>246</v>
      </c>
      <c r="C354">
        <f t="shared" si="15"/>
        <v>113.51123401000001</v>
      </c>
      <c r="D354">
        <f t="shared" si="16"/>
        <v>132.48876598999999</v>
      </c>
    </row>
    <row r="355" spans="1:4">
      <c r="A355">
        <v>354</v>
      </c>
      <c r="B355">
        <v>237</v>
      </c>
      <c r="C355">
        <f t="shared" si="15"/>
        <v>113.58669924</v>
      </c>
      <c r="D355">
        <f t="shared" si="16"/>
        <v>123.41330076</v>
      </c>
    </row>
    <row r="356" spans="1:4">
      <c r="A356">
        <v>355</v>
      </c>
      <c r="B356">
        <v>229</v>
      </c>
      <c r="C356">
        <f t="shared" si="15"/>
        <v>113.66186225</v>
      </c>
      <c r="D356">
        <f t="shared" si="16"/>
        <v>115.33813775</v>
      </c>
    </row>
    <row r="357" spans="1:4">
      <c r="A357">
        <v>356</v>
      </c>
      <c r="B357">
        <v>222</v>
      </c>
      <c r="C357">
        <f t="shared" si="15"/>
        <v>113.73672304</v>
      </c>
      <c r="D357">
        <f t="shared" si="16"/>
        <v>108.26327696</v>
      </c>
    </row>
    <row r="358" spans="1:4">
      <c r="A358">
        <v>357</v>
      </c>
      <c r="B358">
        <v>206</v>
      </c>
      <c r="C358">
        <f t="shared" si="15"/>
        <v>113.81128160999999</v>
      </c>
      <c r="D358">
        <f t="shared" si="16"/>
        <v>92.188718390000005</v>
      </c>
    </row>
    <row r="359" spans="1:4">
      <c r="A359">
        <v>358</v>
      </c>
      <c r="B359">
        <v>188</v>
      </c>
      <c r="C359">
        <f t="shared" si="15"/>
        <v>113.88553795999999</v>
      </c>
      <c r="D359">
        <f t="shared" si="16"/>
        <v>74.114462040000006</v>
      </c>
    </row>
    <row r="360" spans="1:4">
      <c r="A360">
        <v>359</v>
      </c>
      <c r="B360">
        <v>205</v>
      </c>
      <c r="C360">
        <f t="shared" si="15"/>
        <v>113.95949209</v>
      </c>
      <c r="D360">
        <f t="shared" si="16"/>
        <v>91.040507910000002</v>
      </c>
    </row>
    <row r="361" spans="1:4">
      <c r="A361">
        <v>360</v>
      </c>
      <c r="B361">
        <v>202</v>
      </c>
      <c r="C361">
        <f t="shared" si="15"/>
        <v>114.03314400000001</v>
      </c>
      <c r="D361">
        <f t="shared" si="16"/>
        <v>87.966855999999993</v>
      </c>
    </row>
    <row r="362" spans="1:4">
      <c r="A362">
        <v>361</v>
      </c>
      <c r="B362">
        <v>212</v>
      </c>
      <c r="C362">
        <f t="shared" si="15"/>
        <v>114.10649369000001</v>
      </c>
      <c r="D362">
        <f t="shared" si="16"/>
        <v>97.893506309999992</v>
      </c>
    </row>
    <row r="363" spans="1:4">
      <c r="A363">
        <v>362</v>
      </c>
      <c r="B363">
        <v>212</v>
      </c>
      <c r="C363">
        <f t="shared" si="15"/>
        <v>114.17954116</v>
      </c>
      <c r="D363">
        <f t="shared" si="16"/>
        <v>97.820458840000001</v>
      </c>
    </row>
    <row r="364" spans="1:4">
      <c r="A364">
        <v>363</v>
      </c>
      <c r="B364">
        <v>207</v>
      </c>
      <c r="C364">
        <f t="shared" si="15"/>
        <v>114.25228641</v>
      </c>
      <c r="D364">
        <f t="shared" si="16"/>
        <v>92.747713590000004</v>
      </c>
    </row>
    <row r="365" spans="1:4">
      <c r="A365">
        <v>364</v>
      </c>
      <c r="B365">
        <v>205</v>
      </c>
      <c r="C365">
        <f t="shared" si="15"/>
        <v>114.32472944</v>
      </c>
      <c r="D365">
        <f t="shared" si="16"/>
        <v>90.675270560000001</v>
      </c>
    </row>
    <row r="366" spans="1:4">
      <c r="A366">
        <v>365</v>
      </c>
      <c r="B366">
        <v>186</v>
      </c>
      <c r="C366">
        <f t="shared" si="15"/>
        <v>114.39687024999999</v>
      </c>
      <c r="D366">
        <f t="shared" si="16"/>
        <v>71.603129750000008</v>
      </c>
    </row>
    <row r="367" spans="1:4">
      <c r="A367">
        <v>366</v>
      </c>
      <c r="B367">
        <v>187</v>
      </c>
      <c r="C367">
        <f t="shared" si="15"/>
        <v>114.46870884000001</v>
      </c>
      <c r="D367">
        <f t="shared" si="16"/>
        <v>72.531291159999995</v>
      </c>
    </row>
    <row r="368" spans="1:4">
      <c r="A368">
        <v>367</v>
      </c>
      <c r="B368">
        <v>169</v>
      </c>
      <c r="C368">
        <f t="shared" si="15"/>
        <v>114.54024520999999</v>
      </c>
      <c r="D368">
        <f t="shared" si="16"/>
        <v>54.459754790000005</v>
      </c>
    </row>
    <row r="369" spans="1:4">
      <c r="A369">
        <v>368</v>
      </c>
      <c r="B369">
        <v>173</v>
      </c>
      <c r="C369">
        <f t="shared" si="15"/>
        <v>114.61147936</v>
      </c>
      <c r="D369">
        <f t="shared" si="16"/>
        <v>58.388520639999996</v>
      </c>
    </row>
    <row r="370" spans="1:4">
      <c r="A370">
        <v>369</v>
      </c>
      <c r="B370">
        <v>192</v>
      </c>
      <c r="C370">
        <f t="shared" si="15"/>
        <v>114.68241129</v>
      </c>
      <c r="D370">
        <f t="shared" si="16"/>
        <v>77.317588709999995</v>
      </c>
    </row>
    <row r="371" spans="1:4">
      <c r="A371">
        <v>370</v>
      </c>
      <c r="B371">
        <v>194</v>
      </c>
      <c r="C371">
        <f t="shared" si="15"/>
        <v>114.753041</v>
      </c>
      <c r="D371">
        <f t="shared" si="16"/>
        <v>79.246959000000004</v>
      </c>
    </row>
    <row r="372" spans="1:4">
      <c r="A372">
        <v>371</v>
      </c>
      <c r="B372">
        <v>196</v>
      </c>
      <c r="C372">
        <f t="shared" si="15"/>
        <v>114.82336848999999</v>
      </c>
      <c r="D372">
        <f t="shared" si="16"/>
        <v>81.176631510000007</v>
      </c>
    </row>
    <row r="373" spans="1:4">
      <c r="A373">
        <v>372</v>
      </c>
      <c r="B373">
        <v>182</v>
      </c>
      <c r="C373">
        <f t="shared" si="15"/>
        <v>114.89339376</v>
      </c>
      <c r="D373">
        <f t="shared" si="16"/>
        <v>67.106606240000005</v>
      </c>
    </row>
    <row r="374" spans="1:4">
      <c r="A374">
        <v>373</v>
      </c>
      <c r="B374">
        <v>176</v>
      </c>
      <c r="C374">
        <f t="shared" si="15"/>
        <v>114.96311681</v>
      </c>
      <c r="D374">
        <f t="shared" si="16"/>
        <v>61.036883189999998</v>
      </c>
    </row>
    <row r="375" spans="1:4">
      <c r="A375">
        <v>374</v>
      </c>
      <c r="B375">
        <v>162</v>
      </c>
      <c r="C375">
        <f t="shared" si="15"/>
        <v>115.03253764</v>
      </c>
      <c r="D375">
        <f t="shared" si="16"/>
        <v>46.967462359999999</v>
      </c>
    </row>
    <row r="376" spans="1:4">
      <c r="A376">
        <v>375</v>
      </c>
      <c r="B376">
        <v>160</v>
      </c>
      <c r="C376">
        <f t="shared" si="15"/>
        <v>115.10165625</v>
      </c>
      <c r="D376">
        <f t="shared" si="16"/>
        <v>44.898343749999995</v>
      </c>
    </row>
    <row r="377" spans="1:4">
      <c r="A377">
        <v>376</v>
      </c>
      <c r="B377">
        <v>142</v>
      </c>
      <c r="C377">
        <f t="shared" si="15"/>
        <v>115.17047264</v>
      </c>
      <c r="D377">
        <f t="shared" si="16"/>
        <v>26.82952736</v>
      </c>
    </row>
    <row r="378" spans="1:4">
      <c r="A378">
        <v>377</v>
      </c>
      <c r="B378">
        <v>139</v>
      </c>
      <c r="C378">
        <f t="shared" si="15"/>
        <v>115.23898681</v>
      </c>
      <c r="D378">
        <f t="shared" si="16"/>
        <v>23.76101319</v>
      </c>
    </row>
    <row r="379" spans="1:4">
      <c r="A379">
        <v>378</v>
      </c>
      <c r="B379">
        <v>138</v>
      </c>
      <c r="C379">
        <f t="shared" si="15"/>
        <v>115.30719875999999</v>
      </c>
      <c r="D379">
        <f t="shared" si="16"/>
        <v>22.692801240000009</v>
      </c>
    </row>
    <row r="380" spans="1:4">
      <c r="A380">
        <v>379</v>
      </c>
      <c r="B380">
        <v>133</v>
      </c>
      <c r="C380">
        <f t="shared" si="15"/>
        <v>115.37510849</v>
      </c>
      <c r="D380">
        <f t="shared" si="16"/>
        <v>17.624891509999998</v>
      </c>
    </row>
    <row r="381" spans="1:4">
      <c r="A381">
        <v>380</v>
      </c>
      <c r="B381">
        <v>143</v>
      </c>
      <c r="C381">
        <f t="shared" si="15"/>
        <v>115.442716</v>
      </c>
      <c r="D381">
        <f t="shared" si="16"/>
        <v>27.557283999999996</v>
      </c>
    </row>
    <row r="382" spans="1:4">
      <c r="A382">
        <v>381</v>
      </c>
      <c r="B382">
        <v>162</v>
      </c>
      <c r="C382">
        <f t="shared" si="15"/>
        <v>115.51002129</v>
      </c>
      <c r="D382">
        <f t="shared" si="16"/>
        <v>46.489978710000003</v>
      </c>
    </row>
    <row r="383" spans="1:4">
      <c r="A383">
        <v>382</v>
      </c>
      <c r="B383">
        <v>197</v>
      </c>
      <c r="C383">
        <f t="shared" si="15"/>
        <v>115.57702436</v>
      </c>
      <c r="D383">
        <f t="shared" si="16"/>
        <v>81.422975640000004</v>
      </c>
    </row>
    <row r="384" spans="1:4">
      <c r="A384">
        <v>383</v>
      </c>
      <c r="B384">
        <v>226</v>
      </c>
      <c r="C384">
        <f t="shared" si="15"/>
        <v>115.64372521</v>
      </c>
      <c r="D384">
        <f t="shared" si="16"/>
        <v>110.35627479</v>
      </c>
    </row>
    <row r="385" spans="1:4">
      <c r="A385">
        <v>384</v>
      </c>
      <c r="B385">
        <v>230</v>
      </c>
      <c r="C385">
        <f t="shared" si="15"/>
        <v>115.71012383999999</v>
      </c>
      <c r="D385">
        <f t="shared" si="16"/>
        <v>114.28987616000001</v>
      </c>
    </row>
    <row r="386" spans="1:4">
      <c r="A386">
        <v>385</v>
      </c>
      <c r="B386">
        <v>259</v>
      </c>
      <c r="C386">
        <f t="shared" ref="C386:C449" si="17" xml:space="preserve"> -0.00015111*A386*A386 + 0.1823*A386 + 67.989</f>
        <v>115.77622024999999</v>
      </c>
      <c r="D386">
        <f t="shared" ref="D386:D449" si="18">B386-C386</f>
        <v>143.22377975000001</v>
      </c>
    </row>
    <row r="387" spans="1:4">
      <c r="A387">
        <v>386</v>
      </c>
      <c r="B387">
        <v>341</v>
      </c>
      <c r="C387">
        <f t="shared" si="17"/>
        <v>115.84201444</v>
      </c>
      <c r="D387">
        <f t="shared" si="18"/>
        <v>225.15798555999999</v>
      </c>
    </row>
    <row r="388" spans="1:4">
      <c r="A388">
        <v>387</v>
      </c>
      <c r="B388">
        <v>458</v>
      </c>
      <c r="C388">
        <f t="shared" si="17"/>
        <v>115.90750641</v>
      </c>
      <c r="D388">
        <f t="shared" si="18"/>
        <v>342.09249359</v>
      </c>
    </row>
    <row r="389" spans="1:4">
      <c r="A389">
        <v>388</v>
      </c>
      <c r="B389">
        <v>546</v>
      </c>
      <c r="C389">
        <f t="shared" si="17"/>
        <v>115.97269616</v>
      </c>
      <c r="D389">
        <f t="shared" si="18"/>
        <v>430.02730384</v>
      </c>
    </row>
    <row r="390" spans="1:4">
      <c r="A390">
        <v>389</v>
      </c>
      <c r="B390">
        <v>542</v>
      </c>
      <c r="C390">
        <f t="shared" si="17"/>
        <v>116.03758369000001</v>
      </c>
      <c r="D390">
        <f t="shared" si="18"/>
        <v>425.96241630999998</v>
      </c>
    </row>
    <row r="391" spans="1:4">
      <c r="A391">
        <v>390</v>
      </c>
      <c r="B391">
        <v>483</v>
      </c>
      <c r="C391">
        <f t="shared" si="17"/>
        <v>116.102169</v>
      </c>
      <c r="D391">
        <f t="shared" si="18"/>
        <v>366.897831</v>
      </c>
    </row>
    <row r="392" spans="1:4">
      <c r="A392">
        <v>391</v>
      </c>
      <c r="B392">
        <v>446</v>
      </c>
      <c r="C392">
        <f t="shared" si="17"/>
        <v>116.16645208999999</v>
      </c>
      <c r="D392">
        <f t="shared" si="18"/>
        <v>329.83354790999999</v>
      </c>
    </row>
    <row r="393" spans="1:4">
      <c r="A393">
        <v>392</v>
      </c>
      <c r="B393">
        <v>442</v>
      </c>
      <c r="C393">
        <f t="shared" si="17"/>
        <v>116.23043296</v>
      </c>
      <c r="D393">
        <f t="shared" si="18"/>
        <v>325.76956703999997</v>
      </c>
    </row>
    <row r="394" spans="1:4">
      <c r="A394">
        <v>393</v>
      </c>
      <c r="B394">
        <v>420</v>
      </c>
      <c r="C394">
        <f t="shared" si="17"/>
        <v>116.29411161</v>
      </c>
      <c r="D394">
        <f t="shared" si="18"/>
        <v>303.70588838999998</v>
      </c>
    </row>
    <row r="395" spans="1:4">
      <c r="A395">
        <v>394</v>
      </c>
      <c r="B395">
        <v>406</v>
      </c>
      <c r="C395">
        <f t="shared" si="17"/>
        <v>116.35748804000001</v>
      </c>
      <c r="D395">
        <f t="shared" si="18"/>
        <v>289.64251195999998</v>
      </c>
    </row>
    <row r="396" spans="1:4">
      <c r="A396">
        <v>395</v>
      </c>
      <c r="B396">
        <v>382</v>
      </c>
      <c r="C396">
        <f t="shared" si="17"/>
        <v>116.42056225</v>
      </c>
      <c r="D396">
        <f t="shared" si="18"/>
        <v>265.57943775000001</v>
      </c>
    </row>
    <row r="397" spans="1:4">
      <c r="A397">
        <v>396</v>
      </c>
      <c r="B397">
        <v>382</v>
      </c>
      <c r="C397">
        <f t="shared" si="17"/>
        <v>116.48333424</v>
      </c>
      <c r="D397">
        <f t="shared" si="18"/>
        <v>265.51666576000002</v>
      </c>
    </row>
    <row r="398" spans="1:4">
      <c r="A398">
        <v>397</v>
      </c>
      <c r="B398">
        <v>376</v>
      </c>
      <c r="C398">
        <f t="shared" si="17"/>
        <v>116.54580401</v>
      </c>
      <c r="D398">
        <f t="shared" si="18"/>
        <v>259.45419599000002</v>
      </c>
    </row>
    <row r="399" spans="1:4">
      <c r="A399">
        <v>398</v>
      </c>
      <c r="B399">
        <v>369</v>
      </c>
      <c r="C399">
        <f t="shared" si="17"/>
        <v>116.60797156</v>
      </c>
      <c r="D399">
        <f t="shared" si="18"/>
        <v>252.39202843999999</v>
      </c>
    </row>
    <row r="400" spans="1:4">
      <c r="A400">
        <v>399</v>
      </c>
      <c r="B400">
        <v>328</v>
      </c>
      <c r="C400">
        <f t="shared" si="17"/>
        <v>116.66983689</v>
      </c>
      <c r="D400">
        <f t="shared" si="18"/>
        <v>211.33016311</v>
      </c>
    </row>
    <row r="401" spans="1:4">
      <c r="A401">
        <v>400</v>
      </c>
      <c r="B401">
        <v>319</v>
      </c>
      <c r="C401">
        <f t="shared" si="17"/>
        <v>116.73140000000001</v>
      </c>
      <c r="D401">
        <f t="shared" si="18"/>
        <v>202.26859999999999</v>
      </c>
    </row>
    <row r="402" spans="1:4">
      <c r="A402">
        <v>401</v>
      </c>
      <c r="B402">
        <v>291</v>
      </c>
      <c r="C402">
        <f t="shared" si="17"/>
        <v>116.79266089000001</v>
      </c>
      <c r="D402">
        <f t="shared" si="18"/>
        <v>174.20733910999999</v>
      </c>
    </row>
    <row r="403" spans="1:4">
      <c r="A403">
        <v>402</v>
      </c>
      <c r="B403">
        <v>301</v>
      </c>
      <c r="C403">
        <f t="shared" si="17"/>
        <v>116.85361956</v>
      </c>
      <c r="D403">
        <f t="shared" si="18"/>
        <v>184.14638044</v>
      </c>
    </row>
    <row r="404" spans="1:4">
      <c r="A404">
        <v>403</v>
      </c>
      <c r="B404">
        <v>289</v>
      </c>
      <c r="C404">
        <f t="shared" si="17"/>
        <v>116.91427600999999</v>
      </c>
      <c r="D404">
        <f t="shared" si="18"/>
        <v>172.08572399000002</v>
      </c>
    </row>
    <row r="405" spans="1:4">
      <c r="A405">
        <v>404</v>
      </c>
      <c r="B405">
        <v>281</v>
      </c>
      <c r="C405">
        <f t="shared" si="17"/>
        <v>116.97463024</v>
      </c>
      <c r="D405">
        <f t="shared" si="18"/>
        <v>164.02536975999999</v>
      </c>
    </row>
    <row r="406" spans="1:4">
      <c r="A406">
        <v>405</v>
      </c>
      <c r="B406">
        <v>266</v>
      </c>
      <c r="C406">
        <f t="shared" si="17"/>
        <v>117.03468224999999</v>
      </c>
      <c r="D406">
        <f t="shared" si="18"/>
        <v>148.96531775</v>
      </c>
    </row>
    <row r="407" spans="1:4">
      <c r="A407">
        <v>406</v>
      </c>
      <c r="B407">
        <v>256</v>
      </c>
      <c r="C407">
        <f t="shared" si="17"/>
        <v>117.09443203999999</v>
      </c>
      <c r="D407">
        <f t="shared" si="18"/>
        <v>138.90556796000001</v>
      </c>
    </row>
    <row r="408" spans="1:4">
      <c r="A408">
        <v>407</v>
      </c>
      <c r="B408">
        <v>267</v>
      </c>
      <c r="C408">
        <f t="shared" si="17"/>
        <v>117.15387961</v>
      </c>
      <c r="D408">
        <f t="shared" si="18"/>
        <v>149.84612039000001</v>
      </c>
    </row>
    <row r="409" spans="1:4">
      <c r="A409">
        <v>408</v>
      </c>
      <c r="B409">
        <v>266</v>
      </c>
      <c r="C409">
        <f t="shared" si="17"/>
        <v>117.21302496</v>
      </c>
      <c r="D409">
        <f t="shared" si="18"/>
        <v>148.78697504000002</v>
      </c>
    </row>
    <row r="410" spans="1:4">
      <c r="A410">
        <v>409</v>
      </c>
      <c r="B410">
        <v>261</v>
      </c>
      <c r="C410">
        <f t="shared" si="17"/>
        <v>117.27186809</v>
      </c>
      <c r="D410">
        <f t="shared" si="18"/>
        <v>143.72813191</v>
      </c>
    </row>
    <row r="411" spans="1:4">
      <c r="A411">
        <v>410</v>
      </c>
      <c r="B411">
        <v>250</v>
      </c>
      <c r="C411">
        <f t="shared" si="17"/>
        <v>117.330409</v>
      </c>
      <c r="D411">
        <f t="shared" si="18"/>
        <v>132.669591</v>
      </c>
    </row>
    <row r="412" spans="1:4">
      <c r="A412">
        <v>411</v>
      </c>
      <c r="B412">
        <v>227</v>
      </c>
      <c r="C412">
        <f t="shared" si="17"/>
        <v>117.38864769</v>
      </c>
      <c r="D412">
        <f t="shared" si="18"/>
        <v>109.61135231</v>
      </c>
    </row>
    <row r="413" spans="1:4">
      <c r="A413">
        <v>412</v>
      </c>
      <c r="B413">
        <v>232</v>
      </c>
      <c r="C413">
        <f t="shared" si="17"/>
        <v>117.44658415999999</v>
      </c>
      <c r="D413">
        <f t="shared" si="18"/>
        <v>114.55341584000001</v>
      </c>
    </row>
    <row r="414" spans="1:4">
      <c r="A414">
        <v>413</v>
      </c>
      <c r="B414">
        <v>241</v>
      </c>
      <c r="C414">
        <f t="shared" si="17"/>
        <v>117.50421840999999</v>
      </c>
      <c r="D414">
        <f t="shared" si="18"/>
        <v>123.49578159000001</v>
      </c>
    </row>
    <row r="415" spans="1:4">
      <c r="A415">
        <v>414</v>
      </c>
      <c r="B415">
        <v>247</v>
      </c>
      <c r="C415">
        <f t="shared" si="17"/>
        <v>117.56155044</v>
      </c>
      <c r="D415">
        <f t="shared" si="18"/>
        <v>129.43844955999998</v>
      </c>
    </row>
    <row r="416" spans="1:4">
      <c r="A416">
        <v>415</v>
      </c>
      <c r="B416">
        <v>243</v>
      </c>
      <c r="C416">
        <f t="shared" si="17"/>
        <v>117.61858025000001</v>
      </c>
      <c r="D416">
        <f t="shared" si="18"/>
        <v>125.38141974999999</v>
      </c>
    </row>
    <row r="417" spans="1:4">
      <c r="A417">
        <v>416</v>
      </c>
      <c r="B417">
        <v>226</v>
      </c>
      <c r="C417">
        <f t="shared" si="17"/>
        <v>117.67530784</v>
      </c>
      <c r="D417">
        <f t="shared" si="18"/>
        <v>108.32469216</v>
      </c>
    </row>
    <row r="418" spans="1:4">
      <c r="A418">
        <v>417</v>
      </c>
      <c r="B418">
        <v>219</v>
      </c>
      <c r="C418">
        <f t="shared" si="17"/>
        <v>117.73173321</v>
      </c>
      <c r="D418">
        <f t="shared" si="18"/>
        <v>101.26826679</v>
      </c>
    </row>
    <row r="419" spans="1:4">
      <c r="A419">
        <v>418</v>
      </c>
      <c r="B419">
        <v>228</v>
      </c>
      <c r="C419">
        <f t="shared" si="17"/>
        <v>117.78785635999999</v>
      </c>
      <c r="D419">
        <f t="shared" si="18"/>
        <v>110.21214364000001</v>
      </c>
    </row>
    <row r="420" spans="1:4">
      <c r="A420">
        <v>419</v>
      </c>
      <c r="B420">
        <v>219</v>
      </c>
      <c r="C420">
        <f t="shared" si="17"/>
        <v>117.84367728999999</v>
      </c>
      <c r="D420">
        <f t="shared" si="18"/>
        <v>101.15632271000001</v>
      </c>
    </row>
    <row r="421" spans="1:4">
      <c r="A421">
        <v>420</v>
      </c>
      <c r="B421">
        <v>226</v>
      </c>
      <c r="C421">
        <f t="shared" si="17"/>
        <v>117.899196</v>
      </c>
      <c r="D421">
        <f t="shared" si="18"/>
        <v>108.100804</v>
      </c>
    </row>
    <row r="422" spans="1:4">
      <c r="A422">
        <v>421</v>
      </c>
      <c r="B422">
        <v>227</v>
      </c>
      <c r="C422">
        <f t="shared" si="17"/>
        <v>117.95441249</v>
      </c>
      <c r="D422">
        <f t="shared" si="18"/>
        <v>109.04558751</v>
      </c>
    </row>
    <row r="423" spans="1:4">
      <c r="A423">
        <v>422</v>
      </c>
      <c r="B423">
        <v>205</v>
      </c>
      <c r="C423">
        <f t="shared" si="17"/>
        <v>118.00932675999999</v>
      </c>
      <c r="D423">
        <f t="shared" si="18"/>
        <v>86.990673240000007</v>
      </c>
    </row>
    <row r="424" spans="1:4">
      <c r="A424">
        <v>423</v>
      </c>
      <c r="B424">
        <v>195</v>
      </c>
      <c r="C424">
        <f t="shared" si="17"/>
        <v>118.06393881</v>
      </c>
      <c r="D424">
        <f t="shared" si="18"/>
        <v>76.936061190000004</v>
      </c>
    </row>
    <row r="425" spans="1:4">
      <c r="A425">
        <v>424</v>
      </c>
      <c r="B425">
        <v>206</v>
      </c>
      <c r="C425">
        <f t="shared" si="17"/>
        <v>118.11824864</v>
      </c>
      <c r="D425">
        <f t="shared" si="18"/>
        <v>87.881751359999996</v>
      </c>
    </row>
    <row r="426" spans="1:4">
      <c r="A426">
        <v>425</v>
      </c>
      <c r="B426">
        <v>216</v>
      </c>
      <c r="C426">
        <f t="shared" si="17"/>
        <v>118.17225624999999</v>
      </c>
      <c r="D426">
        <f t="shared" si="18"/>
        <v>97.82774375000001</v>
      </c>
    </row>
    <row r="427" spans="1:4">
      <c r="A427">
        <v>426</v>
      </c>
      <c r="B427">
        <v>221</v>
      </c>
      <c r="C427">
        <f t="shared" si="17"/>
        <v>118.22596163999999</v>
      </c>
      <c r="D427">
        <f t="shared" si="18"/>
        <v>102.77403836000001</v>
      </c>
    </row>
    <row r="428" spans="1:4">
      <c r="A428">
        <v>427</v>
      </c>
      <c r="B428">
        <v>227</v>
      </c>
      <c r="C428">
        <f t="shared" si="17"/>
        <v>118.27936481</v>
      </c>
      <c r="D428">
        <f t="shared" si="18"/>
        <v>108.72063519</v>
      </c>
    </row>
    <row r="429" spans="1:4">
      <c r="A429">
        <v>428</v>
      </c>
      <c r="B429">
        <v>231</v>
      </c>
      <c r="C429">
        <f t="shared" si="17"/>
        <v>118.33246576000001</v>
      </c>
      <c r="D429">
        <f t="shared" si="18"/>
        <v>112.66753423999999</v>
      </c>
    </row>
    <row r="430" spans="1:4">
      <c r="A430">
        <v>429</v>
      </c>
      <c r="B430">
        <v>254</v>
      </c>
      <c r="C430">
        <f t="shared" si="17"/>
        <v>118.38526449</v>
      </c>
      <c r="D430">
        <f t="shared" si="18"/>
        <v>135.61473551</v>
      </c>
    </row>
    <row r="431" spans="1:4">
      <c r="A431">
        <v>430</v>
      </c>
      <c r="B431">
        <v>294</v>
      </c>
      <c r="C431">
        <f t="shared" si="17"/>
        <v>118.43776099999999</v>
      </c>
      <c r="D431">
        <f t="shared" si="18"/>
        <v>175.56223900000001</v>
      </c>
    </row>
    <row r="432" spans="1:4">
      <c r="A432">
        <v>431</v>
      </c>
      <c r="B432">
        <v>330</v>
      </c>
      <c r="C432">
        <f t="shared" si="17"/>
        <v>118.48995529</v>
      </c>
      <c r="D432">
        <f t="shared" si="18"/>
        <v>211.51004470999999</v>
      </c>
    </row>
    <row r="433" spans="1:8">
      <c r="A433">
        <v>432</v>
      </c>
      <c r="B433">
        <v>349</v>
      </c>
      <c r="C433">
        <f t="shared" si="17"/>
        <v>118.54184735999999</v>
      </c>
      <c r="D433">
        <f t="shared" si="18"/>
        <v>230.45815264000001</v>
      </c>
    </row>
    <row r="434" spans="1:8">
      <c r="A434">
        <v>433</v>
      </c>
      <c r="B434">
        <v>317</v>
      </c>
      <c r="C434">
        <f t="shared" si="17"/>
        <v>118.59343720999999</v>
      </c>
      <c r="D434">
        <f t="shared" si="18"/>
        <v>198.40656279000001</v>
      </c>
    </row>
    <row r="435" spans="1:8">
      <c r="A435">
        <v>434</v>
      </c>
      <c r="B435">
        <v>303</v>
      </c>
      <c r="C435">
        <f t="shared" si="17"/>
        <v>118.64472484000001</v>
      </c>
      <c r="D435">
        <f t="shared" si="18"/>
        <v>184.35527515999999</v>
      </c>
    </row>
    <row r="436" spans="1:8">
      <c r="A436">
        <v>435</v>
      </c>
      <c r="B436">
        <v>335</v>
      </c>
      <c r="C436">
        <f t="shared" si="17"/>
        <v>118.69571025</v>
      </c>
      <c r="D436">
        <f t="shared" si="18"/>
        <v>216.30428975000001</v>
      </c>
    </row>
    <row r="437" spans="1:8">
      <c r="A437">
        <v>436</v>
      </c>
      <c r="B437">
        <v>435</v>
      </c>
      <c r="C437">
        <f t="shared" si="17"/>
        <v>118.74639343999999</v>
      </c>
      <c r="D437">
        <f t="shared" si="18"/>
        <v>316.25360655999998</v>
      </c>
    </row>
    <row r="438" spans="1:8">
      <c r="A438">
        <v>437</v>
      </c>
      <c r="B438">
        <v>541</v>
      </c>
      <c r="C438">
        <f t="shared" si="17"/>
        <v>118.79677441</v>
      </c>
      <c r="D438">
        <f t="shared" si="18"/>
        <v>422.20322558999999</v>
      </c>
    </row>
    <row r="439" spans="1:8">
      <c r="A439">
        <v>438</v>
      </c>
      <c r="B439">
        <v>625</v>
      </c>
      <c r="C439">
        <f t="shared" si="17"/>
        <v>118.84685315999999</v>
      </c>
      <c r="D439">
        <f t="shared" si="18"/>
        <v>506.15314683999998</v>
      </c>
    </row>
    <row r="440" spans="1:8">
      <c r="A440">
        <v>439</v>
      </c>
      <c r="B440">
        <v>814</v>
      </c>
      <c r="C440">
        <f t="shared" si="17"/>
        <v>118.89662969</v>
      </c>
      <c r="D440">
        <f t="shared" si="18"/>
        <v>695.10337030999995</v>
      </c>
    </row>
    <row r="441" spans="1:8">
      <c r="A441">
        <v>440</v>
      </c>
      <c r="B441">
        <v>1279</v>
      </c>
      <c r="C441">
        <f t="shared" si="17"/>
        <v>118.94610399999999</v>
      </c>
      <c r="D441">
        <f t="shared" si="18"/>
        <v>1160.0538959999999</v>
      </c>
    </row>
    <row r="442" spans="1:8">
      <c r="A442">
        <v>441</v>
      </c>
      <c r="B442">
        <v>2210</v>
      </c>
      <c r="C442">
        <f t="shared" si="17"/>
        <v>118.99527609</v>
      </c>
      <c r="D442">
        <f t="shared" si="18"/>
        <v>2091.0047239099999</v>
      </c>
    </row>
    <row r="443" spans="1:8">
      <c r="A443">
        <v>442</v>
      </c>
      <c r="B443">
        <v>4752</v>
      </c>
      <c r="C443">
        <f t="shared" si="17"/>
        <v>119.04414595999999</v>
      </c>
      <c r="D443">
        <f t="shared" si="18"/>
        <v>4632.9558540400003</v>
      </c>
    </row>
    <row r="444" spans="1:8">
      <c r="A444">
        <v>443</v>
      </c>
      <c r="B444">
        <v>10696</v>
      </c>
      <c r="C444">
        <f t="shared" si="17"/>
        <v>119.09271361</v>
      </c>
      <c r="D444">
        <f t="shared" si="18"/>
        <v>10576.90728639</v>
      </c>
    </row>
    <row r="445" spans="1:8">
      <c r="A445">
        <v>444</v>
      </c>
      <c r="B445">
        <v>21199</v>
      </c>
      <c r="C445">
        <f t="shared" si="17"/>
        <v>119.14097903999999</v>
      </c>
      <c r="D445">
        <f t="shared" si="18"/>
        <v>21079.859020960001</v>
      </c>
    </row>
    <row r="446" spans="1:8" ht="17.25">
      <c r="A446">
        <v>445</v>
      </c>
      <c r="B446">
        <v>27667</v>
      </c>
      <c r="C446">
        <f t="shared" si="17"/>
        <v>119.18894225</v>
      </c>
      <c r="D446">
        <f t="shared" si="18"/>
        <v>27547.811057750001</v>
      </c>
      <c r="F446">
        <v>445</v>
      </c>
      <c r="G446">
        <v>7</v>
      </c>
      <c r="H446" t="s">
        <v>163</v>
      </c>
    </row>
    <row r="447" spans="1:8">
      <c r="A447">
        <v>446</v>
      </c>
      <c r="B447">
        <v>25310</v>
      </c>
      <c r="C447">
        <f t="shared" si="17"/>
        <v>119.23660323999999</v>
      </c>
      <c r="D447">
        <f t="shared" si="18"/>
        <v>25190.763396760001</v>
      </c>
    </row>
    <row r="448" spans="1:8">
      <c r="A448">
        <v>447</v>
      </c>
      <c r="B448">
        <v>16169</v>
      </c>
      <c r="C448">
        <f t="shared" si="17"/>
        <v>119.28396201</v>
      </c>
      <c r="D448">
        <f t="shared" si="18"/>
        <v>16049.71603799</v>
      </c>
    </row>
    <row r="449" spans="1:4">
      <c r="A449">
        <v>448</v>
      </c>
      <c r="B449">
        <v>8245</v>
      </c>
      <c r="C449">
        <f t="shared" si="17"/>
        <v>119.33101856</v>
      </c>
      <c r="D449">
        <f t="shared" si="18"/>
        <v>8125.6689814399997</v>
      </c>
    </row>
    <row r="450" spans="1:4">
      <c r="A450">
        <v>449</v>
      </c>
      <c r="B450">
        <v>3968</v>
      </c>
      <c r="C450">
        <f t="shared" ref="C450:C513" si="19" xml:space="preserve"> -0.00015111*A450*A450 + 0.1823*A450 + 67.989</f>
        <v>119.37777289</v>
      </c>
      <c r="D450">
        <f t="shared" ref="D450:D513" si="20">B450-C450</f>
        <v>3848.62222711</v>
      </c>
    </row>
    <row r="451" spans="1:4">
      <c r="A451">
        <v>450</v>
      </c>
      <c r="B451">
        <v>1781</v>
      </c>
      <c r="C451">
        <f t="shared" si="19"/>
        <v>119.42422500000001</v>
      </c>
      <c r="D451">
        <f t="shared" si="20"/>
        <v>1661.575775</v>
      </c>
    </row>
    <row r="452" spans="1:4">
      <c r="A452">
        <v>451</v>
      </c>
      <c r="B452">
        <v>852</v>
      </c>
      <c r="C452">
        <f t="shared" si="19"/>
        <v>119.47037489</v>
      </c>
      <c r="D452">
        <f t="shared" si="20"/>
        <v>732.52962510999998</v>
      </c>
    </row>
    <row r="453" spans="1:4">
      <c r="A453">
        <v>452</v>
      </c>
      <c r="B453">
        <v>496</v>
      </c>
      <c r="C453">
        <f t="shared" si="19"/>
        <v>119.51622255999999</v>
      </c>
      <c r="D453">
        <f t="shared" si="20"/>
        <v>376.48377744000004</v>
      </c>
    </row>
    <row r="454" spans="1:4">
      <c r="A454">
        <v>453</v>
      </c>
      <c r="B454">
        <v>362</v>
      </c>
      <c r="C454">
        <f t="shared" si="19"/>
        <v>119.56176800999999</v>
      </c>
      <c r="D454">
        <f t="shared" si="20"/>
        <v>242.43823199000002</v>
      </c>
    </row>
    <row r="455" spans="1:4">
      <c r="A455">
        <v>454</v>
      </c>
      <c r="B455">
        <v>326</v>
      </c>
      <c r="C455">
        <f t="shared" si="19"/>
        <v>119.60701124000001</v>
      </c>
      <c r="D455">
        <f t="shared" si="20"/>
        <v>206.39298875999998</v>
      </c>
    </row>
    <row r="456" spans="1:4">
      <c r="A456">
        <v>455</v>
      </c>
      <c r="B456">
        <v>283</v>
      </c>
      <c r="C456">
        <f t="shared" si="19"/>
        <v>119.65195225000001</v>
      </c>
      <c r="D456">
        <f t="shared" si="20"/>
        <v>163.34804774999998</v>
      </c>
    </row>
    <row r="457" spans="1:4">
      <c r="A457">
        <v>456</v>
      </c>
      <c r="B457">
        <v>247</v>
      </c>
      <c r="C457">
        <f t="shared" si="19"/>
        <v>119.69659104</v>
      </c>
      <c r="D457">
        <f t="shared" si="20"/>
        <v>127.30340896</v>
      </c>
    </row>
    <row r="458" spans="1:4">
      <c r="A458">
        <v>457</v>
      </c>
      <c r="B458">
        <v>221</v>
      </c>
      <c r="C458">
        <f t="shared" si="19"/>
        <v>119.74092761</v>
      </c>
      <c r="D458">
        <f t="shared" si="20"/>
        <v>101.25907239</v>
      </c>
    </row>
    <row r="459" spans="1:4">
      <c r="A459">
        <v>458</v>
      </c>
      <c r="B459">
        <v>207</v>
      </c>
      <c r="C459">
        <f t="shared" si="19"/>
        <v>119.78496196</v>
      </c>
      <c r="D459">
        <f t="shared" si="20"/>
        <v>87.215038039999996</v>
      </c>
    </row>
    <row r="460" spans="1:4">
      <c r="A460">
        <v>459</v>
      </c>
      <c r="B460">
        <v>174</v>
      </c>
      <c r="C460">
        <f t="shared" si="19"/>
        <v>119.82869409</v>
      </c>
      <c r="D460">
        <f t="shared" si="20"/>
        <v>54.171305910000001</v>
      </c>
    </row>
    <row r="461" spans="1:4">
      <c r="A461">
        <v>460</v>
      </c>
      <c r="B461">
        <v>178</v>
      </c>
      <c r="C461">
        <f t="shared" si="19"/>
        <v>119.87212399999999</v>
      </c>
      <c r="D461">
        <f t="shared" si="20"/>
        <v>58.127876000000015</v>
      </c>
    </row>
    <row r="462" spans="1:4">
      <c r="A462">
        <v>461</v>
      </c>
      <c r="B462">
        <v>208</v>
      </c>
      <c r="C462">
        <f t="shared" si="19"/>
        <v>119.91525169000001</v>
      </c>
      <c r="D462">
        <f t="shared" si="20"/>
        <v>88.084748309999995</v>
      </c>
    </row>
    <row r="463" spans="1:4">
      <c r="A463">
        <v>462</v>
      </c>
      <c r="B463">
        <v>240</v>
      </c>
      <c r="C463">
        <f t="shared" si="19"/>
        <v>119.95807716</v>
      </c>
      <c r="D463">
        <f t="shared" si="20"/>
        <v>120.04192284</v>
      </c>
    </row>
    <row r="464" spans="1:4">
      <c r="A464">
        <v>463</v>
      </c>
      <c r="B464">
        <v>243</v>
      </c>
      <c r="C464">
        <f t="shared" si="19"/>
        <v>120.00060041</v>
      </c>
      <c r="D464">
        <f t="shared" si="20"/>
        <v>122.99939959</v>
      </c>
    </row>
    <row r="465" spans="1:4">
      <c r="A465">
        <v>464</v>
      </c>
      <c r="B465">
        <v>219</v>
      </c>
      <c r="C465">
        <f t="shared" si="19"/>
        <v>120.04282144</v>
      </c>
      <c r="D465">
        <f t="shared" si="20"/>
        <v>98.957178560000003</v>
      </c>
    </row>
    <row r="466" spans="1:4">
      <c r="A466">
        <v>465</v>
      </c>
      <c r="B466">
        <v>196</v>
      </c>
      <c r="C466">
        <f t="shared" si="19"/>
        <v>120.08474025</v>
      </c>
      <c r="D466">
        <f t="shared" si="20"/>
        <v>75.915259750000004</v>
      </c>
    </row>
    <row r="467" spans="1:4">
      <c r="A467">
        <v>466</v>
      </c>
      <c r="B467">
        <v>200</v>
      </c>
      <c r="C467">
        <f t="shared" si="19"/>
        <v>120.12635684</v>
      </c>
      <c r="D467">
        <f t="shared" si="20"/>
        <v>79.87364316</v>
      </c>
    </row>
    <row r="468" spans="1:4">
      <c r="A468">
        <v>467</v>
      </c>
      <c r="B468">
        <v>203</v>
      </c>
      <c r="C468">
        <f t="shared" si="19"/>
        <v>120.16767120999999</v>
      </c>
      <c r="D468">
        <f t="shared" si="20"/>
        <v>82.832328790000005</v>
      </c>
    </row>
    <row r="469" spans="1:4">
      <c r="A469">
        <v>468</v>
      </c>
      <c r="B469">
        <v>230</v>
      </c>
      <c r="C469">
        <f t="shared" si="19"/>
        <v>120.20868336000001</v>
      </c>
      <c r="D469">
        <f t="shared" si="20"/>
        <v>109.79131663999999</v>
      </c>
    </row>
    <row r="470" spans="1:4">
      <c r="A470">
        <v>469</v>
      </c>
      <c r="B470">
        <v>251</v>
      </c>
      <c r="C470">
        <f t="shared" si="19"/>
        <v>120.24939329</v>
      </c>
      <c r="D470">
        <f t="shared" si="20"/>
        <v>130.75060671</v>
      </c>
    </row>
    <row r="471" spans="1:4">
      <c r="A471">
        <v>470</v>
      </c>
      <c r="B471">
        <v>246</v>
      </c>
      <c r="C471">
        <f t="shared" si="19"/>
        <v>120.289801</v>
      </c>
      <c r="D471">
        <f t="shared" si="20"/>
        <v>125.710199</v>
      </c>
    </row>
    <row r="472" spans="1:4">
      <c r="A472">
        <v>471</v>
      </c>
      <c r="B472">
        <v>232</v>
      </c>
      <c r="C472">
        <f t="shared" si="19"/>
        <v>120.32990649</v>
      </c>
      <c r="D472">
        <f t="shared" si="20"/>
        <v>111.67009351</v>
      </c>
    </row>
    <row r="473" spans="1:4">
      <c r="A473">
        <v>472</v>
      </c>
      <c r="B473">
        <v>217</v>
      </c>
      <c r="C473">
        <f t="shared" si="19"/>
        <v>120.36970976000001</v>
      </c>
      <c r="D473">
        <f t="shared" si="20"/>
        <v>96.630290239999994</v>
      </c>
    </row>
    <row r="474" spans="1:4">
      <c r="A474">
        <v>473</v>
      </c>
      <c r="B474">
        <v>208</v>
      </c>
      <c r="C474">
        <f t="shared" si="19"/>
        <v>120.40921080999999</v>
      </c>
      <c r="D474">
        <f t="shared" si="20"/>
        <v>87.59078919000001</v>
      </c>
    </row>
    <row r="475" spans="1:4">
      <c r="A475">
        <v>474</v>
      </c>
      <c r="B475">
        <v>204</v>
      </c>
      <c r="C475">
        <f t="shared" si="19"/>
        <v>120.44840963999999</v>
      </c>
      <c r="D475">
        <f t="shared" si="20"/>
        <v>83.551590360000006</v>
      </c>
    </row>
    <row r="476" spans="1:4">
      <c r="A476">
        <v>475</v>
      </c>
      <c r="B476">
        <v>195</v>
      </c>
      <c r="C476">
        <f t="shared" si="19"/>
        <v>120.48730625</v>
      </c>
      <c r="D476">
        <f t="shared" si="20"/>
        <v>74.512693749999997</v>
      </c>
    </row>
    <row r="477" spans="1:4">
      <c r="A477">
        <v>476</v>
      </c>
      <c r="B477">
        <v>181</v>
      </c>
      <c r="C477">
        <f t="shared" si="19"/>
        <v>120.52590064</v>
      </c>
      <c r="D477">
        <f t="shared" si="20"/>
        <v>60.474099359999997</v>
      </c>
    </row>
    <row r="478" spans="1:4">
      <c r="A478">
        <v>477</v>
      </c>
      <c r="B478">
        <v>172</v>
      </c>
      <c r="C478">
        <f t="shared" si="19"/>
        <v>120.56419281000001</v>
      </c>
      <c r="D478">
        <f t="shared" si="20"/>
        <v>51.435807189999991</v>
      </c>
    </row>
    <row r="479" spans="1:4">
      <c r="A479">
        <v>478</v>
      </c>
      <c r="B479">
        <v>189</v>
      </c>
      <c r="C479">
        <f t="shared" si="19"/>
        <v>120.60218276000001</v>
      </c>
      <c r="D479">
        <f t="shared" si="20"/>
        <v>68.397817239999995</v>
      </c>
    </row>
    <row r="480" spans="1:4">
      <c r="A480">
        <v>479</v>
      </c>
      <c r="B480">
        <v>227</v>
      </c>
      <c r="C480">
        <f t="shared" si="19"/>
        <v>120.63987048999999</v>
      </c>
      <c r="D480">
        <f t="shared" si="20"/>
        <v>106.36012951000001</v>
      </c>
    </row>
    <row r="481" spans="1:4">
      <c r="A481">
        <v>480</v>
      </c>
      <c r="B481">
        <v>262</v>
      </c>
      <c r="C481">
        <f t="shared" si="19"/>
        <v>120.677256</v>
      </c>
      <c r="D481">
        <f t="shared" si="20"/>
        <v>141.322744</v>
      </c>
    </row>
    <row r="482" spans="1:4">
      <c r="A482">
        <v>481</v>
      </c>
      <c r="B482">
        <v>232</v>
      </c>
      <c r="C482">
        <f t="shared" si="19"/>
        <v>120.71433929</v>
      </c>
      <c r="D482">
        <f t="shared" si="20"/>
        <v>111.28566071</v>
      </c>
    </row>
    <row r="483" spans="1:4">
      <c r="A483">
        <v>482</v>
      </c>
      <c r="B483">
        <v>194</v>
      </c>
      <c r="C483">
        <f t="shared" si="19"/>
        <v>120.75112036</v>
      </c>
      <c r="D483">
        <f t="shared" si="20"/>
        <v>73.248879639999998</v>
      </c>
    </row>
    <row r="484" spans="1:4">
      <c r="A484">
        <v>483</v>
      </c>
      <c r="B484">
        <v>165</v>
      </c>
      <c r="C484">
        <f t="shared" si="19"/>
        <v>120.78759921</v>
      </c>
      <c r="D484">
        <f t="shared" si="20"/>
        <v>44.212400790000004</v>
      </c>
    </row>
    <row r="485" spans="1:4">
      <c r="A485">
        <v>484</v>
      </c>
      <c r="B485">
        <v>156</v>
      </c>
      <c r="C485">
        <f t="shared" si="19"/>
        <v>120.82377584</v>
      </c>
      <c r="D485">
        <f t="shared" si="20"/>
        <v>35.176224160000004</v>
      </c>
    </row>
    <row r="486" spans="1:4">
      <c r="A486">
        <v>485</v>
      </c>
      <c r="B486">
        <v>151</v>
      </c>
      <c r="C486">
        <f t="shared" si="19"/>
        <v>120.85965024999999</v>
      </c>
      <c r="D486">
        <f t="shared" si="20"/>
        <v>30.140349750000013</v>
      </c>
    </row>
    <row r="487" spans="1:4">
      <c r="A487">
        <v>486</v>
      </c>
      <c r="B487">
        <v>135</v>
      </c>
      <c r="C487">
        <f t="shared" si="19"/>
        <v>120.89522244</v>
      </c>
      <c r="D487">
        <f t="shared" si="20"/>
        <v>14.104777560000002</v>
      </c>
    </row>
    <row r="488" spans="1:4">
      <c r="A488">
        <v>487</v>
      </c>
      <c r="B488">
        <v>151</v>
      </c>
      <c r="C488">
        <f t="shared" si="19"/>
        <v>120.93049241</v>
      </c>
      <c r="D488">
        <f t="shared" si="20"/>
        <v>30.069507590000001</v>
      </c>
    </row>
    <row r="489" spans="1:4">
      <c r="A489">
        <v>488</v>
      </c>
      <c r="B489">
        <v>153</v>
      </c>
      <c r="C489">
        <f t="shared" si="19"/>
        <v>120.96546015999999</v>
      </c>
      <c r="D489">
        <f t="shared" si="20"/>
        <v>32.034539840000008</v>
      </c>
    </row>
    <row r="490" spans="1:4">
      <c r="A490">
        <v>489</v>
      </c>
      <c r="B490">
        <v>158</v>
      </c>
      <c r="C490">
        <f t="shared" si="19"/>
        <v>121.00012569</v>
      </c>
      <c r="D490">
        <f t="shared" si="20"/>
        <v>36.999874309999996</v>
      </c>
    </row>
    <row r="491" spans="1:4">
      <c r="A491">
        <v>490</v>
      </c>
      <c r="B491">
        <v>165</v>
      </c>
      <c r="C491">
        <f t="shared" si="19"/>
        <v>121.03448900000001</v>
      </c>
      <c r="D491">
        <f t="shared" si="20"/>
        <v>43.965510999999992</v>
      </c>
    </row>
    <row r="492" spans="1:4">
      <c r="A492">
        <v>491</v>
      </c>
      <c r="B492">
        <v>160</v>
      </c>
      <c r="C492">
        <f t="shared" si="19"/>
        <v>121.06855009</v>
      </c>
      <c r="D492">
        <f t="shared" si="20"/>
        <v>38.931449909999998</v>
      </c>
    </row>
    <row r="493" spans="1:4">
      <c r="A493">
        <v>492</v>
      </c>
      <c r="B493">
        <v>154</v>
      </c>
      <c r="C493">
        <f t="shared" si="19"/>
        <v>121.10230895999999</v>
      </c>
      <c r="D493">
        <f t="shared" si="20"/>
        <v>32.897691040000012</v>
      </c>
    </row>
    <row r="494" spans="1:4">
      <c r="A494">
        <v>493</v>
      </c>
      <c r="B494">
        <v>152</v>
      </c>
      <c r="C494">
        <f t="shared" si="19"/>
        <v>121.13576560999999</v>
      </c>
      <c r="D494">
        <f t="shared" si="20"/>
        <v>30.864234390000007</v>
      </c>
    </row>
    <row r="495" spans="1:4">
      <c r="A495">
        <v>494</v>
      </c>
      <c r="B495">
        <v>176</v>
      </c>
      <c r="C495">
        <f t="shared" si="19"/>
        <v>121.16892003999999</v>
      </c>
      <c r="D495">
        <f t="shared" si="20"/>
        <v>54.831079960000011</v>
      </c>
    </row>
    <row r="496" spans="1:4">
      <c r="A496">
        <v>495</v>
      </c>
      <c r="B496">
        <v>213</v>
      </c>
      <c r="C496">
        <f t="shared" si="19"/>
        <v>121.20177225</v>
      </c>
      <c r="D496">
        <f t="shared" si="20"/>
        <v>91.798227749999995</v>
      </c>
    </row>
    <row r="497" spans="1:4">
      <c r="A497">
        <v>496</v>
      </c>
      <c r="B497">
        <v>251</v>
      </c>
      <c r="C497">
        <f t="shared" si="19"/>
        <v>121.23432224000001</v>
      </c>
      <c r="D497">
        <f t="shared" si="20"/>
        <v>129.76567775999999</v>
      </c>
    </row>
    <row r="498" spans="1:4">
      <c r="A498">
        <v>497</v>
      </c>
      <c r="B498">
        <v>276</v>
      </c>
      <c r="C498">
        <f t="shared" si="19"/>
        <v>121.26657001</v>
      </c>
      <c r="D498">
        <f t="shared" si="20"/>
        <v>154.73342998999999</v>
      </c>
    </row>
    <row r="499" spans="1:4">
      <c r="A499">
        <v>498</v>
      </c>
      <c r="B499">
        <v>250</v>
      </c>
      <c r="C499">
        <f t="shared" si="19"/>
        <v>121.29851556</v>
      </c>
      <c r="D499">
        <f t="shared" si="20"/>
        <v>128.70148444</v>
      </c>
    </row>
    <row r="500" spans="1:4">
      <c r="A500">
        <v>499</v>
      </c>
      <c r="B500">
        <v>200</v>
      </c>
      <c r="C500">
        <f t="shared" si="19"/>
        <v>121.33015889000001</v>
      </c>
      <c r="D500">
        <f t="shared" si="20"/>
        <v>78.669841109999993</v>
      </c>
    </row>
    <row r="501" spans="1:4">
      <c r="A501">
        <v>500</v>
      </c>
      <c r="B501">
        <v>177</v>
      </c>
      <c r="C501">
        <f t="shared" si="19"/>
        <v>121.36149999999999</v>
      </c>
      <c r="D501">
        <f t="shared" si="20"/>
        <v>55.638500000000008</v>
      </c>
    </row>
    <row r="502" spans="1:4">
      <c r="A502">
        <v>501</v>
      </c>
      <c r="B502">
        <v>163</v>
      </c>
      <c r="C502">
        <f t="shared" si="19"/>
        <v>121.39253889</v>
      </c>
      <c r="D502">
        <f t="shared" si="20"/>
        <v>41.607461110000003</v>
      </c>
    </row>
    <row r="503" spans="1:4">
      <c r="A503">
        <v>502</v>
      </c>
      <c r="B503">
        <v>138</v>
      </c>
      <c r="C503">
        <f t="shared" si="19"/>
        <v>121.42327556000001</v>
      </c>
      <c r="D503">
        <f t="shared" si="20"/>
        <v>16.576724439999992</v>
      </c>
    </row>
    <row r="504" spans="1:4">
      <c r="A504">
        <v>503</v>
      </c>
      <c r="B504">
        <v>141</v>
      </c>
      <c r="C504">
        <f t="shared" si="19"/>
        <v>121.45371001000001</v>
      </c>
      <c r="D504">
        <f t="shared" si="20"/>
        <v>19.546289989999991</v>
      </c>
    </row>
    <row r="505" spans="1:4">
      <c r="A505">
        <v>504</v>
      </c>
      <c r="B505">
        <v>146</v>
      </c>
      <c r="C505">
        <f t="shared" si="19"/>
        <v>121.48384224</v>
      </c>
      <c r="D505">
        <f t="shared" si="20"/>
        <v>24.516157759999999</v>
      </c>
    </row>
    <row r="506" spans="1:4">
      <c r="A506">
        <v>505</v>
      </c>
      <c r="B506">
        <v>155</v>
      </c>
      <c r="C506">
        <f t="shared" si="19"/>
        <v>121.51367225</v>
      </c>
      <c r="D506">
        <f t="shared" si="20"/>
        <v>33.486327750000001</v>
      </c>
    </row>
    <row r="507" spans="1:4">
      <c r="A507">
        <v>506</v>
      </c>
      <c r="B507">
        <v>186</v>
      </c>
      <c r="C507">
        <f t="shared" si="19"/>
        <v>121.54320003999999</v>
      </c>
      <c r="D507">
        <f t="shared" si="20"/>
        <v>64.456799960000012</v>
      </c>
    </row>
    <row r="508" spans="1:4">
      <c r="A508">
        <v>507</v>
      </c>
      <c r="B508">
        <v>249</v>
      </c>
      <c r="C508">
        <f t="shared" si="19"/>
        <v>121.57242560999998</v>
      </c>
      <c r="D508">
        <f t="shared" si="20"/>
        <v>127.42757439000002</v>
      </c>
    </row>
    <row r="509" spans="1:4">
      <c r="A509">
        <v>508</v>
      </c>
      <c r="B509">
        <v>308</v>
      </c>
      <c r="C509">
        <f t="shared" si="19"/>
        <v>121.60134896</v>
      </c>
      <c r="D509">
        <f t="shared" si="20"/>
        <v>186.39865104</v>
      </c>
    </row>
    <row r="510" spans="1:4">
      <c r="A510">
        <v>509</v>
      </c>
      <c r="B510">
        <v>338</v>
      </c>
      <c r="C510">
        <f t="shared" si="19"/>
        <v>121.62997009</v>
      </c>
      <c r="D510">
        <f t="shared" si="20"/>
        <v>216.37002991</v>
      </c>
    </row>
    <row r="511" spans="1:4">
      <c r="A511">
        <v>510</v>
      </c>
      <c r="B511">
        <v>383</v>
      </c>
      <c r="C511">
        <f t="shared" si="19"/>
        <v>121.658289</v>
      </c>
      <c r="D511">
        <f t="shared" si="20"/>
        <v>261.34171100000003</v>
      </c>
    </row>
    <row r="512" spans="1:4">
      <c r="A512">
        <v>511</v>
      </c>
      <c r="B512">
        <v>472</v>
      </c>
      <c r="C512">
        <f t="shared" si="19"/>
        <v>121.68630569</v>
      </c>
      <c r="D512">
        <f t="shared" si="20"/>
        <v>350.31369431000002</v>
      </c>
    </row>
    <row r="513" spans="1:8">
      <c r="A513">
        <v>512</v>
      </c>
      <c r="B513">
        <v>643</v>
      </c>
      <c r="C513">
        <f t="shared" si="19"/>
        <v>121.71402015999999</v>
      </c>
      <c r="D513">
        <f t="shared" si="20"/>
        <v>521.28597983999998</v>
      </c>
    </row>
    <row r="514" spans="1:8">
      <c r="A514">
        <v>513</v>
      </c>
      <c r="B514">
        <v>849</v>
      </c>
      <c r="C514">
        <f t="shared" ref="C514:C577" si="21" xml:space="preserve"> -0.00015111*A514*A514 + 0.1823*A514 + 67.989</f>
        <v>121.74143240999999</v>
      </c>
      <c r="D514">
        <f t="shared" ref="D514:D577" si="22">B514-C514</f>
        <v>727.25856758999998</v>
      </c>
    </row>
    <row r="515" spans="1:8">
      <c r="A515">
        <v>514</v>
      </c>
      <c r="B515">
        <v>1067</v>
      </c>
      <c r="C515">
        <f t="shared" si="21"/>
        <v>121.76854243999999</v>
      </c>
      <c r="D515">
        <f t="shared" si="22"/>
        <v>945.23145755999997</v>
      </c>
    </row>
    <row r="516" spans="1:8">
      <c r="A516">
        <v>515</v>
      </c>
      <c r="B516">
        <v>1753</v>
      </c>
      <c r="C516">
        <f t="shared" si="21"/>
        <v>121.79535024999998</v>
      </c>
      <c r="D516">
        <f t="shared" si="22"/>
        <v>1631.20464975</v>
      </c>
    </row>
    <row r="517" spans="1:8">
      <c r="A517">
        <v>516</v>
      </c>
      <c r="B517">
        <v>3308</v>
      </c>
      <c r="C517">
        <f t="shared" si="21"/>
        <v>121.82185584000001</v>
      </c>
      <c r="D517">
        <f t="shared" si="22"/>
        <v>3186.1781441600001</v>
      </c>
    </row>
    <row r="518" spans="1:8">
      <c r="A518">
        <v>517</v>
      </c>
      <c r="B518">
        <v>5701</v>
      </c>
      <c r="C518">
        <f t="shared" si="21"/>
        <v>121.84805921</v>
      </c>
      <c r="D518">
        <f t="shared" si="22"/>
        <v>5579.1519407899996</v>
      </c>
    </row>
    <row r="519" spans="1:8" ht="17.25">
      <c r="A519">
        <v>518</v>
      </c>
      <c r="B519">
        <v>7266</v>
      </c>
      <c r="C519">
        <f t="shared" si="21"/>
        <v>121.87396036</v>
      </c>
      <c r="D519">
        <f t="shared" si="22"/>
        <v>7144.1260396400003</v>
      </c>
      <c r="F519">
        <v>518</v>
      </c>
      <c r="G519">
        <v>7</v>
      </c>
      <c r="H519" t="s">
        <v>164</v>
      </c>
    </row>
    <row r="520" spans="1:8">
      <c r="A520">
        <v>519</v>
      </c>
      <c r="B520">
        <v>6517</v>
      </c>
      <c r="C520">
        <f t="shared" si="21"/>
        <v>121.89955929</v>
      </c>
      <c r="D520">
        <f t="shared" si="22"/>
        <v>6395.1004407099999</v>
      </c>
    </row>
    <row r="521" spans="1:8">
      <c r="A521">
        <v>520</v>
      </c>
      <c r="B521">
        <v>4329</v>
      </c>
      <c r="C521">
        <f t="shared" si="21"/>
        <v>121.92485600000001</v>
      </c>
      <c r="D521">
        <f t="shared" si="22"/>
        <v>4207.0751440000004</v>
      </c>
    </row>
    <row r="522" spans="1:8">
      <c r="A522">
        <v>521</v>
      </c>
      <c r="B522">
        <v>2472</v>
      </c>
      <c r="C522">
        <f t="shared" si="21"/>
        <v>121.94985048999999</v>
      </c>
      <c r="D522">
        <f t="shared" si="22"/>
        <v>2350.0501495100002</v>
      </c>
    </row>
    <row r="523" spans="1:8">
      <c r="A523">
        <v>522</v>
      </c>
      <c r="B523">
        <v>1277</v>
      </c>
      <c r="C523">
        <f t="shared" si="21"/>
        <v>121.97454275999999</v>
      </c>
      <c r="D523">
        <f t="shared" si="22"/>
        <v>1155.0254572399999</v>
      </c>
    </row>
    <row r="524" spans="1:8">
      <c r="A524">
        <v>523</v>
      </c>
      <c r="B524">
        <v>594</v>
      </c>
      <c r="C524">
        <f t="shared" si="21"/>
        <v>121.99893281000001</v>
      </c>
      <c r="D524">
        <f t="shared" si="22"/>
        <v>472.00106718999996</v>
      </c>
    </row>
    <row r="525" spans="1:8">
      <c r="A525">
        <v>524</v>
      </c>
      <c r="B525">
        <v>330</v>
      </c>
      <c r="C525">
        <f t="shared" si="21"/>
        <v>122.02302064</v>
      </c>
      <c r="D525">
        <f t="shared" si="22"/>
        <v>207.97697936</v>
      </c>
    </row>
    <row r="526" spans="1:8">
      <c r="A526">
        <v>525</v>
      </c>
      <c r="B526">
        <v>239</v>
      </c>
      <c r="C526">
        <f t="shared" si="21"/>
        <v>122.04680625</v>
      </c>
      <c r="D526">
        <f t="shared" si="22"/>
        <v>116.95319375</v>
      </c>
    </row>
    <row r="527" spans="1:8">
      <c r="A527">
        <v>526</v>
      </c>
      <c r="B527">
        <v>207</v>
      </c>
      <c r="C527">
        <f t="shared" si="21"/>
        <v>122.07028964</v>
      </c>
      <c r="D527">
        <f t="shared" si="22"/>
        <v>84.929710360000001</v>
      </c>
    </row>
    <row r="528" spans="1:8">
      <c r="A528">
        <v>527</v>
      </c>
      <c r="B528">
        <v>175</v>
      </c>
      <c r="C528">
        <f t="shared" si="21"/>
        <v>122.09347081</v>
      </c>
      <c r="D528">
        <f t="shared" si="22"/>
        <v>52.906529190000001</v>
      </c>
    </row>
    <row r="529" spans="1:4">
      <c r="A529">
        <v>528</v>
      </c>
      <c r="B529">
        <v>158</v>
      </c>
      <c r="C529">
        <f t="shared" si="21"/>
        <v>122.11634975999999</v>
      </c>
      <c r="D529">
        <f t="shared" si="22"/>
        <v>35.883650240000009</v>
      </c>
    </row>
    <row r="530" spans="1:4">
      <c r="A530">
        <v>529</v>
      </c>
      <c r="B530">
        <v>154</v>
      </c>
      <c r="C530">
        <f t="shared" si="21"/>
        <v>122.13892648999999</v>
      </c>
      <c r="D530">
        <f t="shared" si="22"/>
        <v>31.861073510000011</v>
      </c>
    </row>
    <row r="531" spans="1:4">
      <c r="A531">
        <v>530</v>
      </c>
      <c r="B531">
        <v>152</v>
      </c>
      <c r="C531">
        <f t="shared" si="21"/>
        <v>122.16120100000001</v>
      </c>
      <c r="D531">
        <f t="shared" si="22"/>
        <v>29.838798999999995</v>
      </c>
    </row>
    <row r="532" spans="1:4">
      <c r="A532">
        <v>531</v>
      </c>
      <c r="B532">
        <v>148</v>
      </c>
      <c r="C532">
        <f t="shared" si="21"/>
        <v>122.18317329</v>
      </c>
      <c r="D532">
        <f t="shared" si="22"/>
        <v>25.816826710000001</v>
      </c>
    </row>
    <row r="533" spans="1:4">
      <c r="A533">
        <v>532</v>
      </c>
      <c r="B533">
        <v>146</v>
      </c>
      <c r="C533">
        <f t="shared" si="21"/>
        <v>122.20484336</v>
      </c>
      <c r="D533">
        <f t="shared" si="22"/>
        <v>23.795156640000002</v>
      </c>
    </row>
    <row r="534" spans="1:4">
      <c r="A534">
        <v>533</v>
      </c>
      <c r="B534">
        <v>156</v>
      </c>
      <c r="C534">
        <f t="shared" si="21"/>
        <v>122.22621121</v>
      </c>
      <c r="D534">
        <f t="shared" si="22"/>
        <v>33.773788789999998</v>
      </c>
    </row>
    <row r="535" spans="1:4">
      <c r="A535">
        <v>534</v>
      </c>
      <c r="B535">
        <v>152</v>
      </c>
      <c r="C535">
        <f t="shared" si="21"/>
        <v>122.24727684</v>
      </c>
      <c r="D535">
        <f t="shared" si="22"/>
        <v>29.752723160000002</v>
      </c>
    </row>
    <row r="536" spans="1:4">
      <c r="A536">
        <v>535</v>
      </c>
      <c r="B536">
        <v>143</v>
      </c>
      <c r="C536">
        <f t="shared" si="21"/>
        <v>122.26804024999998</v>
      </c>
      <c r="D536">
        <f t="shared" si="22"/>
        <v>20.731959750000016</v>
      </c>
    </row>
    <row r="537" spans="1:4">
      <c r="A537">
        <v>536</v>
      </c>
      <c r="B537">
        <v>130</v>
      </c>
      <c r="C537">
        <f t="shared" si="21"/>
        <v>122.28850144</v>
      </c>
      <c r="D537">
        <f t="shared" si="22"/>
        <v>7.7114985599999955</v>
      </c>
    </row>
    <row r="538" spans="1:4">
      <c r="A538">
        <v>537</v>
      </c>
      <c r="B538">
        <v>130</v>
      </c>
      <c r="C538">
        <f t="shared" si="21"/>
        <v>122.30866041</v>
      </c>
      <c r="D538">
        <f t="shared" si="22"/>
        <v>7.6913395899999983</v>
      </c>
    </row>
    <row r="539" spans="1:4">
      <c r="A539">
        <v>538</v>
      </c>
      <c r="B539">
        <v>142</v>
      </c>
      <c r="C539">
        <f t="shared" si="21"/>
        <v>122.32851715999999</v>
      </c>
      <c r="D539">
        <f t="shared" si="22"/>
        <v>19.67148284000001</v>
      </c>
    </row>
    <row r="540" spans="1:4">
      <c r="A540">
        <v>539</v>
      </c>
      <c r="B540">
        <v>167</v>
      </c>
      <c r="C540">
        <f t="shared" si="21"/>
        <v>122.34807169</v>
      </c>
      <c r="D540">
        <f t="shared" si="22"/>
        <v>44.651928310000002</v>
      </c>
    </row>
    <row r="541" spans="1:4">
      <c r="A541">
        <v>540</v>
      </c>
      <c r="B541">
        <v>171</v>
      </c>
      <c r="C541">
        <f t="shared" si="21"/>
        <v>122.367324</v>
      </c>
      <c r="D541">
        <f t="shared" si="22"/>
        <v>48.632676000000004</v>
      </c>
    </row>
    <row r="542" spans="1:4">
      <c r="A542">
        <v>541</v>
      </c>
      <c r="B542">
        <v>161</v>
      </c>
      <c r="C542">
        <f t="shared" si="21"/>
        <v>122.38627409</v>
      </c>
      <c r="D542">
        <f t="shared" si="22"/>
        <v>38.613725909999999</v>
      </c>
    </row>
    <row r="543" spans="1:4">
      <c r="A543">
        <v>542</v>
      </c>
      <c r="B543">
        <v>183</v>
      </c>
      <c r="C543">
        <f t="shared" si="21"/>
        <v>122.40492196</v>
      </c>
      <c r="D543">
        <f t="shared" si="22"/>
        <v>60.595078040000004</v>
      </c>
    </row>
    <row r="544" spans="1:4">
      <c r="A544">
        <v>543</v>
      </c>
      <c r="B544">
        <v>223</v>
      </c>
      <c r="C544">
        <f t="shared" si="21"/>
        <v>122.42326761000001</v>
      </c>
      <c r="D544">
        <f t="shared" si="22"/>
        <v>100.57673238999999</v>
      </c>
    </row>
    <row r="545" spans="1:4">
      <c r="A545">
        <v>544</v>
      </c>
      <c r="B545">
        <v>231</v>
      </c>
      <c r="C545">
        <f t="shared" si="21"/>
        <v>122.44131104</v>
      </c>
      <c r="D545">
        <f t="shared" si="22"/>
        <v>108.55868896</v>
      </c>
    </row>
    <row r="546" spans="1:4">
      <c r="A546">
        <v>545</v>
      </c>
      <c r="B546">
        <v>215</v>
      </c>
      <c r="C546">
        <f t="shared" si="21"/>
        <v>122.45905225</v>
      </c>
      <c r="D546">
        <f t="shared" si="22"/>
        <v>92.540947750000001</v>
      </c>
    </row>
    <row r="547" spans="1:4">
      <c r="A547">
        <v>546</v>
      </c>
      <c r="B547">
        <v>163</v>
      </c>
      <c r="C547">
        <f t="shared" si="21"/>
        <v>122.47649124</v>
      </c>
      <c r="D547">
        <f t="shared" si="22"/>
        <v>40.523508759999999</v>
      </c>
    </row>
    <row r="548" spans="1:4">
      <c r="A548">
        <v>547</v>
      </c>
      <c r="B548">
        <v>143</v>
      </c>
      <c r="C548">
        <f t="shared" si="21"/>
        <v>122.49362800999999</v>
      </c>
      <c r="D548">
        <f t="shared" si="22"/>
        <v>20.506371990000005</v>
      </c>
    </row>
    <row r="549" spans="1:4">
      <c r="A549">
        <v>548</v>
      </c>
      <c r="B549">
        <v>126</v>
      </c>
      <c r="C549">
        <f t="shared" si="21"/>
        <v>122.51046255999999</v>
      </c>
      <c r="D549">
        <f t="shared" si="22"/>
        <v>3.4895374400000065</v>
      </c>
    </row>
    <row r="550" spans="1:4">
      <c r="A550">
        <v>549</v>
      </c>
      <c r="B550">
        <v>138</v>
      </c>
      <c r="C550">
        <f t="shared" si="21"/>
        <v>122.52699489</v>
      </c>
      <c r="D550">
        <f t="shared" si="22"/>
        <v>15.473005110000003</v>
      </c>
    </row>
    <row r="551" spans="1:4">
      <c r="A551">
        <v>550</v>
      </c>
      <c r="B551">
        <v>131</v>
      </c>
      <c r="C551">
        <f t="shared" si="21"/>
        <v>122.54322500000001</v>
      </c>
      <c r="D551">
        <f t="shared" si="22"/>
        <v>8.4567749999999933</v>
      </c>
    </row>
    <row r="552" spans="1:4">
      <c r="A552">
        <v>551</v>
      </c>
      <c r="B552">
        <v>134</v>
      </c>
      <c r="C552">
        <f t="shared" si="21"/>
        <v>122.55915289000001</v>
      </c>
      <c r="D552">
        <f t="shared" si="22"/>
        <v>11.440847109999993</v>
      </c>
    </row>
    <row r="553" spans="1:4">
      <c r="A553">
        <v>552</v>
      </c>
      <c r="B553">
        <v>122</v>
      </c>
      <c r="C553">
        <f t="shared" si="21"/>
        <v>122.57477856</v>
      </c>
      <c r="D553">
        <f t="shared" si="22"/>
        <v>-0.57477855999999861</v>
      </c>
    </row>
    <row r="554" spans="1:4">
      <c r="A554">
        <v>553</v>
      </c>
      <c r="B554">
        <v>115</v>
      </c>
      <c r="C554">
        <f t="shared" si="21"/>
        <v>122.59010201</v>
      </c>
      <c r="D554">
        <f t="shared" si="22"/>
        <v>-7.5901020099999954</v>
      </c>
    </row>
    <row r="555" spans="1:4">
      <c r="A555">
        <v>554</v>
      </c>
      <c r="B555">
        <v>115</v>
      </c>
      <c r="C555">
        <f t="shared" si="21"/>
        <v>122.60512324</v>
      </c>
      <c r="D555">
        <f t="shared" si="22"/>
        <v>-7.6051232399999975</v>
      </c>
    </row>
    <row r="556" spans="1:4">
      <c r="A556">
        <v>555</v>
      </c>
      <c r="B556">
        <v>109</v>
      </c>
      <c r="C556">
        <f t="shared" si="21"/>
        <v>122.61984224999999</v>
      </c>
      <c r="D556">
        <f t="shared" si="22"/>
        <v>-13.619842249999991</v>
      </c>
    </row>
    <row r="557" spans="1:4">
      <c r="A557">
        <v>556</v>
      </c>
      <c r="B557">
        <v>114</v>
      </c>
      <c r="C557">
        <f t="shared" si="21"/>
        <v>122.63425903999999</v>
      </c>
      <c r="D557">
        <f t="shared" si="22"/>
        <v>-8.6342590399999892</v>
      </c>
    </row>
    <row r="558" spans="1:4">
      <c r="A558">
        <v>557</v>
      </c>
      <c r="B558">
        <v>132</v>
      </c>
      <c r="C558">
        <f t="shared" si="21"/>
        <v>122.64837360999999</v>
      </c>
      <c r="D558">
        <f t="shared" si="22"/>
        <v>9.3516263900000069</v>
      </c>
    </row>
    <row r="559" spans="1:4">
      <c r="A559">
        <v>558</v>
      </c>
      <c r="B559">
        <v>169</v>
      </c>
      <c r="C559">
        <f t="shared" si="21"/>
        <v>122.66218596</v>
      </c>
      <c r="D559">
        <f t="shared" si="22"/>
        <v>46.337814039999998</v>
      </c>
    </row>
    <row r="560" spans="1:4">
      <c r="A560">
        <v>559</v>
      </c>
      <c r="B560">
        <v>212</v>
      </c>
      <c r="C560">
        <f t="shared" si="21"/>
        <v>122.67569609</v>
      </c>
      <c r="D560">
        <f t="shared" si="22"/>
        <v>89.324303909999998</v>
      </c>
    </row>
    <row r="561" spans="1:4">
      <c r="A561">
        <v>560</v>
      </c>
      <c r="B561">
        <v>270</v>
      </c>
      <c r="C561">
        <f t="shared" si="21"/>
        <v>122.68890399999999</v>
      </c>
      <c r="D561">
        <f t="shared" si="22"/>
        <v>147.31109600000002</v>
      </c>
    </row>
    <row r="562" spans="1:4">
      <c r="A562">
        <v>561</v>
      </c>
      <c r="B562">
        <v>283</v>
      </c>
      <c r="C562">
        <f t="shared" si="21"/>
        <v>122.70180969</v>
      </c>
      <c r="D562">
        <f t="shared" si="22"/>
        <v>160.29819031</v>
      </c>
    </row>
    <row r="563" spans="1:4">
      <c r="A563">
        <v>562</v>
      </c>
      <c r="B563">
        <v>247</v>
      </c>
      <c r="C563">
        <f t="shared" si="21"/>
        <v>122.71441315999999</v>
      </c>
      <c r="D563">
        <f t="shared" si="22"/>
        <v>124.28558684000001</v>
      </c>
    </row>
    <row r="564" spans="1:4">
      <c r="A564">
        <v>563</v>
      </c>
      <c r="B564">
        <v>207</v>
      </c>
      <c r="C564">
        <f t="shared" si="21"/>
        <v>122.72671440999999</v>
      </c>
      <c r="D564">
        <f t="shared" si="22"/>
        <v>84.273285590000015</v>
      </c>
    </row>
    <row r="565" spans="1:4">
      <c r="A565">
        <v>564</v>
      </c>
      <c r="B565">
        <v>206</v>
      </c>
      <c r="C565">
        <f t="shared" si="21"/>
        <v>122.73871344</v>
      </c>
      <c r="D565">
        <f t="shared" si="22"/>
        <v>83.261286560000002</v>
      </c>
    </row>
    <row r="566" spans="1:4">
      <c r="A566">
        <v>565</v>
      </c>
      <c r="B566">
        <v>203</v>
      </c>
      <c r="C566">
        <f t="shared" si="21"/>
        <v>122.75041025</v>
      </c>
      <c r="D566">
        <f t="shared" si="22"/>
        <v>80.249589749999998</v>
      </c>
    </row>
    <row r="567" spans="1:4">
      <c r="A567">
        <v>566</v>
      </c>
      <c r="B567">
        <v>189</v>
      </c>
      <c r="C567">
        <f t="shared" si="21"/>
        <v>122.76180484</v>
      </c>
      <c r="D567">
        <f t="shared" si="22"/>
        <v>66.238195160000004</v>
      </c>
    </row>
    <row r="568" spans="1:4">
      <c r="A568">
        <v>567</v>
      </c>
      <c r="B568">
        <v>150</v>
      </c>
      <c r="C568">
        <f t="shared" si="21"/>
        <v>122.77289721</v>
      </c>
      <c r="D568">
        <f t="shared" si="22"/>
        <v>27.227102790000004</v>
      </c>
    </row>
    <row r="569" spans="1:4">
      <c r="A569">
        <v>568</v>
      </c>
      <c r="B569">
        <v>128</v>
      </c>
      <c r="C569">
        <f t="shared" si="21"/>
        <v>122.78368735999999</v>
      </c>
      <c r="D569">
        <f t="shared" si="22"/>
        <v>5.2163126400000124</v>
      </c>
    </row>
    <row r="570" spans="1:4">
      <c r="A570">
        <v>569</v>
      </c>
      <c r="B570">
        <v>120</v>
      </c>
      <c r="C570">
        <f t="shared" si="21"/>
        <v>122.79417528999998</v>
      </c>
      <c r="D570">
        <f t="shared" si="22"/>
        <v>-2.7941752899999841</v>
      </c>
    </row>
    <row r="571" spans="1:4">
      <c r="A571">
        <v>570</v>
      </c>
      <c r="B571">
        <v>109</v>
      </c>
      <c r="C571">
        <f t="shared" si="21"/>
        <v>122.80436099999999</v>
      </c>
      <c r="D571">
        <f t="shared" si="22"/>
        <v>-13.804360999999986</v>
      </c>
    </row>
    <row r="572" spans="1:4">
      <c r="A572">
        <v>571</v>
      </c>
      <c r="B572">
        <v>100</v>
      </c>
      <c r="C572">
        <f t="shared" si="21"/>
        <v>122.81424448999999</v>
      </c>
      <c r="D572">
        <f t="shared" si="22"/>
        <v>-22.814244489999993</v>
      </c>
    </row>
    <row r="573" spans="1:4">
      <c r="A573">
        <v>572</v>
      </c>
      <c r="B573">
        <v>100</v>
      </c>
      <c r="C573">
        <f t="shared" si="21"/>
        <v>122.82382576000001</v>
      </c>
      <c r="D573">
        <f t="shared" si="22"/>
        <v>-22.823825760000005</v>
      </c>
    </row>
    <row r="574" spans="1:4">
      <c r="A574">
        <v>573</v>
      </c>
      <c r="B574">
        <v>95</v>
      </c>
      <c r="C574">
        <f t="shared" si="21"/>
        <v>122.83310480999999</v>
      </c>
      <c r="D574">
        <f t="shared" si="22"/>
        <v>-27.833104809999995</v>
      </c>
    </row>
    <row r="575" spans="1:4">
      <c r="A575">
        <v>574</v>
      </c>
      <c r="B575">
        <v>94</v>
      </c>
      <c r="C575">
        <f t="shared" si="21"/>
        <v>122.84208164</v>
      </c>
      <c r="D575">
        <f t="shared" si="22"/>
        <v>-28.842081640000004</v>
      </c>
    </row>
    <row r="576" spans="1:4">
      <c r="A576">
        <v>575</v>
      </c>
      <c r="B576">
        <v>100</v>
      </c>
      <c r="C576">
        <f t="shared" si="21"/>
        <v>122.85075624999999</v>
      </c>
      <c r="D576">
        <f t="shared" si="22"/>
        <v>-22.850756249999989</v>
      </c>
    </row>
    <row r="577" spans="1:4">
      <c r="A577">
        <v>576</v>
      </c>
      <c r="B577">
        <v>100</v>
      </c>
      <c r="C577">
        <f t="shared" si="21"/>
        <v>122.85912863999999</v>
      </c>
      <c r="D577">
        <f t="shared" si="22"/>
        <v>-22.859128639999994</v>
      </c>
    </row>
    <row r="578" spans="1:4">
      <c r="A578">
        <v>577</v>
      </c>
      <c r="B578">
        <v>89</v>
      </c>
      <c r="C578">
        <f t="shared" ref="C578:C641" si="23" xml:space="preserve"> -0.00015111*A578*A578 + 0.1823*A578 + 67.989</f>
        <v>122.86719881</v>
      </c>
      <c r="D578">
        <f t="shared" ref="D578:D641" si="24">B578-C578</f>
        <v>-33.867198810000005</v>
      </c>
    </row>
    <row r="579" spans="1:4">
      <c r="A579">
        <v>578</v>
      </c>
      <c r="B579">
        <v>91</v>
      </c>
      <c r="C579">
        <f t="shared" si="23"/>
        <v>122.87496676000001</v>
      </c>
      <c r="D579">
        <f t="shared" si="24"/>
        <v>-31.874966760000007</v>
      </c>
    </row>
    <row r="580" spans="1:4">
      <c r="A580">
        <v>579</v>
      </c>
      <c r="B580">
        <v>101</v>
      </c>
      <c r="C580">
        <f t="shared" si="23"/>
        <v>122.88243249</v>
      </c>
      <c r="D580">
        <f t="shared" si="24"/>
        <v>-21.882432489999999</v>
      </c>
    </row>
    <row r="581" spans="1:4">
      <c r="A581">
        <v>580</v>
      </c>
      <c r="B581">
        <v>98</v>
      </c>
      <c r="C581">
        <f t="shared" si="23"/>
        <v>122.889596</v>
      </c>
      <c r="D581">
        <f t="shared" si="24"/>
        <v>-24.889595999999997</v>
      </c>
    </row>
    <row r="582" spans="1:4">
      <c r="A582">
        <v>581</v>
      </c>
      <c r="B582">
        <v>98</v>
      </c>
      <c r="C582">
        <f t="shared" si="23"/>
        <v>122.89645729</v>
      </c>
      <c r="D582">
        <f t="shared" si="24"/>
        <v>-24.896457290000001</v>
      </c>
    </row>
    <row r="583" spans="1:4">
      <c r="A583">
        <v>582</v>
      </c>
      <c r="B583">
        <v>89</v>
      </c>
      <c r="C583">
        <f t="shared" si="23"/>
        <v>122.90301636</v>
      </c>
      <c r="D583">
        <f t="shared" si="24"/>
        <v>-33.903016359999995</v>
      </c>
    </row>
    <row r="584" spans="1:4">
      <c r="A584">
        <v>583</v>
      </c>
      <c r="B584">
        <v>93</v>
      </c>
      <c r="C584">
        <f t="shared" si="23"/>
        <v>122.90927320999998</v>
      </c>
      <c r="D584">
        <f t="shared" si="24"/>
        <v>-29.909273209999981</v>
      </c>
    </row>
    <row r="585" spans="1:4">
      <c r="A585">
        <v>584</v>
      </c>
      <c r="B585">
        <v>89</v>
      </c>
      <c r="C585">
        <f t="shared" si="23"/>
        <v>122.91522784</v>
      </c>
      <c r="D585">
        <f t="shared" si="24"/>
        <v>-33.91522784</v>
      </c>
    </row>
    <row r="586" spans="1:4">
      <c r="A586">
        <v>585</v>
      </c>
      <c r="B586">
        <v>102</v>
      </c>
      <c r="C586">
        <f t="shared" si="23"/>
        <v>122.92088025000001</v>
      </c>
      <c r="D586">
        <f t="shared" si="24"/>
        <v>-20.92088025000001</v>
      </c>
    </row>
    <row r="587" spans="1:4">
      <c r="A587">
        <v>586</v>
      </c>
      <c r="B587">
        <v>113</v>
      </c>
      <c r="C587">
        <f t="shared" si="23"/>
        <v>122.92623043999998</v>
      </c>
      <c r="D587">
        <f t="shared" si="24"/>
        <v>-9.9262304399999834</v>
      </c>
    </row>
    <row r="588" spans="1:4">
      <c r="A588">
        <v>587</v>
      </c>
      <c r="B588">
        <v>114</v>
      </c>
      <c r="C588">
        <f t="shared" si="23"/>
        <v>122.93127841</v>
      </c>
      <c r="D588">
        <f t="shared" si="24"/>
        <v>-8.9312784100000044</v>
      </c>
    </row>
    <row r="589" spans="1:4">
      <c r="A589">
        <v>588</v>
      </c>
      <c r="B589">
        <v>119</v>
      </c>
      <c r="C589">
        <f t="shared" si="23"/>
        <v>122.93602415999999</v>
      </c>
      <c r="D589">
        <f t="shared" si="24"/>
        <v>-3.9360241599999881</v>
      </c>
    </row>
    <row r="590" spans="1:4">
      <c r="A590">
        <v>589</v>
      </c>
      <c r="B590">
        <v>129</v>
      </c>
      <c r="C590">
        <f t="shared" si="23"/>
        <v>122.94046768999999</v>
      </c>
      <c r="D590">
        <f t="shared" si="24"/>
        <v>6.0595323100000087</v>
      </c>
    </row>
    <row r="591" spans="1:4">
      <c r="A591">
        <v>590</v>
      </c>
      <c r="B591">
        <v>165</v>
      </c>
      <c r="C591">
        <f t="shared" si="23"/>
        <v>122.94460899999999</v>
      </c>
      <c r="D591">
        <f t="shared" si="24"/>
        <v>42.055391000000014</v>
      </c>
    </row>
    <row r="592" spans="1:4">
      <c r="A592">
        <v>591</v>
      </c>
      <c r="B592">
        <v>229</v>
      </c>
      <c r="C592">
        <f t="shared" si="23"/>
        <v>122.94844809</v>
      </c>
      <c r="D592">
        <f t="shared" si="24"/>
        <v>106.05155191</v>
      </c>
    </row>
    <row r="593" spans="1:4">
      <c r="A593">
        <v>592</v>
      </c>
      <c r="B593">
        <v>353</v>
      </c>
      <c r="C593">
        <f t="shared" si="23"/>
        <v>122.95198496</v>
      </c>
      <c r="D593">
        <f t="shared" si="24"/>
        <v>230.04801504</v>
      </c>
    </row>
    <row r="594" spans="1:4">
      <c r="A594">
        <v>593</v>
      </c>
      <c r="B594">
        <v>553</v>
      </c>
      <c r="C594">
        <f t="shared" si="23"/>
        <v>122.95521961</v>
      </c>
      <c r="D594">
        <f t="shared" si="24"/>
        <v>430.04478039000003</v>
      </c>
    </row>
    <row r="595" spans="1:4">
      <c r="A595">
        <v>594</v>
      </c>
      <c r="B595">
        <v>707</v>
      </c>
      <c r="C595">
        <f t="shared" si="23"/>
        <v>122.95815203999999</v>
      </c>
      <c r="D595">
        <f t="shared" si="24"/>
        <v>584.04184796000004</v>
      </c>
    </row>
    <row r="596" spans="1:4">
      <c r="A596">
        <v>595</v>
      </c>
      <c r="B596">
        <v>716</v>
      </c>
      <c r="C596">
        <f t="shared" si="23"/>
        <v>122.96078224999999</v>
      </c>
      <c r="D596">
        <f t="shared" si="24"/>
        <v>593.03921775000003</v>
      </c>
    </row>
    <row r="597" spans="1:4">
      <c r="A597">
        <v>596</v>
      </c>
      <c r="B597">
        <v>616</v>
      </c>
      <c r="C597">
        <f t="shared" si="23"/>
        <v>122.96311023999999</v>
      </c>
      <c r="D597">
        <f t="shared" si="24"/>
        <v>493.03688976000001</v>
      </c>
    </row>
    <row r="598" spans="1:4">
      <c r="A598">
        <v>597</v>
      </c>
      <c r="B598">
        <v>508</v>
      </c>
      <c r="C598">
        <f t="shared" si="23"/>
        <v>122.96513600999998</v>
      </c>
      <c r="D598">
        <f t="shared" si="24"/>
        <v>385.03486399000002</v>
      </c>
    </row>
    <row r="599" spans="1:4">
      <c r="A599">
        <v>598</v>
      </c>
      <c r="B599">
        <v>435</v>
      </c>
      <c r="C599">
        <f t="shared" si="23"/>
        <v>122.96685956</v>
      </c>
      <c r="D599">
        <f t="shared" si="24"/>
        <v>312.03314044000001</v>
      </c>
    </row>
    <row r="600" spans="1:4">
      <c r="A600">
        <v>599</v>
      </c>
      <c r="B600">
        <v>430</v>
      </c>
      <c r="C600">
        <f t="shared" si="23"/>
        <v>122.96828089</v>
      </c>
      <c r="D600">
        <f t="shared" si="24"/>
        <v>307.03171910999998</v>
      </c>
    </row>
    <row r="601" spans="1:4">
      <c r="A601">
        <v>600</v>
      </c>
      <c r="B601">
        <v>481</v>
      </c>
      <c r="C601">
        <f t="shared" si="23"/>
        <v>122.96939999999999</v>
      </c>
      <c r="D601">
        <f t="shared" si="24"/>
        <v>358.03059999999999</v>
      </c>
    </row>
    <row r="602" spans="1:4">
      <c r="A602">
        <v>601</v>
      </c>
      <c r="B602">
        <v>466</v>
      </c>
      <c r="C602">
        <f t="shared" si="23"/>
        <v>122.97021688999999</v>
      </c>
      <c r="D602">
        <f t="shared" si="24"/>
        <v>343.02978311000004</v>
      </c>
    </row>
    <row r="603" spans="1:4">
      <c r="A603">
        <v>602</v>
      </c>
      <c r="B603">
        <v>385</v>
      </c>
      <c r="C603">
        <f t="shared" si="23"/>
        <v>122.97073155999999</v>
      </c>
      <c r="D603">
        <f t="shared" si="24"/>
        <v>262.02926844000001</v>
      </c>
    </row>
    <row r="604" spans="1:4">
      <c r="A604">
        <v>603</v>
      </c>
      <c r="B604">
        <v>304</v>
      </c>
      <c r="C604">
        <f t="shared" si="23"/>
        <v>122.97094401</v>
      </c>
      <c r="D604">
        <f t="shared" si="24"/>
        <v>181.02905599000002</v>
      </c>
    </row>
    <row r="605" spans="1:4">
      <c r="A605">
        <v>604</v>
      </c>
      <c r="B605">
        <v>267</v>
      </c>
      <c r="C605">
        <f t="shared" si="23"/>
        <v>122.97085423999999</v>
      </c>
      <c r="D605">
        <f t="shared" si="24"/>
        <v>144.02914576000001</v>
      </c>
    </row>
    <row r="606" spans="1:4">
      <c r="A606">
        <v>605</v>
      </c>
      <c r="B606">
        <v>228</v>
      </c>
      <c r="C606">
        <f t="shared" si="23"/>
        <v>122.97046225</v>
      </c>
      <c r="D606">
        <f t="shared" si="24"/>
        <v>105.02953775</v>
      </c>
    </row>
    <row r="607" spans="1:4">
      <c r="A607">
        <v>606</v>
      </c>
      <c r="B607">
        <v>203</v>
      </c>
      <c r="C607">
        <f t="shared" si="23"/>
        <v>122.96976803999999</v>
      </c>
      <c r="D607">
        <f t="shared" si="24"/>
        <v>80.030231960000009</v>
      </c>
    </row>
    <row r="608" spans="1:4">
      <c r="A608">
        <v>607</v>
      </c>
      <c r="B608">
        <v>191</v>
      </c>
      <c r="C608">
        <f t="shared" si="23"/>
        <v>122.96877160999999</v>
      </c>
      <c r="D608">
        <f t="shared" si="24"/>
        <v>68.03122839000001</v>
      </c>
    </row>
    <row r="609" spans="1:4">
      <c r="A609">
        <v>608</v>
      </c>
      <c r="B609">
        <v>200</v>
      </c>
      <c r="C609">
        <f t="shared" si="23"/>
        <v>122.96747295999999</v>
      </c>
      <c r="D609">
        <f t="shared" si="24"/>
        <v>77.032527040000005</v>
      </c>
    </row>
    <row r="610" spans="1:4">
      <c r="A610">
        <v>609</v>
      </c>
      <c r="B610">
        <v>192</v>
      </c>
      <c r="C610">
        <f t="shared" si="23"/>
        <v>122.96587208999999</v>
      </c>
      <c r="D610">
        <f t="shared" si="24"/>
        <v>69.034127910000009</v>
      </c>
    </row>
    <row r="611" spans="1:4">
      <c r="A611">
        <v>610</v>
      </c>
      <c r="B611">
        <v>179</v>
      </c>
      <c r="C611">
        <f t="shared" si="23"/>
        <v>122.96396899999999</v>
      </c>
      <c r="D611">
        <f t="shared" si="24"/>
        <v>56.036031000000008</v>
      </c>
    </row>
    <row r="612" spans="1:4">
      <c r="A612">
        <v>611</v>
      </c>
      <c r="B612">
        <v>167</v>
      </c>
      <c r="C612">
        <f t="shared" si="23"/>
        <v>122.96176369</v>
      </c>
      <c r="D612">
        <f t="shared" si="24"/>
        <v>44.038236310000002</v>
      </c>
    </row>
    <row r="613" spans="1:4">
      <c r="A613">
        <v>612</v>
      </c>
      <c r="B613">
        <v>156</v>
      </c>
      <c r="C613">
        <f t="shared" si="23"/>
        <v>122.95925616</v>
      </c>
      <c r="D613">
        <f t="shared" si="24"/>
        <v>33.040743840000005</v>
      </c>
    </row>
    <row r="614" spans="1:4">
      <c r="A614">
        <v>613</v>
      </c>
      <c r="B614">
        <v>157</v>
      </c>
      <c r="C614">
        <f t="shared" si="23"/>
        <v>122.95644641</v>
      </c>
      <c r="D614">
        <f t="shared" si="24"/>
        <v>34.043553590000002</v>
      </c>
    </row>
    <row r="615" spans="1:4">
      <c r="A615">
        <v>614</v>
      </c>
      <c r="B615">
        <v>155</v>
      </c>
      <c r="C615">
        <f t="shared" si="23"/>
        <v>122.95333443999999</v>
      </c>
      <c r="D615">
        <f t="shared" si="24"/>
        <v>32.046665560000008</v>
      </c>
    </row>
    <row r="616" spans="1:4">
      <c r="A616">
        <v>615</v>
      </c>
      <c r="B616">
        <v>157</v>
      </c>
      <c r="C616">
        <f t="shared" si="23"/>
        <v>122.94992024999999</v>
      </c>
      <c r="D616">
        <f t="shared" si="24"/>
        <v>34.050079750000009</v>
      </c>
    </row>
    <row r="617" spans="1:4">
      <c r="A617">
        <v>616</v>
      </c>
      <c r="B617">
        <v>177</v>
      </c>
      <c r="C617">
        <f t="shared" si="23"/>
        <v>122.94620384</v>
      </c>
      <c r="D617">
        <f t="shared" si="24"/>
        <v>54.053796160000005</v>
      </c>
    </row>
    <row r="618" spans="1:4">
      <c r="A618">
        <v>617</v>
      </c>
      <c r="B618">
        <v>193</v>
      </c>
      <c r="C618">
        <f t="shared" si="23"/>
        <v>122.94218520999999</v>
      </c>
      <c r="D618">
        <f t="shared" si="24"/>
        <v>70.057814790000009</v>
      </c>
    </row>
    <row r="619" spans="1:4">
      <c r="A619">
        <v>618</v>
      </c>
      <c r="B619">
        <v>205</v>
      </c>
      <c r="C619">
        <f t="shared" si="23"/>
        <v>122.93786435999999</v>
      </c>
      <c r="D619">
        <f t="shared" si="24"/>
        <v>82.062135640000008</v>
      </c>
    </row>
    <row r="620" spans="1:4">
      <c r="A620">
        <v>619</v>
      </c>
      <c r="B620">
        <v>221</v>
      </c>
      <c r="C620">
        <f t="shared" si="23"/>
        <v>122.93324129</v>
      </c>
      <c r="D620">
        <f t="shared" si="24"/>
        <v>98.066758710000002</v>
      </c>
    </row>
    <row r="621" spans="1:4">
      <c r="A621">
        <v>620</v>
      </c>
      <c r="B621">
        <v>215</v>
      </c>
      <c r="C621">
        <f t="shared" si="23"/>
        <v>122.928316</v>
      </c>
      <c r="D621">
        <f t="shared" si="24"/>
        <v>92.071684000000005</v>
      </c>
    </row>
    <row r="622" spans="1:4">
      <c r="A622">
        <v>621</v>
      </c>
      <c r="B622">
        <v>237</v>
      </c>
      <c r="C622">
        <f t="shared" si="23"/>
        <v>122.92308849</v>
      </c>
      <c r="D622">
        <f t="shared" si="24"/>
        <v>114.07691151</v>
      </c>
    </row>
    <row r="623" spans="1:4">
      <c r="A623">
        <v>622</v>
      </c>
      <c r="B623">
        <v>300</v>
      </c>
      <c r="C623">
        <f t="shared" si="23"/>
        <v>122.91755875999999</v>
      </c>
      <c r="D623">
        <f t="shared" si="24"/>
        <v>177.08244124000001</v>
      </c>
    </row>
    <row r="624" spans="1:4">
      <c r="A624">
        <v>623</v>
      </c>
      <c r="B624">
        <v>390</v>
      </c>
      <c r="C624">
        <f t="shared" si="23"/>
        <v>122.91172680999999</v>
      </c>
      <c r="D624">
        <f t="shared" si="24"/>
        <v>267.08827319</v>
      </c>
    </row>
    <row r="625" spans="1:4">
      <c r="A625">
        <v>624</v>
      </c>
      <c r="B625">
        <v>480</v>
      </c>
      <c r="C625">
        <f t="shared" si="23"/>
        <v>122.90559263999998</v>
      </c>
      <c r="D625">
        <f t="shared" si="24"/>
        <v>357.09440735999999</v>
      </c>
    </row>
    <row r="626" spans="1:4">
      <c r="A626">
        <v>625</v>
      </c>
      <c r="B626">
        <v>502</v>
      </c>
      <c r="C626">
        <f t="shared" si="23"/>
        <v>122.89915625</v>
      </c>
      <c r="D626">
        <f t="shared" si="24"/>
        <v>379.10084374999997</v>
      </c>
    </row>
    <row r="627" spans="1:4">
      <c r="A627">
        <v>626</v>
      </c>
      <c r="B627">
        <v>459</v>
      </c>
      <c r="C627">
        <f t="shared" si="23"/>
        <v>122.89241763999999</v>
      </c>
      <c r="D627">
        <f t="shared" si="24"/>
        <v>336.10758236000004</v>
      </c>
    </row>
    <row r="628" spans="1:4">
      <c r="A628">
        <v>627</v>
      </c>
      <c r="B628">
        <v>417</v>
      </c>
      <c r="C628">
        <f t="shared" si="23"/>
        <v>122.88537681</v>
      </c>
      <c r="D628">
        <f t="shared" si="24"/>
        <v>294.11462318999997</v>
      </c>
    </row>
    <row r="629" spans="1:4">
      <c r="A629">
        <v>628</v>
      </c>
      <c r="B629">
        <v>358</v>
      </c>
      <c r="C629">
        <f t="shared" si="23"/>
        <v>122.87803375999999</v>
      </c>
      <c r="D629">
        <f t="shared" si="24"/>
        <v>235.12196624000001</v>
      </c>
    </row>
    <row r="630" spans="1:4">
      <c r="A630">
        <v>629</v>
      </c>
      <c r="B630">
        <v>318</v>
      </c>
      <c r="C630">
        <f t="shared" si="23"/>
        <v>122.87038849</v>
      </c>
      <c r="D630">
        <f t="shared" si="24"/>
        <v>195.12961151000002</v>
      </c>
    </row>
    <row r="631" spans="1:4">
      <c r="A631">
        <v>630</v>
      </c>
      <c r="B631">
        <v>291</v>
      </c>
      <c r="C631">
        <f t="shared" si="23"/>
        <v>122.86244099999999</v>
      </c>
      <c r="D631">
        <f t="shared" si="24"/>
        <v>168.13755900000001</v>
      </c>
    </row>
    <row r="632" spans="1:4">
      <c r="A632">
        <v>631</v>
      </c>
      <c r="B632">
        <v>279</v>
      </c>
      <c r="C632">
        <f t="shared" si="23"/>
        <v>122.85419128999999</v>
      </c>
      <c r="D632">
        <f t="shared" si="24"/>
        <v>156.14580871000001</v>
      </c>
    </row>
    <row r="633" spans="1:4">
      <c r="A633">
        <v>632</v>
      </c>
      <c r="B633">
        <v>274</v>
      </c>
      <c r="C633">
        <f t="shared" si="23"/>
        <v>122.84563936000001</v>
      </c>
      <c r="D633">
        <f t="shared" si="24"/>
        <v>151.15436063999999</v>
      </c>
    </row>
    <row r="634" spans="1:4">
      <c r="A634">
        <v>633</v>
      </c>
      <c r="B634">
        <v>248</v>
      </c>
      <c r="C634">
        <f t="shared" si="23"/>
        <v>122.83678521</v>
      </c>
      <c r="D634">
        <f t="shared" si="24"/>
        <v>125.16321479</v>
      </c>
    </row>
    <row r="635" spans="1:4">
      <c r="A635">
        <v>634</v>
      </c>
      <c r="B635">
        <v>236</v>
      </c>
      <c r="C635">
        <f t="shared" si="23"/>
        <v>122.82762883999999</v>
      </c>
      <c r="D635">
        <f t="shared" si="24"/>
        <v>113.17237116000001</v>
      </c>
    </row>
    <row r="636" spans="1:4">
      <c r="A636">
        <v>635</v>
      </c>
      <c r="B636">
        <v>226</v>
      </c>
      <c r="C636">
        <f t="shared" si="23"/>
        <v>122.81817024999999</v>
      </c>
      <c r="D636">
        <f t="shared" si="24"/>
        <v>103.18182975000001</v>
      </c>
    </row>
    <row r="637" spans="1:4">
      <c r="A637">
        <v>636</v>
      </c>
      <c r="B637">
        <v>228</v>
      </c>
      <c r="C637">
        <f t="shared" si="23"/>
        <v>122.80840943999999</v>
      </c>
      <c r="D637">
        <f t="shared" si="24"/>
        <v>105.19159056000001</v>
      </c>
    </row>
    <row r="638" spans="1:4">
      <c r="A638">
        <v>637</v>
      </c>
      <c r="B638">
        <v>260</v>
      </c>
      <c r="C638">
        <f t="shared" si="23"/>
        <v>122.79834640999999</v>
      </c>
      <c r="D638">
        <f t="shared" si="24"/>
        <v>137.20165359000001</v>
      </c>
    </row>
    <row r="639" spans="1:4">
      <c r="A639">
        <v>638</v>
      </c>
      <c r="B639">
        <v>342</v>
      </c>
      <c r="C639">
        <f t="shared" si="23"/>
        <v>122.78798115999999</v>
      </c>
      <c r="D639">
        <f t="shared" si="24"/>
        <v>219.21201884000001</v>
      </c>
    </row>
    <row r="640" spans="1:4">
      <c r="A640">
        <v>639</v>
      </c>
      <c r="B640">
        <v>434</v>
      </c>
      <c r="C640">
        <f t="shared" si="23"/>
        <v>122.77731369</v>
      </c>
      <c r="D640">
        <f t="shared" si="24"/>
        <v>311.22268630999997</v>
      </c>
    </row>
    <row r="641" spans="1:4">
      <c r="A641">
        <v>640</v>
      </c>
      <c r="B641">
        <v>498</v>
      </c>
      <c r="C641">
        <f t="shared" si="23"/>
        <v>122.766344</v>
      </c>
      <c r="D641">
        <f t="shared" si="24"/>
        <v>375.233656</v>
      </c>
    </row>
    <row r="642" spans="1:4">
      <c r="A642">
        <v>641</v>
      </c>
      <c r="B642">
        <v>490</v>
      </c>
      <c r="C642">
        <f t="shared" ref="C642:C705" si="25" xml:space="preserve"> -0.00015111*A642*A642 + 0.1823*A642 + 67.989</f>
        <v>122.75507209</v>
      </c>
      <c r="D642">
        <f t="shared" ref="D642:D705" si="26">B642-C642</f>
        <v>367.24492791</v>
      </c>
    </row>
    <row r="643" spans="1:4">
      <c r="A643">
        <v>642</v>
      </c>
      <c r="B643">
        <v>459</v>
      </c>
      <c r="C643">
        <f t="shared" si="25"/>
        <v>122.74349795999998</v>
      </c>
      <c r="D643">
        <f t="shared" si="26"/>
        <v>336.25650203999999</v>
      </c>
    </row>
    <row r="644" spans="1:4">
      <c r="A644">
        <v>643</v>
      </c>
      <c r="B644">
        <v>427</v>
      </c>
      <c r="C644">
        <f t="shared" si="25"/>
        <v>122.73162160999999</v>
      </c>
      <c r="D644">
        <f t="shared" si="26"/>
        <v>304.26837839000001</v>
      </c>
    </row>
    <row r="645" spans="1:4">
      <c r="A645">
        <v>644</v>
      </c>
      <c r="B645">
        <v>382</v>
      </c>
      <c r="C645">
        <f t="shared" si="25"/>
        <v>122.71944303999999</v>
      </c>
      <c r="D645">
        <f t="shared" si="26"/>
        <v>259.28055696000001</v>
      </c>
    </row>
    <row r="646" spans="1:4">
      <c r="A646">
        <v>645</v>
      </c>
      <c r="B646">
        <v>358</v>
      </c>
      <c r="C646">
        <f t="shared" si="25"/>
        <v>122.70696224999998</v>
      </c>
      <c r="D646">
        <f t="shared" si="26"/>
        <v>235.29303775000002</v>
      </c>
    </row>
    <row r="647" spans="1:4">
      <c r="A647">
        <v>646</v>
      </c>
      <c r="B647">
        <v>364</v>
      </c>
      <c r="C647">
        <f t="shared" si="25"/>
        <v>122.69417924</v>
      </c>
      <c r="D647">
        <f t="shared" si="26"/>
        <v>241.30582076000002</v>
      </c>
    </row>
    <row r="648" spans="1:4">
      <c r="A648">
        <v>647</v>
      </c>
      <c r="B648">
        <v>376</v>
      </c>
      <c r="C648">
        <f t="shared" si="25"/>
        <v>122.68109401000001</v>
      </c>
      <c r="D648">
        <f t="shared" si="26"/>
        <v>253.31890598999999</v>
      </c>
    </row>
    <row r="649" spans="1:4">
      <c r="A649">
        <v>648</v>
      </c>
      <c r="B649">
        <v>424</v>
      </c>
      <c r="C649">
        <f t="shared" si="25"/>
        <v>122.66770656</v>
      </c>
      <c r="D649">
        <f t="shared" si="26"/>
        <v>301.33229344</v>
      </c>
    </row>
    <row r="650" spans="1:4">
      <c r="A650">
        <v>649</v>
      </c>
      <c r="B650">
        <v>432</v>
      </c>
      <c r="C650">
        <f t="shared" si="25"/>
        <v>122.65401688999999</v>
      </c>
      <c r="D650">
        <f t="shared" si="26"/>
        <v>309.34598311000002</v>
      </c>
    </row>
    <row r="651" spans="1:4">
      <c r="A651">
        <v>650</v>
      </c>
      <c r="B651">
        <v>409</v>
      </c>
      <c r="C651">
        <f t="shared" si="25"/>
        <v>122.64002499999999</v>
      </c>
      <c r="D651">
        <f t="shared" si="26"/>
        <v>286.35997500000002</v>
      </c>
    </row>
    <row r="652" spans="1:4">
      <c r="A652">
        <v>651</v>
      </c>
      <c r="B652">
        <v>385</v>
      </c>
      <c r="C652">
        <f t="shared" si="25"/>
        <v>122.62573089</v>
      </c>
      <c r="D652">
        <f t="shared" si="26"/>
        <v>262.37426911</v>
      </c>
    </row>
    <row r="653" spans="1:4">
      <c r="A653">
        <v>652</v>
      </c>
      <c r="B653">
        <v>385</v>
      </c>
      <c r="C653">
        <f t="shared" si="25"/>
        <v>122.61113456</v>
      </c>
      <c r="D653">
        <f t="shared" si="26"/>
        <v>262.38886544000002</v>
      </c>
    </row>
    <row r="654" spans="1:4">
      <c r="A654">
        <v>653</v>
      </c>
      <c r="B654">
        <v>357</v>
      </c>
      <c r="C654">
        <f t="shared" si="25"/>
        <v>122.59623601</v>
      </c>
      <c r="D654">
        <f t="shared" si="26"/>
        <v>234.40376399000002</v>
      </c>
    </row>
    <row r="655" spans="1:4">
      <c r="A655">
        <v>654</v>
      </c>
      <c r="B655">
        <v>328</v>
      </c>
      <c r="C655">
        <f t="shared" si="25"/>
        <v>122.58103524000001</v>
      </c>
      <c r="D655">
        <f t="shared" si="26"/>
        <v>205.41896475999999</v>
      </c>
    </row>
    <row r="656" spans="1:4">
      <c r="A656">
        <v>655</v>
      </c>
      <c r="B656">
        <v>285</v>
      </c>
      <c r="C656">
        <f t="shared" si="25"/>
        <v>122.56553224999999</v>
      </c>
      <c r="D656">
        <f t="shared" si="26"/>
        <v>162.43446775000001</v>
      </c>
    </row>
    <row r="657" spans="1:8">
      <c r="A657">
        <v>656</v>
      </c>
      <c r="B657">
        <v>264</v>
      </c>
      <c r="C657">
        <f t="shared" si="25"/>
        <v>122.54972703999999</v>
      </c>
      <c r="D657">
        <f t="shared" si="26"/>
        <v>141.45027296000001</v>
      </c>
    </row>
    <row r="658" spans="1:8">
      <c r="A658">
        <v>657</v>
      </c>
      <c r="B658">
        <v>263</v>
      </c>
      <c r="C658">
        <f t="shared" si="25"/>
        <v>122.53361960999999</v>
      </c>
      <c r="D658">
        <f t="shared" si="26"/>
        <v>140.46638039000001</v>
      </c>
    </row>
    <row r="659" spans="1:8">
      <c r="A659">
        <v>658</v>
      </c>
      <c r="B659">
        <v>258</v>
      </c>
      <c r="C659">
        <f t="shared" si="25"/>
        <v>122.51720995999999</v>
      </c>
      <c r="D659">
        <f t="shared" si="26"/>
        <v>135.48279004</v>
      </c>
    </row>
    <row r="660" spans="1:8">
      <c r="A660">
        <v>659</v>
      </c>
      <c r="B660">
        <v>260</v>
      </c>
      <c r="C660">
        <f t="shared" si="25"/>
        <v>122.50049808999999</v>
      </c>
      <c r="D660">
        <f t="shared" si="26"/>
        <v>137.49950190999999</v>
      </c>
    </row>
    <row r="661" spans="1:8">
      <c r="A661">
        <v>660</v>
      </c>
      <c r="B661">
        <v>292</v>
      </c>
      <c r="C661">
        <f t="shared" si="25"/>
        <v>122.483484</v>
      </c>
      <c r="D661">
        <f t="shared" si="26"/>
        <v>169.516516</v>
      </c>
    </row>
    <row r="662" spans="1:8">
      <c r="A662">
        <v>661</v>
      </c>
      <c r="B662">
        <v>367</v>
      </c>
      <c r="C662">
        <f t="shared" si="25"/>
        <v>122.46616769000001</v>
      </c>
      <c r="D662">
        <f t="shared" si="26"/>
        <v>244.53383230999998</v>
      </c>
    </row>
    <row r="663" spans="1:8">
      <c r="A663">
        <v>662</v>
      </c>
      <c r="B663">
        <v>513</v>
      </c>
      <c r="C663">
        <f t="shared" si="25"/>
        <v>122.44854915999998</v>
      </c>
      <c r="D663">
        <f t="shared" si="26"/>
        <v>390.55145084000003</v>
      </c>
    </row>
    <row r="664" spans="1:8">
      <c r="A664">
        <v>663</v>
      </c>
      <c r="B664">
        <v>700</v>
      </c>
      <c r="C664">
        <f t="shared" si="25"/>
        <v>122.43062841</v>
      </c>
      <c r="D664">
        <f t="shared" si="26"/>
        <v>577.56937158999995</v>
      </c>
    </row>
    <row r="665" spans="1:8">
      <c r="A665">
        <v>664</v>
      </c>
      <c r="B665">
        <v>925</v>
      </c>
      <c r="C665">
        <f t="shared" si="25"/>
        <v>122.41240543999999</v>
      </c>
      <c r="D665">
        <f t="shared" si="26"/>
        <v>802.58759456000007</v>
      </c>
    </row>
    <row r="666" spans="1:8" ht="17.25">
      <c r="A666">
        <v>665</v>
      </c>
      <c r="B666">
        <v>1012</v>
      </c>
      <c r="C666">
        <f t="shared" si="25"/>
        <v>122.39388024999998</v>
      </c>
      <c r="D666">
        <f t="shared" si="26"/>
        <v>889.60611975000006</v>
      </c>
      <c r="F666">
        <v>665</v>
      </c>
      <c r="G666">
        <v>5</v>
      </c>
      <c r="H666" t="s">
        <v>165</v>
      </c>
    </row>
    <row r="667" spans="1:8">
      <c r="A667">
        <v>666</v>
      </c>
      <c r="B667">
        <v>889</v>
      </c>
      <c r="C667">
        <f t="shared" si="25"/>
        <v>122.37505284</v>
      </c>
      <c r="D667">
        <f t="shared" si="26"/>
        <v>766.62494716000003</v>
      </c>
    </row>
    <row r="668" spans="1:8">
      <c r="A668">
        <v>667</v>
      </c>
      <c r="B668">
        <v>675</v>
      </c>
      <c r="C668">
        <f t="shared" si="25"/>
        <v>122.35592321</v>
      </c>
      <c r="D668">
        <f t="shared" si="26"/>
        <v>552.64407678999999</v>
      </c>
    </row>
    <row r="669" spans="1:8">
      <c r="A669">
        <v>668</v>
      </c>
      <c r="B669">
        <v>516</v>
      </c>
      <c r="C669">
        <f t="shared" si="25"/>
        <v>122.33649136</v>
      </c>
      <c r="D669">
        <f t="shared" si="26"/>
        <v>393.66350864000003</v>
      </c>
    </row>
    <row r="670" spans="1:8">
      <c r="A670">
        <v>669</v>
      </c>
      <c r="B670">
        <v>435</v>
      </c>
      <c r="C670">
        <f t="shared" si="25"/>
        <v>122.31675728999998</v>
      </c>
      <c r="D670">
        <f t="shared" si="26"/>
        <v>312.68324271</v>
      </c>
    </row>
    <row r="671" spans="1:8">
      <c r="A671">
        <v>670</v>
      </c>
      <c r="B671">
        <v>457</v>
      </c>
      <c r="C671">
        <f t="shared" si="25"/>
        <v>122.29672099999999</v>
      </c>
      <c r="D671">
        <f t="shared" si="26"/>
        <v>334.70327900000001</v>
      </c>
    </row>
    <row r="672" spans="1:8">
      <c r="A672">
        <v>671</v>
      </c>
      <c r="B672">
        <v>485</v>
      </c>
      <c r="C672">
        <f t="shared" si="25"/>
        <v>122.27638248999999</v>
      </c>
      <c r="D672">
        <f t="shared" si="26"/>
        <v>362.72361751</v>
      </c>
    </row>
    <row r="673" spans="1:4">
      <c r="A673">
        <v>672</v>
      </c>
      <c r="B673">
        <v>518</v>
      </c>
      <c r="C673">
        <f t="shared" si="25"/>
        <v>122.25574175999998</v>
      </c>
      <c r="D673">
        <f t="shared" si="26"/>
        <v>395.74425824000002</v>
      </c>
    </row>
    <row r="674" spans="1:4">
      <c r="A674">
        <v>673</v>
      </c>
      <c r="B674">
        <v>508</v>
      </c>
      <c r="C674">
        <f t="shared" si="25"/>
        <v>122.23479881</v>
      </c>
      <c r="D674">
        <f t="shared" si="26"/>
        <v>385.76520118999997</v>
      </c>
    </row>
    <row r="675" spans="1:4">
      <c r="A675">
        <v>674</v>
      </c>
      <c r="B675">
        <v>476</v>
      </c>
      <c r="C675">
        <f t="shared" si="25"/>
        <v>122.21355364</v>
      </c>
      <c r="D675">
        <f t="shared" si="26"/>
        <v>353.78644636000001</v>
      </c>
    </row>
    <row r="676" spans="1:4">
      <c r="A676">
        <v>675</v>
      </c>
      <c r="B676">
        <v>469</v>
      </c>
      <c r="C676">
        <f t="shared" si="25"/>
        <v>122.19200625000001</v>
      </c>
      <c r="D676">
        <f t="shared" si="26"/>
        <v>346.80799374999998</v>
      </c>
    </row>
    <row r="677" spans="1:4">
      <c r="A677">
        <v>676</v>
      </c>
      <c r="B677">
        <v>454</v>
      </c>
      <c r="C677">
        <f t="shared" si="25"/>
        <v>122.17015663999999</v>
      </c>
      <c r="D677">
        <f t="shared" si="26"/>
        <v>331.82984336000004</v>
      </c>
    </row>
    <row r="678" spans="1:4">
      <c r="A678">
        <v>677</v>
      </c>
      <c r="B678">
        <v>421</v>
      </c>
      <c r="C678">
        <f t="shared" si="25"/>
        <v>122.14800480999999</v>
      </c>
      <c r="D678">
        <f t="shared" si="26"/>
        <v>298.85199519000003</v>
      </c>
    </row>
    <row r="679" spans="1:4">
      <c r="A679">
        <v>678</v>
      </c>
      <c r="B679">
        <v>393</v>
      </c>
      <c r="C679">
        <f t="shared" si="25"/>
        <v>122.12555076</v>
      </c>
      <c r="D679">
        <f t="shared" si="26"/>
        <v>270.87444923999999</v>
      </c>
    </row>
    <row r="680" spans="1:4">
      <c r="A680">
        <v>679</v>
      </c>
      <c r="B680">
        <v>377</v>
      </c>
      <c r="C680">
        <f t="shared" si="25"/>
        <v>122.10279448999998</v>
      </c>
      <c r="D680">
        <f t="shared" si="26"/>
        <v>254.89720551000002</v>
      </c>
    </row>
    <row r="681" spans="1:4">
      <c r="A681">
        <v>680</v>
      </c>
      <c r="B681">
        <v>377</v>
      </c>
      <c r="C681">
        <f t="shared" si="25"/>
        <v>122.079736</v>
      </c>
      <c r="D681">
        <f t="shared" si="26"/>
        <v>254.920264</v>
      </c>
    </row>
    <row r="682" spans="1:4">
      <c r="A682">
        <v>681</v>
      </c>
      <c r="B682">
        <v>367</v>
      </c>
      <c r="C682">
        <f t="shared" si="25"/>
        <v>122.05637529000001</v>
      </c>
      <c r="D682">
        <f t="shared" si="26"/>
        <v>244.94362470999999</v>
      </c>
    </row>
    <row r="683" spans="1:4">
      <c r="A683">
        <v>682</v>
      </c>
      <c r="B683">
        <v>421</v>
      </c>
      <c r="C683">
        <f t="shared" si="25"/>
        <v>122.03271236</v>
      </c>
      <c r="D683">
        <f t="shared" si="26"/>
        <v>298.96728764</v>
      </c>
    </row>
    <row r="684" spans="1:4">
      <c r="A684">
        <v>683</v>
      </c>
      <c r="B684">
        <v>501</v>
      </c>
      <c r="C684">
        <f t="shared" si="25"/>
        <v>122.00874721</v>
      </c>
      <c r="D684">
        <f t="shared" si="26"/>
        <v>378.99125278999998</v>
      </c>
    </row>
    <row r="685" spans="1:4">
      <c r="A685">
        <v>684</v>
      </c>
      <c r="B685">
        <v>551</v>
      </c>
      <c r="C685">
        <f t="shared" si="25"/>
        <v>121.98447983999999</v>
      </c>
      <c r="D685">
        <f t="shared" si="26"/>
        <v>429.01552015999999</v>
      </c>
    </row>
    <row r="686" spans="1:4">
      <c r="A686">
        <v>685</v>
      </c>
      <c r="B686">
        <v>597</v>
      </c>
      <c r="C686">
        <f t="shared" si="25"/>
        <v>121.95991024999999</v>
      </c>
      <c r="D686">
        <f t="shared" si="26"/>
        <v>475.04008974999999</v>
      </c>
    </row>
    <row r="687" spans="1:4">
      <c r="A687">
        <v>686</v>
      </c>
      <c r="B687">
        <v>705</v>
      </c>
      <c r="C687">
        <f t="shared" si="25"/>
        <v>121.93503843999999</v>
      </c>
      <c r="D687">
        <f t="shared" si="26"/>
        <v>583.06496156000003</v>
      </c>
    </row>
    <row r="688" spans="1:4">
      <c r="A688">
        <v>687</v>
      </c>
      <c r="B688">
        <v>923</v>
      </c>
      <c r="C688">
        <f t="shared" si="25"/>
        <v>121.90986441</v>
      </c>
      <c r="D688">
        <f t="shared" si="26"/>
        <v>801.09013559000005</v>
      </c>
    </row>
    <row r="689" spans="1:8">
      <c r="A689">
        <v>688</v>
      </c>
      <c r="B689">
        <v>1486</v>
      </c>
      <c r="C689">
        <f t="shared" si="25"/>
        <v>121.88438816</v>
      </c>
      <c r="D689">
        <f t="shared" si="26"/>
        <v>1364.1156118399999</v>
      </c>
    </row>
    <row r="690" spans="1:8">
      <c r="A690">
        <v>689</v>
      </c>
      <c r="B690">
        <v>2885</v>
      </c>
      <c r="C690">
        <f t="shared" si="25"/>
        <v>121.85860968999999</v>
      </c>
      <c r="D690">
        <f t="shared" si="26"/>
        <v>2763.1413903100001</v>
      </c>
    </row>
    <row r="691" spans="1:8">
      <c r="A691">
        <v>690</v>
      </c>
      <c r="B691">
        <v>5128</v>
      </c>
      <c r="C691">
        <f t="shared" si="25"/>
        <v>121.83252899999999</v>
      </c>
      <c r="D691">
        <f t="shared" si="26"/>
        <v>5006.1674709999998</v>
      </c>
    </row>
    <row r="692" spans="1:8">
      <c r="A692">
        <v>691</v>
      </c>
      <c r="B692">
        <v>7272</v>
      </c>
      <c r="C692">
        <f t="shared" si="25"/>
        <v>121.80614608999998</v>
      </c>
      <c r="D692">
        <f t="shared" si="26"/>
        <v>7150.1938539100001</v>
      </c>
    </row>
    <row r="693" spans="1:8" ht="17.25">
      <c r="A693">
        <v>692</v>
      </c>
      <c r="B693">
        <v>7498</v>
      </c>
      <c r="C693">
        <f t="shared" si="25"/>
        <v>121.77946095999999</v>
      </c>
      <c r="D693">
        <f t="shared" si="26"/>
        <v>7376.2205390400004</v>
      </c>
      <c r="F693">
        <v>691.5</v>
      </c>
      <c r="G693">
        <v>6</v>
      </c>
      <c r="H693" t="s">
        <v>166</v>
      </c>
    </row>
    <row r="694" spans="1:8">
      <c r="A694">
        <v>693</v>
      </c>
      <c r="B694">
        <v>6063</v>
      </c>
      <c r="C694">
        <f t="shared" si="25"/>
        <v>121.75247361</v>
      </c>
      <c r="D694">
        <f t="shared" si="26"/>
        <v>5941.2475263899996</v>
      </c>
    </row>
    <row r="695" spans="1:8">
      <c r="A695">
        <v>694</v>
      </c>
      <c r="B695">
        <v>4156</v>
      </c>
      <c r="C695">
        <f t="shared" si="25"/>
        <v>121.72518404</v>
      </c>
      <c r="D695">
        <f t="shared" si="26"/>
        <v>4034.2748159600001</v>
      </c>
    </row>
    <row r="696" spans="1:8">
      <c r="A696">
        <v>695</v>
      </c>
      <c r="B696">
        <v>2578</v>
      </c>
      <c r="C696">
        <f t="shared" si="25"/>
        <v>121.69759225</v>
      </c>
      <c r="D696">
        <f t="shared" si="26"/>
        <v>2456.3024077499999</v>
      </c>
    </row>
    <row r="697" spans="1:8">
      <c r="A697">
        <v>696</v>
      </c>
      <c r="B697">
        <v>1372</v>
      </c>
      <c r="C697">
        <f t="shared" si="25"/>
        <v>121.66969823999999</v>
      </c>
      <c r="D697">
        <f t="shared" si="26"/>
        <v>1250.3303017600001</v>
      </c>
    </row>
    <row r="698" spans="1:8">
      <c r="A698">
        <v>697</v>
      </c>
      <c r="B698">
        <v>734</v>
      </c>
      <c r="C698">
        <f t="shared" si="25"/>
        <v>121.64150201</v>
      </c>
      <c r="D698">
        <f t="shared" si="26"/>
        <v>612.35849799000005</v>
      </c>
    </row>
    <row r="699" spans="1:8">
      <c r="A699">
        <v>698</v>
      </c>
      <c r="B699">
        <v>477</v>
      </c>
      <c r="C699">
        <f t="shared" si="25"/>
        <v>121.61300356</v>
      </c>
      <c r="D699">
        <f t="shared" si="26"/>
        <v>355.38699644000002</v>
      </c>
    </row>
    <row r="700" spans="1:8">
      <c r="A700">
        <v>699</v>
      </c>
      <c r="B700">
        <v>399</v>
      </c>
      <c r="C700">
        <f t="shared" si="25"/>
        <v>121.58420288999999</v>
      </c>
      <c r="D700">
        <f t="shared" si="26"/>
        <v>277.41579711000003</v>
      </c>
    </row>
    <row r="701" spans="1:8">
      <c r="A701">
        <v>700</v>
      </c>
      <c r="B701">
        <v>374</v>
      </c>
      <c r="C701">
        <f t="shared" si="25"/>
        <v>121.5551</v>
      </c>
      <c r="D701">
        <f t="shared" si="26"/>
        <v>252.44490000000002</v>
      </c>
    </row>
    <row r="702" spans="1:8">
      <c r="A702">
        <v>701</v>
      </c>
      <c r="B702">
        <v>351</v>
      </c>
      <c r="C702">
        <f t="shared" si="25"/>
        <v>121.52569489</v>
      </c>
      <c r="D702">
        <f t="shared" si="26"/>
        <v>229.47430510999999</v>
      </c>
    </row>
    <row r="703" spans="1:8">
      <c r="A703">
        <v>702</v>
      </c>
      <c r="B703">
        <v>343</v>
      </c>
      <c r="C703">
        <f t="shared" si="25"/>
        <v>121.49598756</v>
      </c>
      <c r="D703">
        <f t="shared" si="26"/>
        <v>221.50401244</v>
      </c>
    </row>
    <row r="704" spans="1:8">
      <c r="A704">
        <v>703</v>
      </c>
      <c r="B704">
        <v>343</v>
      </c>
      <c r="C704">
        <f t="shared" si="25"/>
        <v>121.46597800999997</v>
      </c>
      <c r="D704">
        <f t="shared" si="26"/>
        <v>221.53402199000004</v>
      </c>
    </row>
    <row r="705" spans="1:4">
      <c r="A705">
        <v>704</v>
      </c>
      <c r="B705">
        <v>332</v>
      </c>
      <c r="C705">
        <f t="shared" si="25"/>
        <v>121.43566624</v>
      </c>
      <c r="D705">
        <f t="shared" si="26"/>
        <v>210.56433376000001</v>
      </c>
    </row>
    <row r="706" spans="1:4">
      <c r="A706">
        <v>705</v>
      </c>
      <c r="B706">
        <v>322</v>
      </c>
      <c r="C706">
        <f t="shared" ref="C706:C769" si="27" xml:space="preserve"> -0.00015111*A706*A706 + 0.1823*A706 + 67.989</f>
        <v>121.40505225000001</v>
      </c>
      <c r="D706">
        <f t="shared" ref="D706:D769" si="28">B706-C706</f>
        <v>200.59494774999999</v>
      </c>
    </row>
    <row r="707" spans="1:4">
      <c r="A707">
        <v>706</v>
      </c>
      <c r="B707">
        <v>316</v>
      </c>
      <c r="C707">
        <f t="shared" si="27"/>
        <v>121.37413604000001</v>
      </c>
      <c r="D707">
        <f t="shared" si="28"/>
        <v>194.62586396</v>
      </c>
    </row>
    <row r="708" spans="1:4">
      <c r="A708">
        <v>707</v>
      </c>
      <c r="B708">
        <v>300</v>
      </c>
      <c r="C708">
        <f t="shared" si="27"/>
        <v>121.34291761</v>
      </c>
      <c r="D708">
        <f t="shared" si="28"/>
        <v>178.65708239</v>
      </c>
    </row>
    <row r="709" spans="1:4">
      <c r="A709">
        <v>708</v>
      </c>
      <c r="B709">
        <v>285</v>
      </c>
      <c r="C709">
        <f t="shared" si="27"/>
        <v>121.31139696</v>
      </c>
      <c r="D709">
        <f t="shared" si="28"/>
        <v>163.68860304</v>
      </c>
    </row>
    <row r="710" spans="1:4">
      <c r="A710">
        <v>709</v>
      </c>
      <c r="B710">
        <v>299</v>
      </c>
      <c r="C710">
        <f t="shared" si="27"/>
        <v>121.27957409</v>
      </c>
      <c r="D710">
        <f t="shared" si="28"/>
        <v>177.72042591000002</v>
      </c>
    </row>
    <row r="711" spans="1:4">
      <c r="A711">
        <v>710</v>
      </c>
      <c r="B711">
        <v>301</v>
      </c>
      <c r="C711">
        <f t="shared" si="27"/>
        <v>121.24744899999999</v>
      </c>
      <c r="D711">
        <f t="shared" si="28"/>
        <v>179.75255100000001</v>
      </c>
    </row>
    <row r="712" spans="1:4">
      <c r="A712">
        <v>711</v>
      </c>
      <c r="B712">
        <v>314</v>
      </c>
      <c r="C712">
        <f t="shared" si="27"/>
        <v>121.21502168999999</v>
      </c>
      <c r="D712">
        <f t="shared" si="28"/>
        <v>192.78497831000001</v>
      </c>
    </row>
    <row r="713" spans="1:4">
      <c r="A713">
        <v>712</v>
      </c>
      <c r="B713">
        <v>318</v>
      </c>
      <c r="C713">
        <f t="shared" si="27"/>
        <v>121.18229215999999</v>
      </c>
      <c r="D713">
        <f t="shared" si="28"/>
        <v>196.81770784000003</v>
      </c>
    </row>
    <row r="714" spans="1:4">
      <c r="A714">
        <v>713</v>
      </c>
      <c r="B714">
        <v>339</v>
      </c>
      <c r="C714">
        <f t="shared" si="27"/>
        <v>121.14926041</v>
      </c>
      <c r="D714">
        <f t="shared" si="28"/>
        <v>217.85073958999999</v>
      </c>
    </row>
    <row r="715" spans="1:4">
      <c r="A715">
        <v>714</v>
      </c>
      <c r="B715">
        <v>338</v>
      </c>
      <c r="C715">
        <f t="shared" si="27"/>
        <v>121.11592643999998</v>
      </c>
      <c r="D715">
        <f t="shared" si="28"/>
        <v>216.88407356000002</v>
      </c>
    </row>
    <row r="716" spans="1:4">
      <c r="A716">
        <v>715</v>
      </c>
      <c r="B716">
        <v>328</v>
      </c>
      <c r="C716">
        <f t="shared" si="27"/>
        <v>121.08229024999999</v>
      </c>
      <c r="D716">
        <f t="shared" si="28"/>
        <v>206.91770975000003</v>
      </c>
    </row>
    <row r="717" spans="1:4">
      <c r="A717">
        <v>716</v>
      </c>
      <c r="B717">
        <v>328</v>
      </c>
      <c r="C717">
        <f t="shared" si="27"/>
        <v>121.04835183999998</v>
      </c>
      <c r="D717">
        <f t="shared" si="28"/>
        <v>206.95164816000002</v>
      </c>
    </row>
    <row r="718" spans="1:4">
      <c r="A718">
        <v>717</v>
      </c>
      <c r="B718">
        <v>308</v>
      </c>
      <c r="C718">
        <f t="shared" si="27"/>
        <v>121.01411121000001</v>
      </c>
      <c r="D718">
        <f t="shared" si="28"/>
        <v>186.98588878999999</v>
      </c>
    </row>
    <row r="719" spans="1:4">
      <c r="A719">
        <v>718</v>
      </c>
      <c r="B719">
        <v>296</v>
      </c>
      <c r="C719">
        <f t="shared" si="27"/>
        <v>120.97956836</v>
      </c>
      <c r="D719">
        <f t="shared" si="28"/>
        <v>175.02043164</v>
      </c>
    </row>
    <row r="720" spans="1:4">
      <c r="A720">
        <v>719</v>
      </c>
      <c r="B720">
        <v>276</v>
      </c>
      <c r="C720">
        <f t="shared" si="27"/>
        <v>120.94472329</v>
      </c>
      <c r="D720">
        <f t="shared" si="28"/>
        <v>155.05527670999999</v>
      </c>
    </row>
    <row r="721" spans="1:4">
      <c r="A721">
        <v>720</v>
      </c>
      <c r="B721">
        <v>287</v>
      </c>
      <c r="C721">
        <f t="shared" si="27"/>
        <v>120.909576</v>
      </c>
      <c r="D721">
        <f t="shared" si="28"/>
        <v>166.09042399999998</v>
      </c>
    </row>
    <row r="722" spans="1:4">
      <c r="A722">
        <v>721</v>
      </c>
      <c r="B722">
        <v>266</v>
      </c>
      <c r="C722">
        <f t="shared" si="27"/>
        <v>120.87412648999999</v>
      </c>
      <c r="D722">
        <f t="shared" si="28"/>
        <v>145.12587351000002</v>
      </c>
    </row>
    <row r="723" spans="1:4">
      <c r="A723">
        <v>722</v>
      </c>
      <c r="B723">
        <v>266</v>
      </c>
      <c r="C723">
        <f t="shared" si="27"/>
        <v>120.83837475999999</v>
      </c>
      <c r="D723">
        <f t="shared" si="28"/>
        <v>145.16162524000001</v>
      </c>
    </row>
    <row r="724" spans="1:4">
      <c r="A724">
        <v>723</v>
      </c>
      <c r="B724">
        <v>256</v>
      </c>
      <c r="C724">
        <f t="shared" si="27"/>
        <v>120.80232081</v>
      </c>
      <c r="D724">
        <f t="shared" si="28"/>
        <v>135.19767919</v>
      </c>
    </row>
    <row r="725" spans="1:4">
      <c r="A725">
        <v>724</v>
      </c>
      <c r="B725">
        <v>257</v>
      </c>
      <c r="C725">
        <f t="shared" si="27"/>
        <v>120.76596463999999</v>
      </c>
      <c r="D725">
        <f t="shared" si="28"/>
        <v>136.23403536000001</v>
      </c>
    </row>
    <row r="726" spans="1:4">
      <c r="A726">
        <v>725</v>
      </c>
      <c r="B726">
        <v>258</v>
      </c>
      <c r="C726">
        <f t="shared" si="27"/>
        <v>120.72930624999999</v>
      </c>
      <c r="D726">
        <f t="shared" si="28"/>
        <v>137.27069375000002</v>
      </c>
    </row>
    <row r="727" spans="1:4">
      <c r="A727">
        <v>726</v>
      </c>
      <c r="B727">
        <v>255</v>
      </c>
      <c r="C727">
        <f t="shared" si="27"/>
        <v>120.69234563999998</v>
      </c>
      <c r="D727">
        <f t="shared" si="28"/>
        <v>134.30765436000002</v>
      </c>
    </row>
    <row r="728" spans="1:4">
      <c r="A728">
        <v>727</v>
      </c>
      <c r="B728">
        <v>250</v>
      </c>
      <c r="C728">
        <f t="shared" si="27"/>
        <v>120.65508280999998</v>
      </c>
      <c r="D728">
        <f t="shared" si="28"/>
        <v>129.34491719000002</v>
      </c>
    </row>
    <row r="729" spans="1:4">
      <c r="A729">
        <v>728</v>
      </c>
      <c r="B729">
        <v>261</v>
      </c>
      <c r="C729">
        <f t="shared" si="27"/>
        <v>120.61751775999998</v>
      </c>
      <c r="D729">
        <f t="shared" si="28"/>
        <v>140.38248224</v>
      </c>
    </row>
    <row r="730" spans="1:4">
      <c r="A730">
        <v>729</v>
      </c>
      <c r="B730">
        <v>276</v>
      </c>
      <c r="C730">
        <f t="shared" si="27"/>
        <v>120.57965048999998</v>
      </c>
      <c r="D730">
        <f t="shared" si="28"/>
        <v>155.42034951000002</v>
      </c>
    </row>
    <row r="731" spans="1:4">
      <c r="A731">
        <v>730</v>
      </c>
      <c r="B731">
        <v>276</v>
      </c>
      <c r="C731">
        <f t="shared" si="27"/>
        <v>120.54148099999999</v>
      </c>
      <c r="D731">
        <f t="shared" si="28"/>
        <v>155.45851900000002</v>
      </c>
    </row>
    <row r="732" spans="1:4">
      <c r="A732">
        <v>731</v>
      </c>
      <c r="B732">
        <v>271</v>
      </c>
      <c r="C732">
        <f t="shared" si="27"/>
        <v>120.50300929000001</v>
      </c>
      <c r="D732">
        <f t="shared" si="28"/>
        <v>150.49699070999998</v>
      </c>
    </row>
    <row r="733" spans="1:4">
      <c r="A733">
        <v>732</v>
      </c>
      <c r="B733">
        <v>274</v>
      </c>
      <c r="C733">
        <f t="shared" si="27"/>
        <v>120.46423536</v>
      </c>
      <c r="D733">
        <f t="shared" si="28"/>
        <v>153.53576464</v>
      </c>
    </row>
    <row r="734" spans="1:4">
      <c r="A734">
        <v>733</v>
      </c>
      <c r="B734">
        <v>260</v>
      </c>
      <c r="C734">
        <f t="shared" si="27"/>
        <v>120.42515921</v>
      </c>
      <c r="D734">
        <f t="shared" si="28"/>
        <v>139.57484079</v>
      </c>
    </row>
    <row r="735" spans="1:4">
      <c r="A735">
        <v>734</v>
      </c>
      <c r="B735">
        <v>255</v>
      </c>
      <c r="C735">
        <f t="shared" si="27"/>
        <v>120.38578084</v>
      </c>
      <c r="D735">
        <f t="shared" si="28"/>
        <v>134.61421916</v>
      </c>
    </row>
    <row r="736" spans="1:4">
      <c r="A736">
        <v>735</v>
      </c>
      <c r="B736">
        <v>261</v>
      </c>
      <c r="C736">
        <f t="shared" si="27"/>
        <v>120.34610024999999</v>
      </c>
      <c r="D736">
        <f t="shared" si="28"/>
        <v>140.65389974999999</v>
      </c>
    </row>
    <row r="737" spans="1:10">
      <c r="A737">
        <v>736</v>
      </c>
      <c r="B737">
        <v>251</v>
      </c>
      <c r="C737">
        <f t="shared" si="27"/>
        <v>120.30611743999999</v>
      </c>
      <c r="D737">
        <f t="shared" si="28"/>
        <v>130.69388256000002</v>
      </c>
    </row>
    <row r="738" spans="1:10">
      <c r="A738">
        <v>737</v>
      </c>
      <c r="B738">
        <v>267</v>
      </c>
      <c r="C738">
        <f t="shared" si="27"/>
        <v>120.26583241</v>
      </c>
      <c r="D738">
        <f t="shared" si="28"/>
        <v>146.73416759</v>
      </c>
    </row>
    <row r="739" spans="1:10">
      <c r="A739">
        <v>738</v>
      </c>
      <c r="B739">
        <v>310</v>
      </c>
      <c r="C739">
        <f t="shared" si="27"/>
        <v>120.22524515999999</v>
      </c>
      <c r="D739">
        <f t="shared" si="28"/>
        <v>189.77475484000001</v>
      </c>
    </row>
    <row r="740" spans="1:10">
      <c r="A740">
        <v>739</v>
      </c>
      <c r="B740">
        <v>430</v>
      </c>
      <c r="C740">
        <f t="shared" si="27"/>
        <v>120.18435568999999</v>
      </c>
      <c r="D740">
        <f t="shared" si="28"/>
        <v>309.81564431000004</v>
      </c>
    </row>
    <row r="741" spans="1:10">
      <c r="A741">
        <v>740</v>
      </c>
      <c r="B741">
        <v>676</v>
      </c>
      <c r="C741">
        <f t="shared" si="27"/>
        <v>120.14316399999998</v>
      </c>
      <c r="D741">
        <f t="shared" si="28"/>
        <v>555.85683600000004</v>
      </c>
    </row>
    <row r="742" spans="1:10">
      <c r="A742">
        <v>741</v>
      </c>
      <c r="B742">
        <v>1050</v>
      </c>
      <c r="C742">
        <f t="shared" si="27"/>
        <v>120.10167008999998</v>
      </c>
      <c r="D742">
        <f t="shared" si="28"/>
        <v>929.89832991000003</v>
      </c>
    </row>
    <row r="743" spans="1:10" ht="17.25">
      <c r="A743">
        <v>742</v>
      </c>
      <c r="B743">
        <v>1413</v>
      </c>
      <c r="C743">
        <f t="shared" si="27"/>
        <v>120.05987395999998</v>
      </c>
      <c r="D743">
        <f t="shared" si="28"/>
        <v>1292.94012604</v>
      </c>
      <c r="F743">
        <v>742.5</v>
      </c>
      <c r="G743">
        <v>6</v>
      </c>
      <c r="H743" t="s">
        <v>167</v>
      </c>
    </row>
    <row r="744" spans="1:10">
      <c r="A744">
        <v>743</v>
      </c>
      <c r="B744">
        <v>1466</v>
      </c>
      <c r="C744">
        <f t="shared" si="27"/>
        <v>120.01777560999999</v>
      </c>
      <c r="D744">
        <f t="shared" si="28"/>
        <v>1345.9822243900001</v>
      </c>
    </row>
    <row r="745" spans="1:10">
      <c r="A745">
        <v>744</v>
      </c>
      <c r="B745">
        <v>1265</v>
      </c>
      <c r="C745">
        <f t="shared" si="27"/>
        <v>119.97537503999997</v>
      </c>
      <c r="D745">
        <f t="shared" si="28"/>
        <v>1145.02462496</v>
      </c>
      <c r="H745" s="9"/>
      <c r="I745" s="9"/>
      <c r="J745" s="9"/>
    </row>
    <row r="746" spans="1:10">
      <c r="A746">
        <v>745</v>
      </c>
      <c r="B746">
        <v>1028</v>
      </c>
      <c r="C746">
        <f t="shared" si="27"/>
        <v>119.93267225</v>
      </c>
      <c r="D746">
        <f t="shared" si="28"/>
        <v>908.06732775</v>
      </c>
    </row>
    <row r="747" spans="1:10">
      <c r="A747">
        <v>746</v>
      </c>
      <c r="B747">
        <v>790</v>
      </c>
      <c r="C747">
        <f t="shared" si="27"/>
        <v>119.88966724000001</v>
      </c>
      <c r="D747">
        <f t="shared" si="28"/>
        <v>670.11033276000001</v>
      </c>
    </row>
    <row r="748" spans="1:10">
      <c r="A748">
        <v>747</v>
      </c>
      <c r="B748">
        <v>549</v>
      </c>
      <c r="C748">
        <f t="shared" si="27"/>
        <v>119.84636001</v>
      </c>
      <c r="D748">
        <f t="shared" si="28"/>
        <v>429.15363998999999</v>
      </c>
    </row>
    <row r="749" spans="1:10">
      <c r="A749">
        <v>748</v>
      </c>
      <c r="B749">
        <v>409</v>
      </c>
      <c r="C749">
        <f t="shared" si="27"/>
        <v>119.80275055999999</v>
      </c>
      <c r="D749">
        <f t="shared" si="28"/>
        <v>289.19724944000001</v>
      </c>
    </row>
    <row r="750" spans="1:10">
      <c r="A750">
        <v>749</v>
      </c>
      <c r="B750">
        <v>314</v>
      </c>
      <c r="C750">
        <f t="shared" si="27"/>
        <v>119.75883888999999</v>
      </c>
      <c r="D750">
        <f t="shared" si="28"/>
        <v>194.24116111000001</v>
      </c>
    </row>
    <row r="751" spans="1:10">
      <c r="A751">
        <v>750</v>
      </c>
      <c r="B751">
        <v>280</v>
      </c>
      <c r="C751">
        <f t="shared" si="27"/>
        <v>119.714625</v>
      </c>
      <c r="D751">
        <f t="shared" si="28"/>
        <v>160.28537499999999</v>
      </c>
    </row>
    <row r="752" spans="1:10">
      <c r="A752">
        <v>751</v>
      </c>
      <c r="B752">
        <v>265</v>
      </c>
      <c r="C752">
        <f t="shared" si="27"/>
        <v>119.67010888999998</v>
      </c>
      <c r="D752">
        <f t="shared" si="28"/>
        <v>145.32989111000001</v>
      </c>
    </row>
    <row r="753" spans="1:13">
      <c r="A753">
        <v>752</v>
      </c>
      <c r="B753">
        <v>296</v>
      </c>
      <c r="C753">
        <f t="shared" si="27"/>
        <v>119.62529055999998</v>
      </c>
      <c r="D753">
        <f t="shared" si="28"/>
        <v>176.37470944</v>
      </c>
    </row>
    <row r="754" spans="1:13">
      <c r="A754">
        <v>753</v>
      </c>
      <c r="B754">
        <v>371</v>
      </c>
      <c r="C754">
        <f t="shared" si="27"/>
        <v>119.58017000999999</v>
      </c>
      <c r="D754">
        <f t="shared" si="28"/>
        <v>251.41982999000001</v>
      </c>
    </row>
    <row r="755" spans="1:13">
      <c r="A755">
        <v>754</v>
      </c>
      <c r="B755">
        <v>474</v>
      </c>
      <c r="C755">
        <f t="shared" si="27"/>
        <v>119.53474723999999</v>
      </c>
      <c r="D755">
        <f t="shared" si="28"/>
        <v>354.46525276</v>
      </c>
    </row>
    <row r="756" spans="1:13">
      <c r="A756">
        <v>755</v>
      </c>
      <c r="B756">
        <v>512</v>
      </c>
      <c r="C756">
        <f t="shared" si="27"/>
        <v>119.48902224999998</v>
      </c>
      <c r="D756">
        <f t="shared" si="28"/>
        <v>392.51097775000005</v>
      </c>
    </row>
    <row r="757" spans="1:13">
      <c r="A757">
        <v>756</v>
      </c>
      <c r="B757">
        <v>503</v>
      </c>
      <c r="C757">
        <f t="shared" si="27"/>
        <v>119.44299503999999</v>
      </c>
      <c r="D757">
        <f t="shared" si="28"/>
        <v>383.55700496000003</v>
      </c>
      <c r="M757" s="9"/>
    </row>
    <row r="758" spans="1:13">
      <c r="A758">
        <v>757</v>
      </c>
      <c r="B758">
        <v>429</v>
      </c>
      <c r="C758">
        <f t="shared" si="27"/>
        <v>119.39666560999999</v>
      </c>
      <c r="D758">
        <f t="shared" si="28"/>
        <v>309.60333438999999</v>
      </c>
    </row>
    <row r="759" spans="1:13">
      <c r="A759">
        <v>758</v>
      </c>
      <c r="B759">
        <v>368</v>
      </c>
      <c r="C759">
        <f t="shared" si="27"/>
        <v>119.35003396</v>
      </c>
      <c r="D759">
        <f t="shared" si="28"/>
        <v>248.64996603999998</v>
      </c>
    </row>
    <row r="760" spans="1:13">
      <c r="A760">
        <v>759</v>
      </c>
      <c r="B760">
        <v>287</v>
      </c>
      <c r="C760">
        <f t="shared" si="27"/>
        <v>119.30310009</v>
      </c>
      <c r="D760">
        <f t="shared" si="28"/>
        <v>167.69689991000001</v>
      </c>
    </row>
    <row r="761" spans="1:13">
      <c r="A761">
        <v>760</v>
      </c>
      <c r="B761">
        <v>261</v>
      </c>
      <c r="C761">
        <f t="shared" si="27"/>
        <v>119.255864</v>
      </c>
      <c r="D761">
        <f t="shared" si="28"/>
        <v>141.744136</v>
      </c>
    </row>
    <row r="762" spans="1:13">
      <c r="A762">
        <v>761</v>
      </c>
      <c r="B762">
        <v>249</v>
      </c>
      <c r="C762">
        <f t="shared" si="27"/>
        <v>119.20832569000001</v>
      </c>
      <c r="D762">
        <f t="shared" si="28"/>
        <v>129.79167430999999</v>
      </c>
    </row>
    <row r="763" spans="1:13">
      <c r="A763">
        <v>762</v>
      </c>
      <c r="B763">
        <v>271</v>
      </c>
      <c r="C763">
        <f t="shared" si="27"/>
        <v>119.16048515999999</v>
      </c>
      <c r="D763">
        <f t="shared" si="28"/>
        <v>151.83951483999999</v>
      </c>
    </row>
    <row r="764" spans="1:13">
      <c r="A764">
        <v>763</v>
      </c>
      <c r="B764">
        <v>279</v>
      </c>
      <c r="C764">
        <f t="shared" si="27"/>
        <v>119.11234241</v>
      </c>
      <c r="D764">
        <f t="shared" si="28"/>
        <v>159.88765759</v>
      </c>
    </row>
    <row r="765" spans="1:13">
      <c r="A765">
        <v>764</v>
      </c>
      <c r="B765">
        <v>279</v>
      </c>
      <c r="C765">
        <f t="shared" si="27"/>
        <v>119.06389743999999</v>
      </c>
      <c r="D765">
        <f t="shared" si="28"/>
        <v>159.93610255999999</v>
      </c>
    </row>
    <row r="766" spans="1:13">
      <c r="A766">
        <v>765</v>
      </c>
      <c r="B766">
        <v>263</v>
      </c>
      <c r="C766">
        <f t="shared" si="27"/>
        <v>119.01515024999999</v>
      </c>
      <c r="D766">
        <f t="shared" si="28"/>
        <v>143.98484975000002</v>
      </c>
    </row>
    <row r="767" spans="1:13">
      <c r="A767">
        <v>766</v>
      </c>
      <c r="B767">
        <v>252</v>
      </c>
      <c r="C767">
        <f t="shared" si="27"/>
        <v>118.96610083999998</v>
      </c>
      <c r="D767">
        <f t="shared" si="28"/>
        <v>133.03389916000003</v>
      </c>
    </row>
    <row r="768" spans="1:13">
      <c r="A768">
        <v>767</v>
      </c>
      <c r="B768">
        <v>234</v>
      </c>
      <c r="C768">
        <f t="shared" si="27"/>
        <v>118.91674920999999</v>
      </c>
      <c r="D768">
        <f t="shared" si="28"/>
        <v>115.08325079000001</v>
      </c>
    </row>
    <row r="769" spans="1:4">
      <c r="A769">
        <v>768</v>
      </c>
      <c r="B769">
        <v>215</v>
      </c>
      <c r="C769">
        <f t="shared" si="27"/>
        <v>118.86709535999998</v>
      </c>
      <c r="D769">
        <f t="shared" si="28"/>
        <v>96.132904640000021</v>
      </c>
    </row>
    <row r="770" spans="1:4">
      <c r="A770">
        <v>769</v>
      </c>
      <c r="B770">
        <v>227</v>
      </c>
      <c r="C770">
        <f t="shared" ref="C770:C833" si="29" xml:space="preserve"> -0.00015111*A770*A770 + 0.1823*A770 + 67.989</f>
        <v>118.81713928999999</v>
      </c>
      <c r="D770">
        <f t="shared" ref="D770:D833" si="30">B770-C770</f>
        <v>108.18286071000001</v>
      </c>
    </row>
    <row r="771" spans="1:4">
      <c r="A771">
        <v>770</v>
      </c>
      <c r="B771">
        <v>224</v>
      </c>
      <c r="C771">
        <f t="shared" si="29"/>
        <v>118.76688099999998</v>
      </c>
      <c r="D771">
        <f t="shared" si="30"/>
        <v>105.23311900000002</v>
      </c>
    </row>
    <row r="772" spans="1:4">
      <c r="A772">
        <v>771</v>
      </c>
      <c r="B772">
        <v>218</v>
      </c>
      <c r="C772">
        <f t="shared" si="29"/>
        <v>118.71632048999999</v>
      </c>
      <c r="D772">
        <f t="shared" si="30"/>
        <v>99.283679510000013</v>
      </c>
    </row>
    <row r="773" spans="1:4">
      <c r="A773">
        <v>772</v>
      </c>
      <c r="B773">
        <v>216</v>
      </c>
      <c r="C773">
        <f t="shared" si="29"/>
        <v>118.66545776</v>
      </c>
      <c r="D773">
        <f t="shared" si="30"/>
        <v>97.334542240000005</v>
      </c>
    </row>
    <row r="774" spans="1:4">
      <c r="A774">
        <v>773</v>
      </c>
      <c r="B774">
        <v>217</v>
      </c>
      <c r="C774">
        <f t="shared" si="29"/>
        <v>118.61429280999999</v>
      </c>
      <c r="D774">
        <f t="shared" si="30"/>
        <v>98.385707190000005</v>
      </c>
    </row>
    <row r="775" spans="1:4">
      <c r="A775">
        <v>774</v>
      </c>
      <c r="B775">
        <v>221</v>
      </c>
      <c r="C775">
        <f t="shared" si="29"/>
        <v>118.56282564</v>
      </c>
      <c r="D775">
        <f t="shared" si="30"/>
        <v>102.43717436</v>
      </c>
    </row>
    <row r="776" spans="1:4">
      <c r="A776">
        <v>775</v>
      </c>
      <c r="B776">
        <v>242</v>
      </c>
      <c r="C776">
        <f t="shared" si="29"/>
        <v>118.51105625</v>
      </c>
      <c r="D776">
        <f t="shared" si="30"/>
        <v>123.48894375</v>
      </c>
    </row>
    <row r="777" spans="1:4">
      <c r="A777">
        <v>776</v>
      </c>
      <c r="B777">
        <v>260</v>
      </c>
      <c r="C777">
        <f t="shared" si="29"/>
        <v>118.45898464</v>
      </c>
      <c r="D777">
        <f t="shared" si="30"/>
        <v>141.54101536000002</v>
      </c>
    </row>
    <row r="778" spans="1:4">
      <c r="A778">
        <v>777</v>
      </c>
      <c r="B778">
        <v>278</v>
      </c>
      <c r="C778">
        <f t="shared" si="29"/>
        <v>118.40661080999999</v>
      </c>
      <c r="D778">
        <f t="shared" si="30"/>
        <v>159.59338919000001</v>
      </c>
    </row>
    <row r="779" spans="1:4">
      <c r="A779">
        <v>778</v>
      </c>
      <c r="B779">
        <v>288</v>
      </c>
      <c r="C779">
        <f t="shared" si="29"/>
        <v>118.35393476</v>
      </c>
      <c r="D779">
        <f t="shared" si="30"/>
        <v>169.64606523999998</v>
      </c>
    </row>
    <row r="780" spans="1:4">
      <c r="A780">
        <v>779</v>
      </c>
      <c r="B780">
        <v>266</v>
      </c>
      <c r="C780">
        <f t="shared" si="29"/>
        <v>118.30095648999999</v>
      </c>
      <c r="D780">
        <f t="shared" si="30"/>
        <v>147.69904351000002</v>
      </c>
    </row>
    <row r="781" spans="1:4">
      <c r="A781">
        <v>780</v>
      </c>
      <c r="B781">
        <v>244</v>
      </c>
      <c r="C781">
        <f t="shared" si="29"/>
        <v>118.24767599999998</v>
      </c>
      <c r="D781">
        <f t="shared" si="30"/>
        <v>125.75232400000002</v>
      </c>
    </row>
    <row r="782" spans="1:4">
      <c r="A782">
        <v>781</v>
      </c>
      <c r="B782">
        <v>217</v>
      </c>
      <c r="C782">
        <f t="shared" si="29"/>
        <v>118.19409328999998</v>
      </c>
      <c r="D782">
        <f t="shared" si="30"/>
        <v>98.805906710000016</v>
      </c>
    </row>
    <row r="783" spans="1:4">
      <c r="A783">
        <v>782</v>
      </c>
      <c r="B783">
        <v>208</v>
      </c>
      <c r="C783">
        <f t="shared" si="29"/>
        <v>118.14020835999997</v>
      </c>
      <c r="D783">
        <f t="shared" si="30"/>
        <v>89.859791640000026</v>
      </c>
    </row>
    <row r="784" spans="1:4">
      <c r="A784">
        <v>783</v>
      </c>
      <c r="B784">
        <v>193</v>
      </c>
      <c r="C784">
        <f t="shared" si="29"/>
        <v>118.08602120999998</v>
      </c>
      <c r="D784">
        <f t="shared" si="30"/>
        <v>74.913978790000016</v>
      </c>
    </row>
    <row r="785" spans="1:4">
      <c r="A785">
        <v>784</v>
      </c>
      <c r="B785">
        <v>202</v>
      </c>
      <c r="C785">
        <f t="shared" si="29"/>
        <v>118.03153183999999</v>
      </c>
      <c r="D785">
        <f t="shared" si="30"/>
        <v>83.968468160000015</v>
      </c>
    </row>
    <row r="786" spans="1:4">
      <c r="A786">
        <v>785</v>
      </c>
      <c r="B786">
        <v>199</v>
      </c>
      <c r="C786">
        <f t="shared" si="29"/>
        <v>117.97674024999998</v>
      </c>
      <c r="D786">
        <f t="shared" si="30"/>
        <v>81.023259750000022</v>
      </c>
    </row>
    <row r="787" spans="1:4">
      <c r="A787">
        <v>786</v>
      </c>
      <c r="B787">
        <v>203</v>
      </c>
      <c r="C787">
        <f t="shared" si="29"/>
        <v>117.92164644</v>
      </c>
      <c r="D787">
        <f t="shared" si="30"/>
        <v>85.078353559999996</v>
      </c>
    </row>
    <row r="788" spans="1:4">
      <c r="A788">
        <v>787</v>
      </c>
      <c r="B788">
        <v>190</v>
      </c>
      <c r="C788">
        <f t="shared" si="29"/>
        <v>117.86625041000001</v>
      </c>
      <c r="D788">
        <f t="shared" si="30"/>
        <v>72.133749589999994</v>
      </c>
    </row>
    <row r="789" spans="1:4">
      <c r="A789">
        <v>788</v>
      </c>
      <c r="B789">
        <v>188</v>
      </c>
      <c r="C789">
        <f t="shared" si="29"/>
        <v>117.81055216</v>
      </c>
      <c r="D789">
        <f t="shared" si="30"/>
        <v>70.18944784</v>
      </c>
    </row>
    <row r="790" spans="1:4">
      <c r="A790">
        <v>789</v>
      </c>
      <c r="B790">
        <v>184</v>
      </c>
      <c r="C790">
        <f t="shared" si="29"/>
        <v>117.75455169</v>
      </c>
      <c r="D790">
        <f t="shared" si="30"/>
        <v>66.24544831</v>
      </c>
    </row>
    <row r="791" spans="1:4">
      <c r="A791">
        <v>790</v>
      </c>
      <c r="B791">
        <v>199</v>
      </c>
      <c r="C791">
        <f t="shared" si="29"/>
        <v>117.69824899999999</v>
      </c>
      <c r="D791">
        <f t="shared" si="30"/>
        <v>81.30175100000001</v>
      </c>
    </row>
    <row r="792" spans="1:4">
      <c r="A792">
        <v>791</v>
      </c>
      <c r="B792">
        <v>189</v>
      </c>
      <c r="C792">
        <f t="shared" si="29"/>
        <v>117.64164409</v>
      </c>
      <c r="D792">
        <f t="shared" si="30"/>
        <v>71.35835591</v>
      </c>
    </row>
    <row r="793" spans="1:4">
      <c r="A793">
        <v>792</v>
      </c>
      <c r="B793">
        <v>184</v>
      </c>
      <c r="C793">
        <f t="shared" si="29"/>
        <v>117.58473696</v>
      </c>
      <c r="D793">
        <f t="shared" si="30"/>
        <v>66.415263039999999</v>
      </c>
    </row>
    <row r="794" spans="1:4">
      <c r="A794">
        <v>793</v>
      </c>
      <c r="B794">
        <v>179</v>
      </c>
      <c r="C794">
        <f t="shared" si="29"/>
        <v>117.52752760999999</v>
      </c>
      <c r="D794">
        <f t="shared" si="30"/>
        <v>61.472472390000007</v>
      </c>
    </row>
    <row r="795" spans="1:4">
      <c r="A795">
        <v>794</v>
      </c>
      <c r="B795">
        <v>187</v>
      </c>
      <c r="C795">
        <f t="shared" si="29"/>
        <v>117.47001603999999</v>
      </c>
      <c r="D795">
        <f t="shared" si="30"/>
        <v>69.52998396000001</v>
      </c>
    </row>
    <row r="796" spans="1:4">
      <c r="A796">
        <v>795</v>
      </c>
      <c r="B796">
        <v>200</v>
      </c>
      <c r="C796">
        <f t="shared" si="29"/>
        <v>117.41220224999999</v>
      </c>
      <c r="D796">
        <f t="shared" si="30"/>
        <v>82.587797750000007</v>
      </c>
    </row>
    <row r="797" spans="1:4">
      <c r="A797">
        <v>796</v>
      </c>
      <c r="B797">
        <v>224</v>
      </c>
      <c r="C797">
        <f t="shared" si="29"/>
        <v>117.35408623999997</v>
      </c>
      <c r="D797">
        <f t="shared" si="30"/>
        <v>106.64591376000003</v>
      </c>
    </row>
    <row r="798" spans="1:4">
      <c r="A798">
        <v>797</v>
      </c>
      <c r="B798">
        <v>228</v>
      </c>
      <c r="C798">
        <f t="shared" si="29"/>
        <v>117.29566800999999</v>
      </c>
      <c r="D798">
        <f t="shared" si="30"/>
        <v>110.70433199000001</v>
      </c>
    </row>
    <row r="799" spans="1:4">
      <c r="A799">
        <v>798</v>
      </c>
      <c r="B799">
        <v>264</v>
      </c>
      <c r="C799">
        <f t="shared" si="29"/>
        <v>117.23694755999998</v>
      </c>
      <c r="D799">
        <f t="shared" si="30"/>
        <v>146.76305244000002</v>
      </c>
    </row>
    <row r="800" spans="1:4">
      <c r="A800">
        <v>799</v>
      </c>
      <c r="B800">
        <v>317</v>
      </c>
      <c r="C800">
        <f t="shared" si="29"/>
        <v>117.17792489</v>
      </c>
      <c r="D800">
        <f t="shared" si="30"/>
        <v>199.82207511000001</v>
      </c>
    </row>
    <row r="801" spans="1:4">
      <c r="A801">
        <v>800</v>
      </c>
      <c r="B801">
        <v>446</v>
      </c>
      <c r="C801">
        <f t="shared" si="29"/>
        <v>117.1186</v>
      </c>
      <c r="D801">
        <f t="shared" si="30"/>
        <v>328.88139999999999</v>
      </c>
    </row>
    <row r="802" spans="1:4">
      <c r="A802">
        <v>801</v>
      </c>
      <c r="B802">
        <v>610</v>
      </c>
      <c r="C802">
        <f t="shared" si="29"/>
        <v>117.05897289000001</v>
      </c>
      <c r="D802">
        <f t="shared" si="30"/>
        <v>492.94102710999999</v>
      </c>
    </row>
    <row r="803" spans="1:4">
      <c r="A803">
        <v>802</v>
      </c>
      <c r="B803">
        <v>761</v>
      </c>
      <c r="C803">
        <f t="shared" si="29"/>
        <v>116.99904356</v>
      </c>
      <c r="D803">
        <f t="shared" si="30"/>
        <v>644.00095643999998</v>
      </c>
    </row>
    <row r="804" spans="1:4">
      <c r="A804">
        <v>803</v>
      </c>
      <c r="B804">
        <v>769</v>
      </c>
      <c r="C804">
        <f t="shared" si="29"/>
        <v>116.93881200999999</v>
      </c>
      <c r="D804">
        <f t="shared" si="30"/>
        <v>652.06118799000001</v>
      </c>
    </row>
    <row r="805" spans="1:4">
      <c r="A805">
        <v>804</v>
      </c>
      <c r="B805">
        <v>652</v>
      </c>
      <c r="C805">
        <f t="shared" si="29"/>
        <v>116.87827824</v>
      </c>
      <c r="D805">
        <f t="shared" si="30"/>
        <v>535.12172176000001</v>
      </c>
    </row>
    <row r="806" spans="1:4">
      <c r="A806">
        <v>805</v>
      </c>
      <c r="B806">
        <v>517</v>
      </c>
      <c r="C806">
        <f t="shared" si="29"/>
        <v>116.81744225</v>
      </c>
      <c r="D806">
        <f t="shared" si="30"/>
        <v>400.18255775</v>
      </c>
    </row>
    <row r="807" spans="1:4">
      <c r="A807">
        <v>806</v>
      </c>
      <c r="B807">
        <v>430</v>
      </c>
      <c r="C807">
        <f t="shared" si="29"/>
        <v>116.75630403999999</v>
      </c>
      <c r="D807">
        <f t="shared" si="30"/>
        <v>313.24369596000003</v>
      </c>
    </row>
    <row r="808" spans="1:4">
      <c r="A808">
        <v>807</v>
      </c>
      <c r="B808">
        <v>399</v>
      </c>
      <c r="C808">
        <f t="shared" si="29"/>
        <v>116.69486360999998</v>
      </c>
      <c r="D808">
        <f t="shared" si="30"/>
        <v>282.30513639000003</v>
      </c>
    </row>
    <row r="809" spans="1:4">
      <c r="A809">
        <v>808</v>
      </c>
      <c r="B809">
        <v>450</v>
      </c>
      <c r="C809">
        <f t="shared" si="29"/>
        <v>116.63312095999999</v>
      </c>
      <c r="D809">
        <f t="shared" si="30"/>
        <v>333.36687904000001</v>
      </c>
    </row>
    <row r="810" spans="1:4">
      <c r="A810">
        <v>809</v>
      </c>
      <c r="B810">
        <v>516</v>
      </c>
      <c r="C810">
        <f t="shared" si="29"/>
        <v>116.57107608999999</v>
      </c>
      <c r="D810">
        <f t="shared" si="30"/>
        <v>399.42892390999998</v>
      </c>
    </row>
    <row r="811" spans="1:4">
      <c r="A811">
        <v>810</v>
      </c>
      <c r="B811">
        <v>538</v>
      </c>
      <c r="C811">
        <f t="shared" si="29"/>
        <v>116.50872899999997</v>
      </c>
      <c r="D811">
        <f t="shared" si="30"/>
        <v>421.49127100000004</v>
      </c>
    </row>
    <row r="812" spans="1:4">
      <c r="A812">
        <v>811</v>
      </c>
      <c r="B812">
        <v>505</v>
      </c>
      <c r="C812">
        <f t="shared" si="29"/>
        <v>116.44607968999998</v>
      </c>
      <c r="D812">
        <f t="shared" si="30"/>
        <v>388.55392031000002</v>
      </c>
    </row>
    <row r="813" spans="1:4">
      <c r="A813">
        <v>812</v>
      </c>
      <c r="B813">
        <v>466</v>
      </c>
      <c r="C813">
        <f t="shared" si="29"/>
        <v>116.38312815999998</v>
      </c>
      <c r="D813">
        <f t="shared" si="30"/>
        <v>349.61687184000004</v>
      </c>
    </row>
    <row r="814" spans="1:4">
      <c r="A814">
        <v>813</v>
      </c>
      <c r="B814">
        <v>415</v>
      </c>
      <c r="C814">
        <f t="shared" si="29"/>
        <v>116.31987441</v>
      </c>
      <c r="D814">
        <f t="shared" si="30"/>
        <v>298.68012558999999</v>
      </c>
    </row>
    <row r="815" spans="1:4">
      <c r="A815">
        <v>814</v>
      </c>
      <c r="B815">
        <v>359</v>
      </c>
      <c r="C815">
        <f t="shared" si="29"/>
        <v>116.25631844</v>
      </c>
      <c r="D815">
        <f t="shared" si="30"/>
        <v>242.74368156</v>
      </c>
    </row>
    <row r="816" spans="1:4">
      <c r="A816">
        <v>815</v>
      </c>
      <c r="B816">
        <v>310</v>
      </c>
      <c r="C816">
        <f t="shared" si="29"/>
        <v>116.19246025</v>
      </c>
      <c r="D816">
        <f t="shared" si="30"/>
        <v>193.80753974999999</v>
      </c>
    </row>
    <row r="817" spans="1:4">
      <c r="A817">
        <v>816</v>
      </c>
      <c r="B817">
        <v>279</v>
      </c>
      <c r="C817">
        <f t="shared" si="29"/>
        <v>116.12829984</v>
      </c>
      <c r="D817">
        <f t="shared" si="30"/>
        <v>162.87170015999999</v>
      </c>
    </row>
    <row r="818" spans="1:4">
      <c r="A818">
        <v>817</v>
      </c>
      <c r="B818">
        <v>273</v>
      </c>
      <c r="C818">
        <f t="shared" si="29"/>
        <v>116.06383720999999</v>
      </c>
      <c r="D818">
        <f t="shared" si="30"/>
        <v>156.93616279000003</v>
      </c>
    </row>
    <row r="819" spans="1:4">
      <c r="A819">
        <v>818</v>
      </c>
      <c r="B819">
        <v>276</v>
      </c>
      <c r="C819">
        <f t="shared" si="29"/>
        <v>115.99907236</v>
      </c>
      <c r="D819">
        <f t="shared" si="30"/>
        <v>160.00092763999999</v>
      </c>
    </row>
    <row r="820" spans="1:4">
      <c r="A820">
        <v>819</v>
      </c>
      <c r="B820">
        <v>271</v>
      </c>
      <c r="C820">
        <f t="shared" si="29"/>
        <v>115.93400528999999</v>
      </c>
      <c r="D820">
        <f t="shared" si="30"/>
        <v>155.06599471000001</v>
      </c>
    </row>
    <row r="821" spans="1:4">
      <c r="A821">
        <v>820</v>
      </c>
      <c r="B821">
        <v>256</v>
      </c>
      <c r="C821">
        <f t="shared" si="29"/>
        <v>115.86863599999998</v>
      </c>
      <c r="D821">
        <f t="shared" si="30"/>
        <v>140.13136400000002</v>
      </c>
    </row>
    <row r="822" spans="1:4">
      <c r="A822">
        <v>821</v>
      </c>
      <c r="B822">
        <v>260</v>
      </c>
      <c r="C822">
        <f t="shared" si="29"/>
        <v>115.80296448999998</v>
      </c>
      <c r="D822">
        <f t="shared" si="30"/>
        <v>144.19703551000003</v>
      </c>
    </row>
    <row r="823" spans="1:4">
      <c r="A823">
        <v>822</v>
      </c>
      <c r="B823">
        <v>244</v>
      </c>
      <c r="C823">
        <f t="shared" si="29"/>
        <v>115.73699075999998</v>
      </c>
      <c r="D823">
        <f t="shared" si="30"/>
        <v>128.26300924000003</v>
      </c>
    </row>
    <row r="824" spans="1:4">
      <c r="A824">
        <v>823</v>
      </c>
      <c r="B824">
        <v>250</v>
      </c>
      <c r="C824">
        <f t="shared" si="29"/>
        <v>115.67071480999998</v>
      </c>
      <c r="D824">
        <f t="shared" si="30"/>
        <v>134.32928519000001</v>
      </c>
    </row>
    <row r="825" spans="1:4">
      <c r="A825">
        <v>824</v>
      </c>
      <c r="B825">
        <v>258</v>
      </c>
      <c r="C825">
        <f t="shared" si="29"/>
        <v>115.60413663999998</v>
      </c>
      <c r="D825">
        <f t="shared" si="30"/>
        <v>142.39586336000002</v>
      </c>
    </row>
    <row r="826" spans="1:4">
      <c r="A826">
        <v>825</v>
      </c>
      <c r="B826">
        <v>271</v>
      </c>
      <c r="C826">
        <f t="shared" si="29"/>
        <v>115.53725624999998</v>
      </c>
      <c r="D826">
        <f t="shared" si="30"/>
        <v>155.46274375000002</v>
      </c>
    </row>
    <row r="827" spans="1:4">
      <c r="A827">
        <v>826</v>
      </c>
      <c r="B827">
        <v>265</v>
      </c>
      <c r="C827">
        <f t="shared" si="29"/>
        <v>115.47007363999998</v>
      </c>
      <c r="D827">
        <f t="shared" si="30"/>
        <v>149.52992636000002</v>
      </c>
    </row>
    <row r="828" spans="1:4">
      <c r="A828">
        <v>827</v>
      </c>
      <c r="B828">
        <v>251</v>
      </c>
      <c r="C828">
        <f t="shared" si="29"/>
        <v>115.40258881</v>
      </c>
      <c r="D828">
        <f t="shared" si="30"/>
        <v>135.59741119</v>
      </c>
    </row>
    <row r="829" spans="1:4">
      <c r="A829">
        <v>828</v>
      </c>
      <c r="B829">
        <v>235</v>
      </c>
      <c r="C829">
        <f t="shared" si="29"/>
        <v>115.33480176</v>
      </c>
      <c r="D829">
        <f t="shared" si="30"/>
        <v>119.66519824</v>
      </c>
    </row>
    <row r="830" spans="1:4">
      <c r="A830">
        <v>829</v>
      </c>
      <c r="B830">
        <v>202</v>
      </c>
      <c r="C830">
        <f t="shared" si="29"/>
        <v>115.26671249</v>
      </c>
      <c r="D830">
        <f t="shared" si="30"/>
        <v>86.733287509999997</v>
      </c>
    </row>
    <row r="831" spans="1:4">
      <c r="A831">
        <v>830</v>
      </c>
      <c r="B831">
        <v>192</v>
      </c>
      <c r="C831">
        <f t="shared" si="29"/>
        <v>115.19832099999999</v>
      </c>
      <c r="D831">
        <f t="shared" si="30"/>
        <v>76.801679000000007</v>
      </c>
    </row>
    <row r="832" spans="1:4">
      <c r="A832">
        <v>831</v>
      </c>
      <c r="B832">
        <v>184</v>
      </c>
      <c r="C832">
        <f t="shared" si="29"/>
        <v>115.12962729</v>
      </c>
      <c r="D832">
        <f t="shared" si="30"/>
        <v>68.870372709999998</v>
      </c>
    </row>
    <row r="833" spans="1:4">
      <c r="A833">
        <v>832</v>
      </c>
      <c r="B833">
        <v>180</v>
      </c>
      <c r="C833">
        <f t="shared" si="29"/>
        <v>115.06063135999999</v>
      </c>
      <c r="D833">
        <f t="shared" si="30"/>
        <v>64.939368640000012</v>
      </c>
    </row>
    <row r="834" spans="1:4">
      <c r="A834">
        <v>833</v>
      </c>
      <c r="B834">
        <v>195</v>
      </c>
      <c r="C834">
        <f t="shared" ref="C834:C897" si="31" xml:space="preserve"> -0.00015111*A834*A834 + 0.1823*A834 + 67.989</f>
        <v>114.99133320999998</v>
      </c>
      <c r="D834">
        <f t="shared" ref="D834:D897" si="32">B834-C834</f>
        <v>80.008666790000021</v>
      </c>
    </row>
    <row r="835" spans="1:4">
      <c r="A835">
        <v>834</v>
      </c>
      <c r="B835">
        <v>184</v>
      </c>
      <c r="C835">
        <f t="shared" si="31"/>
        <v>114.92173283999999</v>
      </c>
      <c r="D835">
        <f t="shared" si="32"/>
        <v>69.07826716000001</v>
      </c>
    </row>
    <row r="836" spans="1:4">
      <c r="A836">
        <v>835</v>
      </c>
      <c r="B836">
        <v>169</v>
      </c>
      <c r="C836">
        <f t="shared" si="31"/>
        <v>114.85183024999999</v>
      </c>
      <c r="D836">
        <f t="shared" si="32"/>
        <v>54.148169750000008</v>
      </c>
    </row>
    <row r="837" spans="1:4">
      <c r="A837">
        <v>836</v>
      </c>
      <c r="B837">
        <v>168</v>
      </c>
      <c r="C837">
        <f t="shared" si="31"/>
        <v>114.78162543999997</v>
      </c>
      <c r="D837">
        <f t="shared" si="32"/>
        <v>53.218374560000029</v>
      </c>
    </row>
    <row r="838" spans="1:4">
      <c r="A838">
        <v>837</v>
      </c>
      <c r="B838">
        <v>167</v>
      </c>
      <c r="C838">
        <f t="shared" si="31"/>
        <v>114.71111840999998</v>
      </c>
      <c r="D838">
        <f t="shared" si="32"/>
        <v>52.288881590000017</v>
      </c>
    </row>
    <row r="839" spans="1:4">
      <c r="A839">
        <v>838</v>
      </c>
      <c r="B839">
        <v>160</v>
      </c>
      <c r="C839">
        <f t="shared" si="31"/>
        <v>114.64030915999997</v>
      </c>
      <c r="D839">
        <f t="shared" si="32"/>
        <v>45.359690840000027</v>
      </c>
    </row>
    <row r="840" spans="1:4">
      <c r="A840">
        <v>839</v>
      </c>
      <c r="B840">
        <v>165</v>
      </c>
      <c r="C840">
        <f t="shared" si="31"/>
        <v>114.56919768999997</v>
      </c>
      <c r="D840">
        <f t="shared" si="32"/>
        <v>50.430802310000033</v>
      </c>
    </row>
    <row r="841" spans="1:4">
      <c r="A841">
        <v>840</v>
      </c>
      <c r="B841">
        <v>160</v>
      </c>
      <c r="C841">
        <f t="shared" si="31"/>
        <v>114.49778400000001</v>
      </c>
      <c r="D841">
        <f t="shared" si="32"/>
        <v>45.50221599999999</v>
      </c>
    </row>
    <row r="842" spans="1:4">
      <c r="A842">
        <v>841</v>
      </c>
      <c r="B842">
        <v>155</v>
      </c>
      <c r="C842">
        <f t="shared" si="31"/>
        <v>114.42606809</v>
      </c>
      <c r="D842">
        <f t="shared" si="32"/>
        <v>40.573931909999999</v>
      </c>
    </row>
    <row r="843" spans="1:4">
      <c r="A843">
        <v>842</v>
      </c>
      <c r="B843">
        <v>144</v>
      </c>
      <c r="C843">
        <f t="shared" si="31"/>
        <v>114.35404995999998</v>
      </c>
      <c r="D843">
        <f t="shared" si="32"/>
        <v>29.645950040000017</v>
      </c>
    </row>
    <row r="844" spans="1:4">
      <c r="A844">
        <v>843</v>
      </c>
      <c r="B844">
        <v>146</v>
      </c>
      <c r="C844">
        <f t="shared" si="31"/>
        <v>114.28172961</v>
      </c>
      <c r="D844">
        <f t="shared" si="32"/>
        <v>31.718270390000001</v>
      </c>
    </row>
    <row r="845" spans="1:4">
      <c r="A845">
        <v>844</v>
      </c>
      <c r="B845">
        <v>138</v>
      </c>
      <c r="C845">
        <f t="shared" si="31"/>
        <v>114.20910703999999</v>
      </c>
      <c r="D845">
        <f t="shared" si="32"/>
        <v>23.790892960000008</v>
      </c>
    </row>
    <row r="846" spans="1:4">
      <c r="A846">
        <v>845</v>
      </c>
      <c r="B846">
        <v>153</v>
      </c>
      <c r="C846">
        <f t="shared" si="31"/>
        <v>114.13618225</v>
      </c>
      <c r="D846">
        <f t="shared" si="32"/>
        <v>38.863817749999995</v>
      </c>
    </row>
    <row r="847" spans="1:4">
      <c r="A847">
        <v>846</v>
      </c>
      <c r="B847">
        <v>157</v>
      </c>
      <c r="C847">
        <f t="shared" si="31"/>
        <v>114.06295523999999</v>
      </c>
      <c r="D847">
        <f t="shared" si="32"/>
        <v>42.937044760000006</v>
      </c>
    </row>
    <row r="848" spans="1:4">
      <c r="A848">
        <v>847</v>
      </c>
      <c r="B848">
        <v>162</v>
      </c>
      <c r="C848">
        <f t="shared" si="31"/>
        <v>113.98942600999999</v>
      </c>
      <c r="D848">
        <f t="shared" si="32"/>
        <v>48.010573990000012</v>
      </c>
    </row>
    <row r="849" spans="1:8">
      <c r="A849">
        <v>848</v>
      </c>
      <c r="B849">
        <v>144</v>
      </c>
      <c r="C849">
        <f t="shared" si="31"/>
        <v>113.91559456</v>
      </c>
      <c r="D849">
        <f t="shared" si="32"/>
        <v>30.084405439999998</v>
      </c>
    </row>
    <row r="850" spans="1:8">
      <c r="A850">
        <v>849</v>
      </c>
      <c r="B850">
        <v>132</v>
      </c>
      <c r="C850">
        <f t="shared" si="31"/>
        <v>113.84146088999998</v>
      </c>
      <c r="D850">
        <f t="shared" si="32"/>
        <v>18.158539110000021</v>
      </c>
    </row>
    <row r="851" spans="1:8">
      <c r="A851">
        <v>850</v>
      </c>
      <c r="B851">
        <v>129</v>
      </c>
      <c r="C851">
        <f t="shared" si="31"/>
        <v>113.76702499999998</v>
      </c>
      <c r="D851">
        <f t="shared" si="32"/>
        <v>15.232975000000025</v>
      </c>
    </row>
    <row r="852" spans="1:8">
      <c r="A852">
        <v>851</v>
      </c>
      <c r="B852">
        <v>142</v>
      </c>
      <c r="C852">
        <f t="shared" si="31"/>
        <v>113.69228688999999</v>
      </c>
      <c r="D852">
        <f t="shared" si="32"/>
        <v>28.307713110000009</v>
      </c>
    </row>
    <row r="853" spans="1:8">
      <c r="A853">
        <v>852</v>
      </c>
      <c r="B853">
        <v>163</v>
      </c>
      <c r="C853">
        <f t="shared" si="31"/>
        <v>113.61724655999998</v>
      </c>
      <c r="D853">
        <f t="shared" si="32"/>
        <v>49.382753440000016</v>
      </c>
    </row>
    <row r="854" spans="1:8">
      <c r="A854">
        <v>853</v>
      </c>
      <c r="B854">
        <v>178</v>
      </c>
      <c r="C854">
        <f t="shared" si="31"/>
        <v>113.54190400999997</v>
      </c>
      <c r="D854">
        <f t="shared" si="32"/>
        <v>64.458095990000032</v>
      </c>
    </row>
    <row r="855" spans="1:8">
      <c r="A855">
        <v>854</v>
      </c>
      <c r="B855">
        <v>177</v>
      </c>
      <c r="C855">
        <f t="shared" si="31"/>
        <v>113.46625924000001</v>
      </c>
      <c r="D855">
        <f t="shared" si="32"/>
        <v>63.533740759999986</v>
      </c>
    </row>
    <row r="856" spans="1:8">
      <c r="A856">
        <v>855</v>
      </c>
      <c r="B856">
        <v>211</v>
      </c>
      <c r="C856">
        <f t="shared" si="31"/>
        <v>113.39031224999999</v>
      </c>
      <c r="D856">
        <f t="shared" si="32"/>
        <v>97.609687750000006</v>
      </c>
    </row>
    <row r="857" spans="1:8">
      <c r="A857">
        <v>856</v>
      </c>
      <c r="B857">
        <v>282</v>
      </c>
      <c r="C857">
        <f t="shared" si="31"/>
        <v>113.31406303999999</v>
      </c>
      <c r="D857">
        <f t="shared" si="32"/>
        <v>168.68593695999999</v>
      </c>
    </row>
    <row r="858" spans="1:8">
      <c r="A858">
        <v>857</v>
      </c>
      <c r="B858">
        <v>404</v>
      </c>
      <c r="C858">
        <f t="shared" si="31"/>
        <v>113.23751161</v>
      </c>
      <c r="D858">
        <f t="shared" si="32"/>
        <v>290.76248838999999</v>
      </c>
    </row>
    <row r="859" spans="1:8">
      <c r="A859">
        <v>858</v>
      </c>
      <c r="B859">
        <v>517</v>
      </c>
      <c r="C859">
        <f t="shared" si="31"/>
        <v>113.16065795999999</v>
      </c>
      <c r="D859">
        <f t="shared" si="32"/>
        <v>403.83934204000002</v>
      </c>
    </row>
    <row r="860" spans="1:8" ht="17.25">
      <c r="A860">
        <v>859</v>
      </c>
      <c r="B860">
        <v>571</v>
      </c>
      <c r="C860">
        <f t="shared" si="31"/>
        <v>113.08350209000001</v>
      </c>
      <c r="D860">
        <f t="shared" si="32"/>
        <v>457.91649790999998</v>
      </c>
      <c r="F860">
        <v>858.5</v>
      </c>
      <c r="G860">
        <v>6</v>
      </c>
      <c r="H860" t="s">
        <v>168</v>
      </c>
    </row>
    <row r="861" spans="1:8">
      <c r="A861">
        <v>860</v>
      </c>
      <c r="B861">
        <v>492</v>
      </c>
      <c r="C861">
        <f t="shared" si="31"/>
        <v>113.00604399999999</v>
      </c>
      <c r="D861">
        <f t="shared" si="32"/>
        <v>378.99395600000003</v>
      </c>
    </row>
    <row r="862" spans="1:8">
      <c r="A862">
        <v>861</v>
      </c>
      <c r="B862">
        <v>389</v>
      </c>
      <c r="C862">
        <f t="shared" si="31"/>
        <v>112.92828368999999</v>
      </c>
      <c r="D862">
        <f t="shared" si="32"/>
        <v>276.07171631</v>
      </c>
    </row>
    <row r="863" spans="1:8">
      <c r="A863">
        <v>862</v>
      </c>
      <c r="B863">
        <v>308</v>
      </c>
      <c r="C863">
        <f t="shared" si="31"/>
        <v>112.85022115999999</v>
      </c>
      <c r="D863">
        <f t="shared" si="32"/>
        <v>195.14977884000001</v>
      </c>
    </row>
    <row r="864" spans="1:8">
      <c r="A864">
        <v>863</v>
      </c>
      <c r="B864">
        <v>245</v>
      </c>
      <c r="C864">
        <f t="shared" si="31"/>
        <v>112.77185640999998</v>
      </c>
      <c r="D864">
        <f t="shared" si="32"/>
        <v>132.22814359</v>
      </c>
    </row>
    <row r="865" spans="1:4">
      <c r="A865">
        <v>864</v>
      </c>
      <c r="B865">
        <v>222</v>
      </c>
      <c r="C865">
        <f t="shared" si="31"/>
        <v>112.69318943999997</v>
      </c>
      <c r="D865">
        <f t="shared" si="32"/>
        <v>109.30681056000003</v>
      </c>
    </row>
    <row r="866" spans="1:4">
      <c r="A866">
        <v>865</v>
      </c>
      <c r="B866">
        <v>215</v>
      </c>
      <c r="C866">
        <f t="shared" si="31"/>
        <v>112.61422024999999</v>
      </c>
      <c r="D866">
        <f t="shared" si="32"/>
        <v>102.38577975000001</v>
      </c>
    </row>
    <row r="867" spans="1:4">
      <c r="A867">
        <v>866</v>
      </c>
      <c r="B867">
        <v>208</v>
      </c>
      <c r="C867">
        <f t="shared" si="31"/>
        <v>112.53494883999998</v>
      </c>
      <c r="D867">
        <f t="shared" si="32"/>
        <v>95.465051160000016</v>
      </c>
    </row>
    <row r="868" spans="1:4">
      <c r="A868">
        <v>867</v>
      </c>
      <c r="B868">
        <v>185</v>
      </c>
      <c r="C868">
        <f t="shared" si="31"/>
        <v>112.45537521</v>
      </c>
      <c r="D868">
        <f t="shared" si="32"/>
        <v>72.54462479</v>
      </c>
    </row>
    <row r="869" spans="1:4">
      <c r="A869">
        <v>868</v>
      </c>
      <c r="B869">
        <v>179</v>
      </c>
      <c r="C869">
        <f t="shared" si="31"/>
        <v>112.37549936000001</v>
      </c>
      <c r="D869">
        <f t="shared" si="32"/>
        <v>66.624500639999994</v>
      </c>
    </row>
    <row r="870" spans="1:4">
      <c r="A870">
        <v>869</v>
      </c>
      <c r="B870">
        <v>167</v>
      </c>
      <c r="C870">
        <f t="shared" si="31"/>
        <v>112.29532129</v>
      </c>
      <c r="D870">
        <f t="shared" si="32"/>
        <v>54.704678709999996</v>
      </c>
    </row>
    <row r="871" spans="1:4">
      <c r="A871">
        <v>870</v>
      </c>
      <c r="B871">
        <v>177</v>
      </c>
      <c r="C871">
        <f t="shared" si="31"/>
        <v>112.21484099999999</v>
      </c>
      <c r="D871">
        <f t="shared" si="32"/>
        <v>64.785159000000007</v>
      </c>
    </row>
    <row r="872" spans="1:4">
      <c r="A872">
        <v>871</v>
      </c>
      <c r="B872">
        <v>168</v>
      </c>
      <c r="C872">
        <f t="shared" si="31"/>
        <v>112.13405849</v>
      </c>
      <c r="D872">
        <f t="shared" si="32"/>
        <v>55.865941509999999</v>
      </c>
    </row>
    <row r="873" spans="1:4">
      <c r="A873">
        <v>872</v>
      </c>
      <c r="B873">
        <v>178</v>
      </c>
      <c r="C873">
        <f t="shared" si="31"/>
        <v>112.05297375999999</v>
      </c>
      <c r="D873">
        <f t="shared" si="32"/>
        <v>65.947026240000014</v>
      </c>
    </row>
    <row r="874" spans="1:4">
      <c r="A874">
        <v>873</v>
      </c>
      <c r="B874">
        <v>193</v>
      </c>
      <c r="C874">
        <f t="shared" si="31"/>
        <v>111.97158680999998</v>
      </c>
      <c r="D874">
        <f t="shared" si="32"/>
        <v>81.028413190000023</v>
      </c>
    </row>
    <row r="875" spans="1:4">
      <c r="A875">
        <v>874</v>
      </c>
      <c r="B875">
        <v>208</v>
      </c>
      <c r="C875">
        <f t="shared" si="31"/>
        <v>111.88989763999999</v>
      </c>
      <c r="D875">
        <f t="shared" si="32"/>
        <v>96.110102360000013</v>
      </c>
    </row>
    <row r="876" spans="1:4">
      <c r="A876">
        <v>875</v>
      </c>
      <c r="B876">
        <v>241</v>
      </c>
      <c r="C876">
        <f t="shared" si="31"/>
        <v>111.80790624999999</v>
      </c>
      <c r="D876">
        <f t="shared" si="32"/>
        <v>129.19209375000003</v>
      </c>
    </row>
    <row r="877" spans="1:4">
      <c r="A877">
        <v>876</v>
      </c>
      <c r="B877">
        <v>295</v>
      </c>
      <c r="C877">
        <f t="shared" si="31"/>
        <v>111.72561263999999</v>
      </c>
      <c r="D877">
        <f t="shared" si="32"/>
        <v>183.27438735999999</v>
      </c>
    </row>
    <row r="878" spans="1:4">
      <c r="A878">
        <v>877</v>
      </c>
      <c r="B878">
        <v>360</v>
      </c>
      <c r="C878">
        <f t="shared" si="31"/>
        <v>111.64301680999999</v>
      </c>
      <c r="D878">
        <f t="shared" si="32"/>
        <v>248.35698318999999</v>
      </c>
    </row>
    <row r="879" spans="1:4">
      <c r="A879">
        <v>878</v>
      </c>
      <c r="B879">
        <v>385</v>
      </c>
      <c r="C879">
        <f t="shared" si="31"/>
        <v>111.56011875999998</v>
      </c>
      <c r="D879">
        <f t="shared" si="32"/>
        <v>273.43988124000003</v>
      </c>
    </row>
    <row r="880" spans="1:4">
      <c r="A880">
        <v>879</v>
      </c>
      <c r="B880">
        <v>360</v>
      </c>
      <c r="C880">
        <f t="shared" si="31"/>
        <v>111.47691848999999</v>
      </c>
      <c r="D880">
        <f t="shared" si="32"/>
        <v>248.52308151</v>
      </c>
    </row>
    <row r="881" spans="1:4">
      <c r="A881">
        <v>880</v>
      </c>
      <c r="B881">
        <v>319</v>
      </c>
      <c r="C881">
        <f t="shared" si="31"/>
        <v>111.39341599999997</v>
      </c>
      <c r="D881">
        <f t="shared" si="32"/>
        <v>207.60658400000003</v>
      </c>
    </row>
    <row r="882" spans="1:4">
      <c r="A882">
        <v>881</v>
      </c>
      <c r="B882">
        <v>281</v>
      </c>
      <c r="C882">
        <f t="shared" si="31"/>
        <v>111.30961128999999</v>
      </c>
      <c r="D882">
        <f t="shared" si="32"/>
        <v>169.69038871000001</v>
      </c>
    </row>
    <row r="883" spans="1:4">
      <c r="A883">
        <v>882</v>
      </c>
      <c r="B883">
        <v>234</v>
      </c>
      <c r="C883">
        <f t="shared" si="31"/>
        <v>111.22550436</v>
      </c>
      <c r="D883">
        <f t="shared" si="32"/>
        <v>122.77449564</v>
      </c>
    </row>
    <row r="884" spans="1:4">
      <c r="A884">
        <v>883</v>
      </c>
      <c r="B884">
        <v>213</v>
      </c>
      <c r="C884">
        <f t="shared" si="31"/>
        <v>111.14109521</v>
      </c>
      <c r="D884">
        <f t="shared" si="32"/>
        <v>101.85890479</v>
      </c>
    </row>
    <row r="885" spans="1:4">
      <c r="A885">
        <v>884</v>
      </c>
      <c r="B885">
        <v>216</v>
      </c>
      <c r="C885">
        <f t="shared" si="31"/>
        <v>111.05638383999998</v>
      </c>
      <c r="D885">
        <f t="shared" si="32"/>
        <v>104.94361616000002</v>
      </c>
    </row>
    <row r="886" spans="1:4">
      <c r="A886">
        <v>885</v>
      </c>
      <c r="B886">
        <v>205</v>
      </c>
      <c r="C886">
        <f t="shared" si="31"/>
        <v>110.97137025000001</v>
      </c>
      <c r="D886">
        <f t="shared" si="32"/>
        <v>94.028629749999993</v>
      </c>
    </row>
    <row r="887" spans="1:4">
      <c r="A887">
        <v>886</v>
      </c>
      <c r="B887">
        <v>211</v>
      </c>
      <c r="C887">
        <f t="shared" si="31"/>
        <v>110.88605444</v>
      </c>
      <c r="D887">
        <f t="shared" si="32"/>
        <v>100.11394556</v>
      </c>
    </row>
    <row r="888" spans="1:4">
      <c r="A888">
        <v>887</v>
      </c>
      <c r="B888">
        <v>192</v>
      </c>
      <c r="C888">
        <f t="shared" si="31"/>
        <v>110.80043640999997</v>
      </c>
      <c r="D888">
        <f t="shared" si="32"/>
        <v>81.199563590000025</v>
      </c>
    </row>
    <row r="889" spans="1:4">
      <c r="A889">
        <v>888</v>
      </c>
      <c r="B889">
        <v>175</v>
      </c>
      <c r="C889">
        <f t="shared" si="31"/>
        <v>110.71451615999999</v>
      </c>
      <c r="D889">
        <f t="shared" si="32"/>
        <v>64.285483840000012</v>
      </c>
    </row>
    <row r="890" spans="1:4">
      <c r="A890">
        <v>889</v>
      </c>
      <c r="B890">
        <v>164</v>
      </c>
      <c r="C890">
        <f t="shared" si="31"/>
        <v>110.62829368999998</v>
      </c>
      <c r="D890">
        <f t="shared" si="32"/>
        <v>53.371706310000022</v>
      </c>
    </row>
    <row r="891" spans="1:4">
      <c r="A891">
        <v>890</v>
      </c>
      <c r="B891">
        <v>158</v>
      </c>
      <c r="C891">
        <f t="shared" si="31"/>
        <v>110.54176899999997</v>
      </c>
      <c r="D891">
        <f t="shared" si="32"/>
        <v>47.458231000000026</v>
      </c>
    </row>
    <row r="892" spans="1:4">
      <c r="A892">
        <v>891</v>
      </c>
      <c r="B892">
        <v>166</v>
      </c>
      <c r="C892">
        <f t="shared" si="31"/>
        <v>110.45494208999999</v>
      </c>
      <c r="D892">
        <f t="shared" si="32"/>
        <v>55.545057910000011</v>
      </c>
    </row>
    <row r="893" spans="1:4">
      <c r="A893">
        <v>892</v>
      </c>
      <c r="B893">
        <v>210</v>
      </c>
      <c r="C893">
        <f t="shared" si="31"/>
        <v>110.36781295999998</v>
      </c>
      <c r="D893">
        <f t="shared" si="32"/>
        <v>99.632187040000019</v>
      </c>
    </row>
    <row r="894" spans="1:4">
      <c r="A894">
        <v>893</v>
      </c>
      <c r="B894">
        <v>233</v>
      </c>
      <c r="C894">
        <f t="shared" si="31"/>
        <v>110.28038160999999</v>
      </c>
      <c r="D894">
        <f t="shared" si="32"/>
        <v>122.71961839000001</v>
      </c>
    </row>
    <row r="895" spans="1:4">
      <c r="A895">
        <v>894</v>
      </c>
      <c r="B895">
        <v>243</v>
      </c>
      <c r="C895">
        <f t="shared" si="31"/>
        <v>110.19264803999998</v>
      </c>
      <c r="D895">
        <f t="shared" si="32"/>
        <v>132.80735196000001</v>
      </c>
    </row>
    <row r="896" spans="1:4">
      <c r="A896">
        <v>895</v>
      </c>
      <c r="B896">
        <v>216</v>
      </c>
      <c r="C896">
        <f t="shared" si="31"/>
        <v>110.10461224999999</v>
      </c>
      <c r="D896">
        <f t="shared" si="32"/>
        <v>105.89538775000001</v>
      </c>
    </row>
    <row r="897" spans="1:4">
      <c r="A897">
        <v>896</v>
      </c>
      <c r="B897">
        <v>194</v>
      </c>
      <c r="C897">
        <f t="shared" si="31"/>
        <v>110.01627424</v>
      </c>
      <c r="D897">
        <f t="shared" si="32"/>
        <v>83.983725759999999</v>
      </c>
    </row>
    <row r="898" spans="1:4">
      <c r="A898">
        <v>897</v>
      </c>
      <c r="B898">
        <v>166</v>
      </c>
      <c r="C898">
        <f t="shared" ref="C898:C961" si="33" xml:space="preserve"> -0.00015111*A898*A898 + 0.1823*A898 + 67.989</f>
        <v>109.92763400999999</v>
      </c>
      <c r="D898">
        <f t="shared" ref="D898:D961" si="34">B898-C898</f>
        <v>56.072365990000009</v>
      </c>
    </row>
    <row r="899" spans="1:4">
      <c r="A899">
        <v>898</v>
      </c>
      <c r="B899">
        <v>161</v>
      </c>
      <c r="C899">
        <f t="shared" si="33"/>
        <v>109.83869155999999</v>
      </c>
      <c r="D899">
        <f t="shared" si="34"/>
        <v>51.161308440000013</v>
      </c>
    </row>
    <row r="900" spans="1:4">
      <c r="A900">
        <v>899</v>
      </c>
      <c r="B900">
        <v>159</v>
      </c>
      <c r="C900">
        <f t="shared" si="33"/>
        <v>109.74944689</v>
      </c>
      <c r="D900">
        <f t="shared" si="34"/>
        <v>49.250553109999998</v>
      </c>
    </row>
    <row r="901" spans="1:4">
      <c r="A901">
        <v>900</v>
      </c>
      <c r="B901">
        <v>162</v>
      </c>
      <c r="C901">
        <f t="shared" si="33"/>
        <v>109.65989999999999</v>
      </c>
      <c r="D901">
        <f t="shared" si="34"/>
        <v>52.340100000000007</v>
      </c>
    </row>
    <row r="902" spans="1:4">
      <c r="A902">
        <v>901</v>
      </c>
      <c r="B902">
        <v>159</v>
      </c>
      <c r="C902">
        <f t="shared" si="33"/>
        <v>109.57005088999998</v>
      </c>
      <c r="D902">
        <f t="shared" si="34"/>
        <v>49.429949110000024</v>
      </c>
    </row>
    <row r="903" spans="1:4">
      <c r="A903">
        <v>902</v>
      </c>
      <c r="B903">
        <v>150</v>
      </c>
      <c r="C903">
        <f t="shared" si="33"/>
        <v>109.47989955999999</v>
      </c>
      <c r="D903">
        <f t="shared" si="34"/>
        <v>40.520100440000007</v>
      </c>
    </row>
    <row r="904" spans="1:4">
      <c r="A904">
        <v>903</v>
      </c>
      <c r="B904">
        <v>146</v>
      </c>
      <c r="C904">
        <f t="shared" si="33"/>
        <v>109.38944600999999</v>
      </c>
      <c r="D904">
        <f t="shared" si="34"/>
        <v>36.610553990000014</v>
      </c>
    </row>
    <row r="905" spans="1:4">
      <c r="A905">
        <v>904</v>
      </c>
      <c r="B905">
        <v>150</v>
      </c>
      <c r="C905">
        <f t="shared" si="33"/>
        <v>109.29869023999997</v>
      </c>
      <c r="D905">
        <f t="shared" si="34"/>
        <v>40.701309760000029</v>
      </c>
    </row>
    <row r="906" spans="1:4">
      <c r="A906">
        <v>905</v>
      </c>
      <c r="B906">
        <v>151</v>
      </c>
      <c r="C906">
        <f t="shared" si="33"/>
        <v>109.20763224999999</v>
      </c>
      <c r="D906">
        <f t="shared" si="34"/>
        <v>41.792367750000011</v>
      </c>
    </row>
    <row r="907" spans="1:4">
      <c r="A907">
        <v>906</v>
      </c>
      <c r="B907">
        <v>148</v>
      </c>
      <c r="C907">
        <f t="shared" si="33"/>
        <v>109.11627203999997</v>
      </c>
      <c r="D907">
        <f t="shared" si="34"/>
        <v>38.88372796000003</v>
      </c>
    </row>
    <row r="908" spans="1:4">
      <c r="A908">
        <v>907</v>
      </c>
      <c r="B908">
        <v>137</v>
      </c>
      <c r="C908">
        <f t="shared" si="33"/>
        <v>109.02460960999998</v>
      </c>
      <c r="D908">
        <f t="shared" si="34"/>
        <v>27.975390390000015</v>
      </c>
    </row>
    <row r="909" spans="1:4">
      <c r="A909">
        <v>908</v>
      </c>
      <c r="B909">
        <v>141</v>
      </c>
      <c r="C909">
        <f t="shared" si="33"/>
        <v>108.93264496</v>
      </c>
      <c r="D909">
        <f t="shared" si="34"/>
        <v>32.067355039999995</v>
      </c>
    </row>
    <row r="910" spans="1:4">
      <c r="A910">
        <v>909</v>
      </c>
      <c r="B910">
        <v>142</v>
      </c>
      <c r="C910">
        <f t="shared" si="33"/>
        <v>108.84037808999999</v>
      </c>
      <c r="D910">
        <f t="shared" si="34"/>
        <v>33.159621910000013</v>
      </c>
    </row>
    <row r="911" spans="1:4">
      <c r="A911">
        <v>910</v>
      </c>
      <c r="B911">
        <v>137</v>
      </c>
      <c r="C911">
        <f t="shared" si="33"/>
        <v>108.747809</v>
      </c>
      <c r="D911">
        <f t="shared" si="34"/>
        <v>28.252190999999996</v>
      </c>
    </row>
    <row r="912" spans="1:4">
      <c r="A912">
        <v>911</v>
      </c>
      <c r="B912">
        <v>134</v>
      </c>
      <c r="C912">
        <f t="shared" si="33"/>
        <v>108.65493769</v>
      </c>
      <c r="D912">
        <f t="shared" si="34"/>
        <v>25.345062310000003</v>
      </c>
    </row>
    <row r="913" spans="1:4">
      <c r="A913">
        <v>912</v>
      </c>
      <c r="B913">
        <v>129</v>
      </c>
      <c r="C913">
        <f t="shared" si="33"/>
        <v>108.56176415999998</v>
      </c>
      <c r="D913">
        <f t="shared" si="34"/>
        <v>20.438235840000019</v>
      </c>
    </row>
    <row r="914" spans="1:4">
      <c r="A914">
        <v>913</v>
      </c>
      <c r="B914">
        <v>123</v>
      </c>
      <c r="C914">
        <f t="shared" si="33"/>
        <v>108.46828841</v>
      </c>
      <c r="D914">
        <f t="shared" si="34"/>
        <v>14.53171159</v>
      </c>
    </row>
    <row r="915" spans="1:4">
      <c r="A915">
        <v>914</v>
      </c>
      <c r="B915">
        <v>121</v>
      </c>
      <c r="C915">
        <f t="shared" si="33"/>
        <v>108.37451043999999</v>
      </c>
      <c r="D915">
        <f t="shared" si="34"/>
        <v>12.625489560000005</v>
      </c>
    </row>
    <row r="916" spans="1:4">
      <c r="A916">
        <v>915</v>
      </c>
      <c r="B916">
        <v>118</v>
      </c>
      <c r="C916">
        <f t="shared" si="33"/>
        <v>108.28043024999998</v>
      </c>
      <c r="D916">
        <f t="shared" si="34"/>
        <v>9.7195697500000193</v>
      </c>
    </row>
    <row r="917" spans="1:4">
      <c r="A917">
        <v>916</v>
      </c>
      <c r="B917">
        <v>125</v>
      </c>
      <c r="C917">
        <f t="shared" si="33"/>
        <v>108.18604783999999</v>
      </c>
      <c r="D917">
        <f t="shared" si="34"/>
        <v>16.813952160000014</v>
      </c>
    </row>
    <row r="918" spans="1:4">
      <c r="A918">
        <v>917</v>
      </c>
      <c r="B918">
        <v>130</v>
      </c>
      <c r="C918">
        <f t="shared" si="33"/>
        <v>108.09136320999998</v>
      </c>
      <c r="D918">
        <f t="shared" si="34"/>
        <v>21.908636790000017</v>
      </c>
    </row>
    <row r="919" spans="1:4">
      <c r="A919">
        <v>918</v>
      </c>
      <c r="B919">
        <v>121</v>
      </c>
      <c r="C919">
        <f t="shared" si="33"/>
        <v>107.99637635999997</v>
      </c>
      <c r="D919">
        <f t="shared" si="34"/>
        <v>13.003623640000029</v>
      </c>
    </row>
    <row r="920" spans="1:4">
      <c r="A920">
        <v>919</v>
      </c>
      <c r="B920">
        <v>118</v>
      </c>
      <c r="C920">
        <f t="shared" si="33"/>
        <v>107.90108728999998</v>
      </c>
      <c r="D920">
        <f t="shared" si="34"/>
        <v>10.098912710000022</v>
      </c>
    </row>
    <row r="921" spans="1:4">
      <c r="A921">
        <v>920</v>
      </c>
      <c r="B921">
        <v>115</v>
      </c>
      <c r="C921">
        <f t="shared" si="33"/>
        <v>107.80549599999998</v>
      </c>
      <c r="D921">
        <f t="shared" si="34"/>
        <v>7.1945040000000233</v>
      </c>
    </row>
    <row r="922" spans="1:4">
      <c r="A922">
        <v>921</v>
      </c>
      <c r="B922">
        <v>124</v>
      </c>
      <c r="C922">
        <f t="shared" si="33"/>
        <v>107.70960248999995</v>
      </c>
      <c r="D922">
        <f t="shared" si="34"/>
        <v>16.290397510000048</v>
      </c>
    </row>
    <row r="923" spans="1:4">
      <c r="A923">
        <v>922</v>
      </c>
      <c r="B923">
        <v>122</v>
      </c>
      <c r="C923">
        <f t="shared" si="33"/>
        <v>107.61340676</v>
      </c>
      <c r="D923">
        <f t="shared" si="34"/>
        <v>14.386593239999996</v>
      </c>
    </row>
    <row r="924" spans="1:4">
      <c r="A924">
        <v>923</v>
      </c>
      <c r="B924">
        <v>140</v>
      </c>
      <c r="C924">
        <f t="shared" si="33"/>
        <v>107.51690880999999</v>
      </c>
      <c r="D924">
        <f t="shared" si="34"/>
        <v>32.48309119000001</v>
      </c>
    </row>
    <row r="925" spans="1:4">
      <c r="A925">
        <v>924</v>
      </c>
      <c r="B925">
        <v>152</v>
      </c>
      <c r="C925">
        <f t="shared" si="33"/>
        <v>107.42010864</v>
      </c>
      <c r="D925">
        <f t="shared" si="34"/>
        <v>44.579891360000005</v>
      </c>
    </row>
    <row r="926" spans="1:4">
      <c r="A926">
        <v>925</v>
      </c>
      <c r="B926">
        <v>189</v>
      </c>
      <c r="C926">
        <f t="shared" si="33"/>
        <v>107.32300624999999</v>
      </c>
      <c r="D926">
        <f t="shared" si="34"/>
        <v>81.676993750000008</v>
      </c>
    </row>
    <row r="927" spans="1:4">
      <c r="A927">
        <v>926</v>
      </c>
      <c r="B927">
        <v>248</v>
      </c>
      <c r="C927">
        <f t="shared" si="33"/>
        <v>107.22560163999998</v>
      </c>
      <c r="D927">
        <f t="shared" si="34"/>
        <v>140.77439836000002</v>
      </c>
    </row>
    <row r="928" spans="1:4">
      <c r="A928">
        <v>927</v>
      </c>
      <c r="B928">
        <v>363</v>
      </c>
      <c r="C928">
        <f t="shared" si="33"/>
        <v>107.12789480999999</v>
      </c>
      <c r="D928">
        <f t="shared" si="34"/>
        <v>255.87210519000001</v>
      </c>
    </row>
    <row r="929" spans="1:8">
      <c r="A929">
        <v>928</v>
      </c>
      <c r="B929">
        <v>477</v>
      </c>
      <c r="C929">
        <f t="shared" si="33"/>
        <v>107.02988575999998</v>
      </c>
      <c r="D929">
        <f t="shared" si="34"/>
        <v>369.97011424000004</v>
      </c>
    </row>
    <row r="930" spans="1:8">
      <c r="A930">
        <v>929</v>
      </c>
      <c r="B930">
        <v>492</v>
      </c>
      <c r="C930">
        <f t="shared" si="33"/>
        <v>106.93157448999997</v>
      </c>
      <c r="D930">
        <f t="shared" si="34"/>
        <v>385.06842551</v>
      </c>
    </row>
    <row r="931" spans="1:8">
      <c r="A931">
        <v>930</v>
      </c>
      <c r="B931">
        <v>434</v>
      </c>
      <c r="C931">
        <f t="shared" si="33"/>
        <v>106.83296099999998</v>
      </c>
      <c r="D931">
        <f t="shared" si="34"/>
        <v>327.16703900000005</v>
      </c>
    </row>
    <row r="932" spans="1:8">
      <c r="A932">
        <v>931</v>
      </c>
      <c r="B932">
        <v>349</v>
      </c>
      <c r="C932">
        <f t="shared" si="33"/>
        <v>106.73404528999998</v>
      </c>
      <c r="D932">
        <f t="shared" si="34"/>
        <v>242.26595471000002</v>
      </c>
    </row>
    <row r="933" spans="1:8">
      <c r="A933">
        <v>932</v>
      </c>
      <c r="B933">
        <v>301</v>
      </c>
      <c r="C933">
        <f t="shared" si="33"/>
        <v>106.63482735999997</v>
      </c>
      <c r="D933">
        <f t="shared" si="34"/>
        <v>194.36517264000003</v>
      </c>
    </row>
    <row r="934" spans="1:8">
      <c r="A934">
        <v>933</v>
      </c>
      <c r="B934">
        <v>294</v>
      </c>
      <c r="C934">
        <f t="shared" si="33"/>
        <v>106.53530720999998</v>
      </c>
      <c r="D934">
        <f t="shared" si="34"/>
        <v>187.46469279000002</v>
      </c>
    </row>
    <row r="935" spans="1:8">
      <c r="A935">
        <v>934</v>
      </c>
      <c r="B935">
        <v>348</v>
      </c>
      <c r="C935">
        <f t="shared" si="33"/>
        <v>106.43548483999999</v>
      </c>
      <c r="D935">
        <f t="shared" si="34"/>
        <v>241.56451516000001</v>
      </c>
    </row>
    <row r="936" spans="1:8">
      <c r="A936">
        <v>935</v>
      </c>
      <c r="B936">
        <v>478</v>
      </c>
      <c r="C936">
        <f t="shared" si="33"/>
        <v>106.33536024999995</v>
      </c>
      <c r="D936">
        <f t="shared" si="34"/>
        <v>371.66463975000005</v>
      </c>
    </row>
    <row r="937" spans="1:8">
      <c r="A937">
        <v>936</v>
      </c>
      <c r="B937">
        <v>729</v>
      </c>
      <c r="C937">
        <f t="shared" si="33"/>
        <v>106.23493343999999</v>
      </c>
      <c r="D937">
        <f t="shared" si="34"/>
        <v>622.76506656000004</v>
      </c>
    </row>
    <row r="938" spans="1:8">
      <c r="A938">
        <v>937</v>
      </c>
      <c r="B938">
        <v>1401</v>
      </c>
      <c r="C938">
        <f t="shared" si="33"/>
        <v>106.13420441</v>
      </c>
      <c r="D938">
        <f t="shared" si="34"/>
        <v>1294.8657955900001</v>
      </c>
    </row>
    <row r="939" spans="1:8">
      <c r="A939">
        <v>938</v>
      </c>
      <c r="B939">
        <v>2976</v>
      </c>
      <c r="C939">
        <f t="shared" si="33"/>
        <v>106.03317316000002</v>
      </c>
      <c r="D939">
        <f t="shared" si="34"/>
        <v>2869.9668268400001</v>
      </c>
    </row>
    <row r="940" spans="1:8">
      <c r="A940">
        <v>939</v>
      </c>
      <c r="B940">
        <v>5287</v>
      </c>
      <c r="C940">
        <f t="shared" si="33"/>
        <v>105.93183969</v>
      </c>
      <c r="D940">
        <f t="shared" si="34"/>
        <v>5181.0681603100002</v>
      </c>
    </row>
    <row r="941" spans="1:8">
      <c r="A941">
        <v>940</v>
      </c>
      <c r="B941">
        <v>7216</v>
      </c>
      <c r="C941">
        <f t="shared" si="33"/>
        <v>105.83020399999998</v>
      </c>
      <c r="D941">
        <f t="shared" si="34"/>
        <v>7110.1697960000001</v>
      </c>
    </row>
    <row r="942" spans="1:8" ht="17.25">
      <c r="A942">
        <v>941</v>
      </c>
      <c r="B942">
        <v>7370</v>
      </c>
      <c r="C942">
        <f t="shared" si="33"/>
        <v>105.72826609000001</v>
      </c>
      <c r="D942">
        <f t="shared" si="34"/>
        <v>7264.27173391</v>
      </c>
      <c r="F942">
        <v>941</v>
      </c>
      <c r="G942">
        <v>7</v>
      </c>
      <c r="H942" t="s">
        <v>169</v>
      </c>
    </row>
    <row r="943" spans="1:8">
      <c r="A943">
        <v>942</v>
      </c>
      <c r="B943">
        <v>5991</v>
      </c>
      <c r="C943">
        <f t="shared" si="33"/>
        <v>105.62602595999999</v>
      </c>
      <c r="D943">
        <f t="shared" si="34"/>
        <v>5885.3739740399997</v>
      </c>
    </row>
    <row r="944" spans="1:8">
      <c r="A944">
        <v>943</v>
      </c>
      <c r="B944">
        <v>4216</v>
      </c>
      <c r="C944">
        <f t="shared" si="33"/>
        <v>105.52348360999997</v>
      </c>
      <c r="D944">
        <f t="shared" si="34"/>
        <v>4110.4765163900001</v>
      </c>
    </row>
    <row r="945" spans="1:4">
      <c r="A945">
        <v>944</v>
      </c>
      <c r="B945">
        <v>2739</v>
      </c>
      <c r="C945">
        <f t="shared" si="33"/>
        <v>105.42063904</v>
      </c>
      <c r="D945">
        <f t="shared" si="34"/>
        <v>2633.57936096</v>
      </c>
    </row>
    <row r="946" spans="1:4">
      <c r="A946">
        <v>945</v>
      </c>
      <c r="B946">
        <v>1830</v>
      </c>
      <c r="C946">
        <f t="shared" si="33"/>
        <v>105.31749224999999</v>
      </c>
      <c r="D946">
        <f t="shared" si="34"/>
        <v>1724.68250775</v>
      </c>
    </row>
    <row r="947" spans="1:4">
      <c r="A947">
        <v>946</v>
      </c>
      <c r="B947">
        <v>1316</v>
      </c>
      <c r="C947">
        <f t="shared" si="33"/>
        <v>105.21404323999997</v>
      </c>
      <c r="D947">
        <f t="shared" si="34"/>
        <v>1210.7859567600001</v>
      </c>
    </row>
    <row r="948" spans="1:4">
      <c r="A948">
        <v>947</v>
      </c>
      <c r="B948">
        <v>920</v>
      </c>
      <c r="C948">
        <f t="shared" si="33"/>
        <v>105.11029200999999</v>
      </c>
      <c r="D948">
        <f t="shared" si="34"/>
        <v>814.88970799000003</v>
      </c>
    </row>
    <row r="949" spans="1:4">
      <c r="A949">
        <v>948</v>
      </c>
      <c r="B949">
        <v>641</v>
      </c>
      <c r="C949">
        <f t="shared" si="33"/>
        <v>105.00623855999999</v>
      </c>
      <c r="D949">
        <f t="shared" si="34"/>
        <v>535.99376144000007</v>
      </c>
    </row>
    <row r="950" spans="1:4">
      <c r="A950">
        <v>949</v>
      </c>
      <c r="B950">
        <v>451</v>
      </c>
      <c r="C950">
        <f t="shared" si="33"/>
        <v>104.90188289</v>
      </c>
      <c r="D950">
        <f t="shared" si="34"/>
        <v>346.09811710999998</v>
      </c>
    </row>
    <row r="951" spans="1:4">
      <c r="A951">
        <v>950</v>
      </c>
      <c r="B951">
        <v>320</v>
      </c>
      <c r="C951">
        <f t="shared" si="33"/>
        <v>104.797225</v>
      </c>
      <c r="D951">
        <f t="shared" si="34"/>
        <v>215.202775</v>
      </c>
    </row>
    <row r="952" spans="1:4">
      <c r="A952">
        <v>951</v>
      </c>
      <c r="B952">
        <v>271</v>
      </c>
      <c r="C952">
        <f t="shared" si="33"/>
        <v>104.69226488999999</v>
      </c>
      <c r="D952">
        <f t="shared" si="34"/>
        <v>166.30773511000001</v>
      </c>
    </row>
    <row r="953" spans="1:4">
      <c r="A953">
        <v>952</v>
      </c>
      <c r="B953">
        <v>259</v>
      </c>
      <c r="C953">
        <f t="shared" si="33"/>
        <v>104.58700255999997</v>
      </c>
      <c r="D953">
        <f t="shared" si="34"/>
        <v>154.41299744000003</v>
      </c>
    </row>
    <row r="954" spans="1:4">
      <c r="A954">
        <v>953</v>
      </c>
      <c r="B954">
        <v>255</v>
      </c>
      <c r="C954">
        <f t="shared" si="33"/>
        <v>104.48143801000001</v>
      </c>
      <c r="D954">
        <f t="shared" si="34"/>
        <v>150.51856198999999</v>
      </c>
    </row>
    <row r="955" spans="1:4">
      <c r="A955">
        <v>954</v>
      </c>
      <c r="B955">
        <v>311</v>
      </c>
      <c r="C955">
        <f t="shared" si="33"/>
        <v>104.37557124</v>
      </c>
      <c r="D955">
        <f t="shared" si="34"/>
        <v>206.62442876</v>
      </c>
    </row>
    <row r="956" spans="1:4">
      <c r="A956">
        <v>955</v>
      </c>
      <c r="B956">
        <v>346</v>
      </c>
      <c r="C956">
        <f t="shared" si="33"/>
        <v>104.26940225000001</v>
      </c>
      <c r="D956">
        <f t="shared" si="34"/>
        <v>241.73059774999999</v>
      </c>
    </row>
    <row r="957" spans="1:4">
      <c r="A957">
        <v>956</v>
      </c>
      <c r="B957">
        <v>370</v>
      </c>
      <c r="C957">
        <f t="shared" si="33"/>
        <v>104.16293103999999</v>
      </c>
      <c r="D957">
        <f t="shared" si="34"/>
        <v>265.83706896000001</v>
      </c>
    </row>
    <row r="958" spans="1:4">
      <c r="A958">
        <v>957</v>
      </c>
      <c r="B958">
        <v>390</v>
      </c>
      <c r="C958">
        <f t="shared" si="33"/>
        <v>104.05615760999999</v>
      </c>
      <c r="D958">
        <f t="shared" si="34"/>
        <v>285.94384238999999</v>
      </c>
    </row>
    <row r="959" spans="1:4">
      <c r="A959">
        <v>958</v>
      </c>
      <c r="B959">
        <v>374</v>
      </c>
      <c r="C959">
        <f t="shared" si="33"/>
        <v>103.94908196</v>
      </c>
      <c r="D959">
        <f t="shared" si="34"/>
        <v>270.05091804</v>
      </c>
    </row>
    <row r="960" spans="1:4">
      <c r="A960">
        <v>959</v>
      </c>
      <c r="B960">
        <v>345</v>
      </c>
      <c r="C960">
        <f t="shared" si="33"/>
        <v>103.84170408999998</v>
      </c>
      <c r="D960">
        <f t="shared" si="34"/>
        <v>241.15829591000002</v>
      </c>
    </row>
    <row r="961" spans="1:4">
      <c r="A961">
        <v>960</v>
      </c>
      <c r="B961">
        <v>317</v>
      </c>
      <c r="C961">
        <f t="shared" si="33"/>
        <v>103.73402399999998</v>
      </c>
      <c r="D961">
        <f t="shared" si="34"/>
        <v>213.26597600000002</v>
      </c>
    </row>
    <row r="962" spans="1:4">
      <c r="A962">
        <v>961</v>
      </c>
      <c r="B962">
        <v>305</v>
      </c>
      <c r="C962">
        <f t="shared" ref="C962:C1025" si="35" xml:space="preserve"> -0.00015111*A962*A962 + 0.1823*A962 + 67.989</f>
        <v>103.62604168999999</v>
      </c>
      <c r="D962">
        <f t="shared" ref="D962:D1025" si="36">B962-C962</f>
        <v>201.37395831000001</v>
      </c>
    </row>
    <row r="963" spans="1:4">
      <c r="A963">
        <v>962</v>
      </c>
      <c r="B963">
        <v>294</v>
      </c>
      <c r="C963">
        <f t="shared" si="35"/>
        <v>103.51775715999997</v>
      </c>
      <c r="D963">
        <f t="shared" si="36"/>
        <v>190.48224284000003</v>
      </c>
    </row>
    <row r="964" spans="1:4">
      <c r="A964">
        <v>963</v>
      </c>
      <c r="B964">
        <v>291</v>
      </c>
      <c r="C964">
        <f t="shared" si="35"/>
        <v>103.40917041</v>
      </c>
      <c r="D964">
        <f t="shared" si="36"/>
        <v>187.59082959</v>
      </c>
    </row>
    <row r="965" spans="1:4">
      <c r="A965">
        <v>964</v>
      </c>
      <c r="B965">
        <v>288</v>
      </c>
      <c r="C965">
        <f t="shared" si="35"/>
        <v>103.30028143999999</v>
      </c>
      <c r="D965">
        <f t="shared" si="36"/>
        <v>184.69971856000001</v>
      </c>
    </row>
    <row r="966" spans="1:4">
      <c r="A966">
        <v>965</v>
      </c>
      <c r="B966">
        <v>285</v>
      </c>
      <c r="C966">
        <f t="shared" si="35"/>
        <v>103.19109025</v>
      </c>
      <c r="D966">
        <f t="shared" si="36"/>
        <v>181.80890975</v>
      </c>
    </row>
    <row r="967" spans="1:4">
      <c r="A967">
        <v>966</v>
      </c>
      <c r="B967">
        <v>272</v>
      </c>
      <c r="C967">
        <f t="shared" si="35"/>
        <v>103.08159683999997</v>
      </c>
      <c r="D967">
        <f t="shared" si="36"/>
        <v>168.91840316000003</v>
      </c>
    </row>
    <row r="968" spans="1:4">
      <c r="A968">
        <v>967</v>
      </c>
      <c r="B968">
        <v>258</v>
      </c>
      <c r="C968">
        <f t="shared" si="35"/>
        <v>102.97180121</v>
      </c>
      <c r="D968">
        <f t="shared" si="36"/>
        <v>155.02819879</v>
      </c>
    </row>
    <row r="969" spans="1:4">
      <c r="A969">
        <v>968</v>
      </c>
      <c r="B969">
        <v>253</v>
      </c>
      <c r="C969">
        <f t="shared" si="35"/>
        <v>102.86170335999998</v>
      </c>
      <c r="D969">
        <f t="shared" si="36"/>
        <v>150.13829664000002</v>
      </c>
    </row>
    <row r="970" spans="1:4">
      <c r="A970">
        <v>969</v>
      </c>
      <c r="B970">
        <v>234</v>
      </c>
      <c r="C970">
        <f t="shared" si="35"/>
        <v>102.75130329000001</v>
      </c>
      <c r="D970">
        <f t="shared" si="36"/>
        <v>131.24869670999999</v>
      </c>
    </row>
    <row r="971" spans="1:4">
      <c r="A971">
        <v>970</v>
      </c>
      <c r="B971">
        <v>255</v>
      </c>
      <c r="C971">
        <f t="shared" si="35"/>
        <v>102.64060099999998</v>
      </c>
      <c r="D971">
        <f t="shared" si="36"/>
        <v>152.35939900000002</v>
      </c>
    </row>
    <row r="972" spans="1:4">
      <c r="A972">
        <v>971</v>
      </c>
      <c r="B972">
        <v>318</v>
      </c>
      <c r="C972">
        <f t="shared" si="35"/>
        <v>102.52959648999999</v>
      </c>
      <c r="D972">
        <f t="shared" si="36"/>
        <v>215.47040351000001</v>
      </c>
    </row>
    <row r="973" spans="1:4">
      <c r="A973">
        <v>972</v>
      </c>
      <c r="B973">
        <v>396</v>
      </c>
      <c r="C973">
        <f t="shared" si="35"/>
        <v>102.41828975999999</v>
      </c>
      <c r="D973">
        <f t="shared" si="36"/>
        <v>293.58171024000001</v>
      </c>
    </row>
    <row r="974" spans="1:4">
      <c r="A974">
        <v>973</v>
      </c>
      <c r="B974">
        <v>411</v>
      </c>
      <c r="C974">
        <f t="shared" si="35"/>
        <v>102.30668080999999</v>
      </c>
      <c r="D974">
        <f t="shared" si="36"/>
        <v>308.69331919000001</v>
      </c>
    </row>
    <row r="975" spans="1:4">
      <c r="A975">
        <v>974</v>
      </c>
      <c r="B975">
        <v>396</v>
      </c>
      <c r="C975">
        <f t="shared" si="35"/>
        <v>102.19476963999998</v>
      </c>
      <c r="D975">
        <f t="shared" si="36"/>
        <v>293.80523036</v>
      </c>
    </row>
    <row r="976" spans="1:4">
      <c r="A976">
        <v>975</v>
      </c>
      <c r="B976">
        <v>325</v>
      </c>
      <c r="C976">
        <f t="shared" si="35"/>
        <v>102.08255624999998</v>
      </c>
      <c r="D976">
        <f t="shared" si="36"/>
        <v>222.91744375000002</v>
      </c>
    </row>
    <row r="977" spans="1:4">
      <c r="A977">
        <v>976</v>
      </c>
      <c r="B977">
        <v>252</v>
      </c>
      <c r="C977">
        <f t="shared" si="35"/>
        <v>101.97004063999998</v>
      </c>
      <c r="D977">
        <f t="shared" si="36"/>
        <v>150.02995936000002</v>
      </c>
    </row>
    <row r="978" spans="1:4">
      <c r="A978">
        <v>977</v>
      </c>
      <c r="B978">
        <v>197</v>
      </c>
      <c r="C978">
        <f t="shared" si="35"/>
        <v>101.85722281</v>
      </c>
      <c r="D978">
        <f t="shared" si="36"/>
        <v>95.142777190000004</v>
      </c>
    </row>
    <row r="979" spans="1:4">
      <c r="A979">
        <v>978</v>
      </c>
      <c r="B979">
        <v>171</v>
      </c>
      <c r="C979">
        <f t="shared" si="35"/>
        <v>101.74410276</v>
      </c>
      <c r="D979">
        <f t="shared" si="36"/>
        <v>69.255897239999996</v>
      </c>
    </row>
    <row r="980" spans="1:4">
      <c r="A980">
        <v>979</v>
      </c>
      <c r="B980">
        <v>162</v>
      </c>
      <c r="C980">
        <f t="shared" si="35"/>
        <v>101.63068049</v>
      </c>
      <c r="D980">
        <f t="shared" si="36"/>
        <v>60.369319509999997</v>
      </c>
    </row>
    <row r="981" spans="1:4">
      <c r="A981">
        <v>980</v>
      </c>
      <c r="B981">
        <v>152</v>
      </c>
      <c r="C981">
        <f t="shared" si="35"/>
        <v>101.51695599999999</v>
      </c>
      <c r="D981">
        <f t="shared" si="36"/>
        <v>50.483044000000007</v>
      </c>
    </row>
    <row r="982" spans="1:4">
      <c r="A982">
        <v>981</v>
      </c>
      <c r="B982">
        <v>173</v>
      </c>
      <c r="C982">
        <f t="shared" si="35"/>
        <v>101.40292929</v>
      </c>
      <c r="D982">
        <f t="shared" si="36"/>
        <v>71.597070709999997</v>
      </c>
    </row>
    <row r="983" spans="1:4">
      <c r="A983">
        <v>982</v>
      </c>
      <c r="B983">
        <v>177</v>
      </c>
      <c r="C983">
        <f t="shared" si="35"/>
        <v>101.28860035999998</v>
      </c>
      <c r="D983">
        <f t="shared" si="36"/>
        <v>75.711399640000025</v>
      </c>
    </row>
    <row r="984" spans="1:4">
      <c r="A984">
        <v>983</v>
      </c>
      <c r="B984">
        <v>197</v>
      </c>
      <c r="C984">
        <f t="shared" si="35"/>
        <v>101.17396920999997</v>
      </c>
      <c r="D984">
        <f t="shared" si="36"/>
        <v>95.826030790000033</v>
      </c>
    </row>
    <row r="985" spans="1:4">
      <c r="A985">
        <v>984</v>
      </c>
      <c r="B985">
        <v>226</v>
      </c>
      <c r="C985">
        <f t="shared" si="35"/>
        <v>101.05903583999998</v>
      </c>
      <c r="D985">
        <f t="shared" si="36"/>
        <v>124.94096416000002</v>
      </c>
    </row>
    <row r="986" spans="1:4">
      <c r="A986">
        <v>985</v>
      </c>
      <c r="B986">
        <v>226</v>
      </c>
      <c r="C986">
        <f t="shared" si="35"/>
        <v>100.94380024999998</v>
      </c>
      <c r="D986">
        <f t="shared" si="36"/>
        <v>125.05619975000002</v>
      </c>
    </row>
    <row r="987" spans="1:4">
      <c r="A987">
        <v>986</v>
      </c>
      <c r="B987">
        <v>229</v>
      </c>
      <c r="C987">
        <f t="shared" si="35"/>
        <v>100.82826244</v>
      </c>
      <c r="D987">
        <f t="shared" si="36"/>
        <v>128.17173756</v>
      </c>
    </row>
    <row r="988" spans="1:4">
      <c r="A988">
        <v>987</v>
      </c>
      <c r="B988">
        <v>249</v>
      </c>
      <c r="C988">
        <f t="shared" si="35"/>
        <v>100.71242240999999</v>
      </c>
      <c r="D988">
        <f t="shared" si="36"/>
        <v>148.28757759000001</v>
      </c>
    </row>
    <row r="989" spans="1:4">
      <c r="A989">
        <v>988</v>
      </c>
      <c r="B989">
        <v>246</v>
      </c>
      <c r="C989">
        <f t="shared" si="35"/>
        <v>100.59628015999996</v>
      </c>
      <c r="D989">
        <f t="shared" si="36"/>
        <v>145.40371984000004</v>
      </c>
    </row>
    <row r="990" spans="1:4">
      <c r="A990">
        <v>989</v>
      </c>
      <c r="B990">
        <v>234</v>
      </c>
      <c r="C990">
        <f t="shared" si="35"/>
        <v>100.47983568999999</v>
      </c>
      <c r="D990">
        <f t="shared" si="36"/>
        <v>133.52016431000001</v>
      </c>
    </row>
    <row r="991" spans="1:4">
      <c r="A991">
        <v>990</v>
      </c>
      <c r="B991">
        <v>225</v>
      </c>
      <c r="C991">
        <f t="shared" si="35"/>
        <v>100.363089</v>
      </c>
      <c r="D991">
        <f t="shared" si="36"/>
        <v>124.636911</v>
      </c>
    </row>
    <row r="992" spans="1:4">
      <c r="A992">
        <v>991</v>
      </c>
      <c r="B992">
        <v>203</v>
      </c>
      <c r="C992">
        <f t="shared" si="35"/>
        <v>100.24604008999998</v>
      </c>
      <c r="D992">
        <f t="shared" si="36"/>
        <v>102.75395991000002</v>
      </c>
    </row>
    <row r="993" spans="1:4">
      <c r="A993">
        <v>992</v>
      </c>
      <c r="B993">
        <v>206</v>
      </c>
      <c r="C993">
        <f t="shared" si="35"/>
        <v>100.12868896000001</v>
      </c>
      <c r="D993">
        <f t="shared" si="36"/>
        <v>105.87131103999999</v>
      </c>
    </row>
    <row r="994" spans="1:4">
      <c r="A994">
        <v>993</v>
      </c>
      <c r="B994">
        <v>212</v>
      </c>
      <c r="C994">
        <f t="shared" si="35"/>
        <v>100.01103560999999</v>
      </c>
      <c r="D994">
        <f t="shared" si="36"/>
        <v>111.98896439000001</v>
      </c>
    </row>
    <row r="995" spans="1:4">
      <c r="A995">
        <v>994</v>
      </c>
      <c r="B995">
        <v>206</v>
      </c>
      <c r="C995">
        <f t="shared" si="35"/>
        <v>99.893080039999973</v>
      </c>
      <c r="D995">
        <f t="shared" si="36"/>
        <v>106.10691996000003</v>
      </c>
    </row>
    <row r="996" spans="1:4">
      <c r="A996">
        <v>995</v>
      </c>
      <c r="B996">
        <v>208</v>
      </c>
      <c r="C996">
        <f t="shared" si="35"/>
        <v>99.77482225</v>
      </c>
      <c r="D996">
        <f t="shared" si="36"/>
        <v>108.22517775</v>
      </c>
    </row>
    <row r="997" spans="1:4">
      <c r="A997">
        <v>996</v>
      </c>
      <c r="B997">
        <v>227</v>
      </c>
      <c r="C997">
        <f t="shared" si="35"/>
        <v>99.65626223999999</v>
      </c>
      <c r="D997">
        <f t="shared" si="36"/>
        <v>127.34373776000001</v>
      </c>
    </row>
    <row r="998" spans="1:4">
      <c r="A998">
        <v>997</v>
      </c>
      <c r="B998">
        <v>237</v>
      </c>
      <c r="C998">
        <f t="shared" si="35"/>
        <v>99.537400009999971</v>
      </c>
      <c r="D998">
        <f t="shared" si="36"/>
        <v>137.46259999000003</v>
      </c>
    </row>
    <row r="999" spans="1:4">
      <c r="A999">
        <v>998</v>
      </c>
      <c r="B999">
        <v>237</v>
      </c>
      <c r="C999">
        <f t="shared" si="35"/>
        <v>99.418235559999999</v>
      </c>
      <c r="D999">
        <f t="shared" si="36"/>
        <v>137.58176444</v>
      </c>
    </row>
    <row r="1000" spans="1:4">
      <c r="A1000">
        <v>999</v>
      </c>
      <c r="B1000">
        <v>237</v>
      </c>
      <c r="C1000">
        <f t="shared" si="35"/>
        <v>99.298768889999991</v>
      </c>
      <c r="D1000">
        <f t="shared" si="36"/>
        <v>137.70123111000001</v>
      </c>
    </row>
    <row r="1001" spans="1:4">
      <c r="A1001">
        <v>1000</v>
      </c>
      <c r="B1001">
        <v>248</v>
      </c>
      <c r="C1001">
        <f t="shared" si="35"/>
        <v>99.178999999999974</v>
      </c>
      <c r="D1001">
        <f t="shared" si="36"/>
        <v>148.82100000000003</v>
      </c>
    </row>
    <row r="1002" spans="1:4">
      <c r="A1002">
        <v>1001</v>
      </c>
      <c r="B1002">
        <v>256</v>
      </c>
      <c r="C1002">
        <f t="shared" si="35"/>
        <v>99.058928889999976</v>
      </c>
      <c r="D1002">
        <f t="shared" si="36"/>
        <v>156.94107111000002</v>
      </c>
    </row>
    <row r="1003" spans="1:4">
      <c r="A1003">
        <v>1002</v>
      </c>
      <c r="B1003">
        <v>287</v>
      </c>
      <c r="C1003">
        <f t="shared" si="35"/>
        <v>98.938555559999969</v>
      </c>
      <c r="D1003">
        <f t="shared" si="36"/>
        <v>188.06144444000003</v>
      </c>
    </row>
    <row r="1004" spans="1:4">
      <c r="A1004">
        <v>1003</v>
      </c>
      <c r="B1004">
        <v>333</v>
      </c>
      <c r="C1004">
        <f t="shared" si="35"/>
        <v>98.817880009999982</v>
      </c>
      <c r="D1004">
        <f t="shared" si="36"/>
        <v>234.18211999000002</v>
      </c>
    </row>
    <row r="1005" spans="1:4">
      <c r="A1005">
        <v>1004</v>
      </c>
      <c r="B1005">
        <v>459</v>
      </c>
      <c r="C1005">
        <f t="shared" si="35"/>
        <v>98.696902240000014</v>
      </c>
      <c r="D1005">
        <f t="shared" si="36"/>
        <v>360.30309776000001</v>
      </c>
    </row>
    <row r="1006" spans="1:4">
      <c r="A1006">
        <v>1005</v>
      </c>
      <c r="B1006">
        <v>719</v>
      </c>
      <c r="C1006">
        <f t="shared" si="35"/>
        <v>98.575622249999981</v>
      </c>
      <c r="D1006">
        <f t="shared" si="36"/>
        <v>620.42437775000008</v>
      </c>
    </row>
    <row r="1007" spans="1:4">
      <c r="A1007">
        <v>1006</v>
      </c>
      <c r="B1007">
        <v>1160</v>
      </c>
      <c r="C1007">
        <f t="shared" si="35"/>
        <v>98.454040039999995</v>
      </c>
      <c r="D1007">
        <f t="shared" si="36"/>
        <v>1061.5459599599999</v>
      </c>
    </row>
    <row r="1008" spans="1:4">
      <c r="A1008">
        <v>1007</v>
      </c>
      <c r="B1008">
        <v>1786</v>
      </c>
      <c r="C1008">
        <f t="shared" si="35"/>
        <v>98.332155610000001</v>
      </c>
      <c r="D1008">
        <f t="shared" si="36"/>
        <v>1687.66784439</v>
      </c>
    </row>
    <row r="1009" spans="1:4">
      <c r="A1009">
        <v>1008</v>
      </c>
      <c r="B1009">
        <v>2912</v>
      </c>
      <c r="C1009">
        <f t="shared" si="35"/>
        <v>98.209968959999969</v>
      </c>
      <c r="D1009">
        <f t="shared" si="36"/>
        <v>2813.79003104</v>
      </c>
    </row>
    <row r="1010" spans="1:4">
      <c r="A1010">
        <v>1009</v>
      </c>
      <c r="B1010">
        <v>5578</v>
      </c>
      <c r="C1010">
        <f t="shared" si="35"/>
        <v>98.087480089999985</v>
      </c>
      <c r="D1010">
        <f t="shared" si="36"/>
        <v>5479.9125199099999</v>
      </c>
    </row>
    <row r="1011" spans="1:4">
      <c r="A1011">
        <v>1010</v>
      </c>
      <c r="B1011">
        <v>12581</v>
      </c>
      <c r="C1011">
        <f t="shared" si="35"/>
        <v>97.964688999999993</v>
      </c>
      <c r="D1011">
        <f t="shared" si="36"/>
        <v>12483.035311</v>
      </c>
    </row>
    <row r="1012" spans="1:4">
      <c r="A1012">
        <v>1011</v>
      </c>
      <c r="B1012">
        <v>23015</v>
      </c>
      <c r="C1012">
        <f t="shared" si="35"/>
        <v>97.841595689999963</v>
      </c>
      <c r="D1012">
        <f t="shared" si="36"/>
        <v>22917.158404310001</v>
      </c>
    </row>
    <row r="1013" spans="1:4">
      <c r="A1013">
        <v>1012</v>
      </c>
      <c r="B1013">
        <v>31571</v>
      </c>
      <c r="C1013">
        <f t="shared" si="35"/>
        <v>97.718200159999981</v>
      </c>
      <c r="D1013">
        <f t="shared" si="36"/>
        <v>31473.281799839999</v>
      </c>
    </row>
    <row r="1014" spans="1:4">
      <c r="A1014">
        <v>1013</v>
      </c>
      <c r="B1014">
        <v>32766</v>
      </c>
      <c r="C1014">
        <f t="shared" si="35"/>
        <v>97.59450240999999</v>
      </c>
      <c r="D1014">
        <f t="shared" si="36"/>
        <v>32668.40549759</v>
      </c>
    </row>
    <row r="1015" spans="1:4">
      <c r="A1015">
        <v>1014</v>
      </c>
      <c r="B1015">
        <v>29891</v>
      </c>
      <c r="C1015">
        <f t="shared" si="35"/>
        <v>97.470502439999962</v>
      </c>
      <c r="D1015">
        <f t="shared" si="36"/>
        <v>29793.529497560001</v>
      </c>
    </row>
    <row r="1016" spans="1:4">
      <c r="A1016">
        <v>1015</v>
      </c>
      <c r="B1016">
        <v>19798</v>
      </c>
      <c r="C1016">
        <f t="shared" si="35"/>
        <v>97.346200249999981</v>
      </c>
      <c r="D1016">
        <f t="shared" si="36"/>
        <v>19700.653799750002</v>
      </c>
    </row>
    <row r="1017" spans="1:4">
      <c r="A1017">
        <v>1016</v>
      </c>
      <c r="B1017">
        <v>10480</v>
      </c>
      <c r="C1017">
        <f t="shared" si="35"/>
        <v>97.221595839999964</v>
      </c>
      <c r="D1017">
        <f t="shared" si="36"/>
        <v>10382.778404160001</v>
      </c>
    </row>
    <row r="1018" spans="1:4">
      <c r="A1018">
        <v>1017</v>
      </c>
      <c r="B1018">
        <v>5045</v>
      </c>
      <c r="C1018">
        <f t="shared" si="35"/>
        <v>97.096689209999994</v>
      </c>
      <c r="D1018">
        <f t="shared" si="36"/>
        <v>4947.9033107900004</v>
      </c>
    </row>
    <row r="1019" spans="1:4">
      <c r="A1019">
        <v>1018</v>
      </c>
      <c r="B1019">
        <v>2770</v>
      </c>
      <c r="C1019">
        <f t="shared" si="35"/>
        <v>96.971480360000015</v>
      </c>
      <c r="D1019">
        <f t="shared" si="36"/>
        <v>2673.02851964</v>
      </c>
    </row>
    <row r="1020" spans="1:4">
      <c r="A1020">
        <v>1019</v>
      </c>
      <c r="B1020">
        <v>1910</v>
      </c>
      <c r="C1020">
        <f t="shared" si="35"/>
        <v>96.845969289999999</v>
      </c>
      <c r="D1020">
        <f t="shared" si="36"/>
        <v>1813.1540307099999</v>
      </c>
    </row>
    <row r="1021" spans="1:4">
      <c r="A1021">
        <v>1020</v>
      </c>
      <c r="B1021">
        <v>1489</v>
      </c>
      <c r="C1021">
        <f t="shared" si="35"/>
        <v>96.720156000000003</v>
      </c>
      <c r="D1021">
        <f t="shared" si="36"/>
        <v>1392.2798439999999</v>
      </c>
    </row>
    <row r="1022" spans="1:4">
      <c r="A1022">
        <v>1021</v>
      </c>
      <c r="B1022">
        <v>1166</v>
      </c>
      <c r="C1022">
        <f t="shared" si="35"/>
        <v>96.594040489999998</v>
      </c>
      <c r="D1022">
        <f t="shared" si="36"/>
        <v>1069.40595951</v>
      </c>
    </row>
    <row r="1023" spans="1:4">
      <c r="A1023">
        <v>1022</v>
      </c>
      <c r="B1023">
        <v>869</v>
      </c>
      <c r="C1023">
        <f t="shared" si="35"/>
        <v>96.467622759999983</v>
      </c>
      <c r="D1023">
        <f t="shared" si="36"/>
        <v>772.53237723999996</v>
      </c>
    </row>
    <row r="1024" spans="1:4">
      <c r="A1024">
        <v>1023</v>
      </c>
      <c r="B1024">
        <v>608</v>
      </c>
      <c r="C1024">
        <f t="shared" si="35"/>
        <v>96.340902809999989</v>
      </c>
      <c r="D1024">
        <f t="shared" si="36"/>
        <v>511.65909719000001</v>
      </c>
    </row>
    <row r="1025" spans="1:4">
      <c r="A1025">
        <v>1024</v>
      </c>
      <c r="B1025">
        <v>434</v>
      </c>
      <c r="C1025">
        <f t="shared" si="35"/>
        <v>96.213880639999985</v>
      </c>
      <c r="D1025">
        <f t="shared" si="36"/>
        <v>337.78611936000004</v>
      </c>
    </row>
    <row r="1026" spans="1:4">
      <c r="A1026">
        <v>1025</v>
      </c>
      <c r="B1026">
        <v>370</v>
      </c>
      <c r="C1026">
        <f t="shared" ref="C1026:C1089" si="37" xml:space="preserve"> -0.00015111*A1026*A1026 + 0.1823*A1026 + 67.989</f>
        <v>96.086556249999973</v>
      </c>
      <c r="D1026">
        <f t="shared" ref="D1026:D1089" si="38">B1026-C1026</f>
        <v>273.91344375000006</v>
      </c>
    </row>
    <row r="1027" spans="1:4">
      <c r="A1027">
        <v>1026</v>
      </c>
      <c r="B1027">
        <v>322</v>
      </c>
      <c r="C1027">
        <f t="shared" si="37"/>
        <v>95.95892963999998</v>
      </c>
      <c r="D1027">
        <f t="shared" si="38"/>
        <v>226.04107036000002</v>
      </c>
    </row>
    <row r="1028" spans="1:4">
      <c r="A1028">
        <v>1027</v>
      </c>
      <c r="B1028">
        <v>312</v>
      </c>
      <c r="C1028">
        <f t="shared" si="37"/>
        <v>95.831000809999978</v>
      </c>
      <c r="D1028">
        <f t="shared" si="38"/>
        <v>216.16899919000002</v>
      </c>
    </row>
    <row r="1029" spans="1:4">
      <c r="A1029">
        <v>1028</v>
      </c>
      <c r="B1029">
        <v>309</v>
      </c>
      <c r="C1029">
        <f t="shared" si="37"/>
        <v>95.702769759999967</v>
      </c>
      <c r="D1029">
        <f t="shared" si="38"/>
        <v>213.29723024000003</v>
      </c>
    </row>
    <row r="1030" spans="1:4">
      <c r="A1030">
        <v>1029</v>
      </c>
      <c r="B1030">
        <v>302</v>
      </c>
      <c r="C1030">
        <f t="shared" si="37"/>
        <v>95.574236489999976</v>
      </c>
      <c r="D1030">
        <f t="shared" si="38"/>
        <v>206.42576351000002</v>
      </c>
    </row>
    <row r="1031" spans="1:4">
      <c r="A1031">
        <v>1030</v>
      </c>
      <c r="B1031">
        <v>337</v>
      </c>
      <c r="C1031">
        <f t="shared" si="37"/>
        <v>95.445400999999976</v>
      </c>
      <c r="D1031">
        <f t="shared" si="38"/>
        <v>241.55459900000002</v>
      </c>
    </row>
    <row r="1032" spans="1:4">
      <c r="A1032">
        <v>1031</v>
      </c>
      <c r="B1032">
        <v>363</v>
      </c>
      <c r="C1032">
        <f t="shared" si="37"/>
        <v>95.316263289999995</v>
      </c>
      <c r="D1032">
        <f t="shared" si="38"/>
        <v>267.68373671000001</v>
      </c>
    </row>
    <row r="1033" spans="1:4">
      <c r="A1033">
        <v>1032</v>
      </c>
      <c r="B1033">
        <v>385</v>
      </c>
      <c r="C1033">
        <f t="shared" si="37"/>
        <v>95.186823360000005</v>
      </c>
      <c r="D1033">
        <f t="shared" si="38"/>
        <v>289.81317663999999</v>
      </c>
    </row>
    <row r="1034" spans="1:4">
      <c r="A1034">
        <v>1033</v>
      </c>
      <c r="B1034">
        <v>384</v>
      </c>
      <c r="C1034">
        <f t="shared" si="37"/>
        <v>95.057081209999978</v>
      </c>
      <c r="D1034">
        <f t="shared" si="38"/>
        <v>288.94291879000002</v>
      </c>
    </row>
    <row r="1035" spans="1:4">
      <c r="A1035">
        <v>1034</v>
      </c>
      <c r="B1035">
        <v>369</v>
      </c>
      <c r="C1035">
        <f t="shared" si="37"/>
        <v>94.92703684</v>
      </c>
      <c r="D1035">
        <f t="shared" si="38"/>
        <v>274.07296315999997</v>
      </c>
    </row>
    <row r="1036" spans="1:4">
      <c r="A1036">
        <v>1035</v>
      </c>
      <c r="B1036">
        <v>323</v>
      </c>
      <c r="C1036">
        <f t="shared" si="37"/>
        <v>94.796690249999983</v>
      </c>
      <c r="D1036">
        <f t="shared" si="38"/>
        <v>228.20330975000002</v>
      </c>
    </row>
    <row r="1037" spans="1:4">
      <c r="A1037">
        <v>1036</v>
      </c>
      <c r="B1037">
        <v>295</v>
      </c>
      <c r="C1037">
        <f t="shared" si="37"/>
        <v>94.666041439999987</v>
      </c>
      <c r="D1037">
        <f t="shared" si="38"/>
        <v>200.33395856000001</v>
      </c>
    </row>
    <row r="1038" spans="1:4">
      <c r="A1038">
        <v>1037</v>
      </c>
      <c r="B1038">
        <v>260</v>
      </c>
      <c r="C1038">
        <f t="shared" si="37"/>
        <v>94.535090410000009</v>
      </c>
      <c r="D1038">
        <f t="shared" si="38"/>
        <v>165.46490958999999</v>
      </c>
    </row>
    <row r="1039" spans="1:4">
      <c r="A1039">
        <v>1038</v>
      </c>
      <c r="B1039">
        <v>228</v>
      </c>
      <c r="C1039">
        <f t="shared" si="37"/>
        <v>94.403837159999995</v>
      </c>
      <c r="D1039">
        <f t="shared" si="38"/>
        <v>133.59616284000001</v>
      </c>
    </row>
    <row r="1040" spans="1:4">
      <c r="A1040">
        <v>1039</v>
      </c>
      <c r="B1040">
        <v>203</v>
      </c>
      <c r="C1040">
        <f t="shared" si="37"/>
        <v>94.272281689999971</v>
      </c>
      <c r="D1040">
        <f t="shared" si="38"/>
        <v>108.72771831000003</v>
      </c>
    </row>
    <row r="1041" spans="1:4">
      <c r="A1041">
        <v>1040</v>
      </c>
      <c r="B1041">
        <v>202</v>
      </c>
      <c r="C1041">
        <f t="shared" si="37"/>
        <v>94.140423999999996</v>
      </c>
      <c r="D1041">
        <f t="shared" si="38"/>
        <v>107.859576</v>
      </c>
    </row>
    <row r="1042" spans="1:4">
      <c r="A1042">
        <v>1041</v>
      </c>
      <c r="B1042">
        <v>201</v>
      </c>
      <c r="C1042">
        <f t="shared" si="37"/>
        <v>94.008264089999983</v>
      </c>
      <c r="D1042">
        <f t="shared" si="38"/>
        <v>106.99173591000002</v>
      </c>
    </row>
    <row r="1043" spans="1:4">
      <c r="A1043">
        <v>1042</v>
      </c>
      <c r="B1043">
        <v>189</v>
      </c>
      <c r="C1043">
        <f t="shared" si="37"/>
        <v>93.875801959999961</v>
      </c>
      <c r="D1043">
        <f t="shared" si="38"/>
        <v>95.124198040000039</v>
      </c>
    </row>
    <row r="1044" spans="1:4">
      <c r="A1044">
        <v>1043</v>
      </c>
      <c r="B1044">
        <v>189</v>
      </c>
      <c r="C1044">
        <f t="shared" si="37"/>
        <v>93.743037609999988</v>
      </c>
      <c r="D1044">
        <f t="shared" si="38"/>
        <v>95.256962390000012</v>
      </c>
    </row>
    <row r="1045" spans="1:4">
      <c r="A1045">
        <v>1044</v>
      </c>
      <c r="B1045">
        <v>177</v>
      </c>
      <c r="C1045">
        <f t="shared" si="37"/>
        <v>93.609971039999976</v>
      </c>
      <c r="D1045">
        <f t="shared" si="38"/>
        <v>83.390028960000024</v>
      </c>
    </row>
    <row r="1046" spans="1:4">
      <c r="A1046">
        <v>1045</v>
      </c>
      <c r="B1046">
        <v>182</v>
      </c>
      <c r="C1046">
        <f t="shared" si="37"/>
        <v>93.476602249999985</v>
      </c>
      <c r="D1046">
        <f t="shared" si="38"/>
        <v>88.523397750000015</v>
      </c>
    </row>
    <row r="1047" spans="1:4">
      <c r="A1047">
        <v>1046</v>
      </c>
      <c r="B1047">
        <v>194</v>
      </c>
      <c r="C1047">
        <f t="shared" si="37"/>
        <v>93.342931240000013</v>
      </c>
      <c r="D1047">
        <f t="shared" si="38"/>
        <v>100.65706875999999</v>
      </c>
    </row>
    <row r="1048" spans="1:4">
      <c r="A1048">
        <v>1047</v>
      </c>
      <c r="B1048">
        <v>199</v>
      </c>
      <c r="C1048">
        <f t="shared" si="37"/>
        <v>93.208958009999975</v>
      </c>
      <c r="D1048">
        <f t="shared" si="38"/>
        <v>105.79104199000002</v>
      </c>
    </row>
    <row r="1049" spans="1:4">
      <c r="A1049">
        <v>1048</v>
      </c>
      <c r="B1049">
        <v>206</v>
      </c>
      <c r="C1049">
        <f t="shared" si="37"/>
        <v>93.074682560000014</v>
      </c>
      <c r="D1049">
        <f t="shared" si="38"/>
        <v>112.92531743999999</v>
      </c>
    </row>
    <row r="1050" spans="1:4">
      <c r="A1050">
        <v>1049</v>
      </c>
      <c r="B1050">
        <v>201</v>
      </c>
      <c r="C1050">
        <f t="shared" si="37"/>
        <v>92.940104889999986</v>
      </c>
      <c r="D1050">
        <f t="shared" si="38"/>
        <v>108.05989511000001</v>
      </c>
    </row>
    <row r="1051" spans="1:4">
      <c r="A1051">
        <v>1050</v>
      </c>
      <c r="B1051">
        <v>196</v>
      </c>
      <c r="C1051">
        <f t="shared" si="37"/>
        <v>92.805224999999979</v>
      </c>
      <c r="D1051">
        <f t="shared" si="38"/>
        <v>103.19477500000002</v>
      </c>
    </row>
    <row r="1052" spans="1:4">
      <c r="A1052">
        <v>1051</v>
      </c>
      <c r="B1052">
        <v>207</v>
      </c>
      <c r="C1052">
        <f t="shared" si="37"/>
        <v>92.670042889999991</v>
      </c>
      <c r="D1052">
        <f t="shared" si="38"/>
        <v>114.32995711000001</v>
      </c>
    </row>
    <row r="1053" spans="1:4">
      <c r="A1053">
        <v>1052</v>
      </c>
      <c r="B1053">
        <v>221</v>
      </c>
      <c r="C1053">
        <f t="shared" si="37"/>
        <v>92.534558559999994</v>
      </c>
      <c r="D1053">
        <f t="shared" si="38"/>
        <v>128.46544144000001</v>
      </c>
    </row>
    <row r="1054" spans="1:4">
      <c r="A1054">
        <v>1053</v>
      </c>
      <c r="B1054">
        <v>242</v>
      </c>
      <c r="C1054">
        <f t="shared" si="37"/>
        <v>92.398772009999959</v>
      </c>
      <c r="D1054">
        <f t="shared" si="38"/>
        <v>149.60122799000004</v>
      </c>
    </row>
    <row r="1055" spans="1:4">
      <c r="A1055">
        <v>1054</v>
      </c>
      <c r="B1055">
        <v>329</v>
      </c>
      <c r="C1055">
        <f t="shared" si="37"/>
        <v>92.262683240000001</v>
      </c>
      <c r="D1055">
        <f t="shared" si="38"/>
        <v>236.73731676</v>
      </c>
    </row>
    <row r="1056" spans="1:4">
      <c r="A1056">
        <v>1055</v>
      </c>
      <c r="B1056">
        <v>530</v>
      </c>
      <c r="C1056">
        <f t="shared" si="37"/>
        <v>92.126292249999977</v>
      </c>
      <c r="D1056">
        <f t="shared" si="38"/>
        <v>437.87370774999999</v>
      </c>
    </row>
    <row r="1057" spans="1:4">
      <c r="A1057">
        <v>1056</v>
      </c>
      <c r="B1057">
        <v>881</v>
      </c>
      <c r="C1057">
        <f t="shared" si="37"/>
        <v>91.989599039999973</v>
      </c>
      <c r="D1057">
        <f t="shared" si="38"/>
        <v>789.01040095999997</v>
      </c>
    </row>
    <row r="1058" spans="1:4">
      <c r="A1058">
        <v>1057</v>
      </c>
      <c r="B1058">
        <v>1445</v>
      </c>
      <c r="C1058">
        <f t="shared" si="37"/>
        <v>91.852603609999989</v>
      </c>
      <c r="D1058">
        <f t="shared" si="38"/>
        <v>1353.14739639</v>
      </c>
    </row>
    <row r="1059" spans="1:4">
      <c r="A1059">
        <v>1058</v>
      </c>
      <c r="B1059">
        <v>2471</v>
      </c>
      <c r="C1059">
        <f t="shared" si="37"/>
        <v>91.715305959999966</v>
      </c>
      <c r="D1059">
        <f t="shared" si="38"/>
        <v>2379.28469404</v>
      </c>
    </row>
    <row r="1060" spans="1:4">
      <c r="A1060">
        <v>1059</v>
      </c>
      <c r="B1060">
        <v>4831</v>
      </c>
      <c r="C1060">
        <f t="shared" si="37"/>
        <v>91.577706089999992</v>
      </c>
      <c r="D1060">
        <f t="shared" si="38"/>
        <v>4739.42229391</v>
      </c>
    </row>
    <row r="1061" spans="1:4">
      <c r="A1061">
        <v>1060</v>
      </c>
      <c r="B1061">
        <v>10653</v>
      </c>
      <c r="C1061">
        <f t="shared" si="37"/>
        <v>91.439804000000009</v>
      </c>
      <c r="D1061">
        <f t="shared" si="38"/>
        <v>10561.560196</v>
      </c>
    </row>
    <row r="1062" spans="1:4">
      <c r="A1062">
        <v>1061</v>
      </c>
      <c r="B1062">
        <v>19710</v>
      </c>
      <c r="C1062">
        <f t="shared" si="37"/>
        <v>91.301599689999989</v>
      </c>
      <c r="D1062">
        <f t="shared" si="38"/>
        <v>19618.698400310001</v>
      </c>
    </row>
    <row r="1063" spans="1:4">
      <c r="A1063">
        <v>1062</v>
      </c>
      <c r="B1063">
        <v>28712</v>
      </c>
      <c r="C1063">
        <f t="shared" si="37"/>
        <v>91.163093159999988</v>
      </c>
      <c r="D1063">
        <f t="shared" si="38"/>
        <v>28620.836906839999</v>
      </c>
    </row>
    <row r="1064" spans="1:4">
      <c r="A1064">
        <v>1063</v>
      </c>
      <c r="B1064">
        <v>30775</v>
      </c>
      <c r="C1064">
        <f t="shared" si="37"/>
        <v>91.024284410000007</v>
      </c>
      <c r="D1064">
        <f t="shared" si="38"/>
        <v>30683.975715590001</v>
      </c>
    </row>
    <row r="1065" spans="1:4">
      <c r="A1065">
        <v>1064</v>
      </c>
      <c r="B1065">
        <v>26358</v>
      </c>
      <c r="C1065">
        <f t="shared" si="37"/>
        <v>90.885173439999988</v>
      </c>
      <c r="D1065">
        <f t="shared" si="38"/>
        <v>26267.114826559999</v>
      </c>
    </row>
    <row r="1066" spans="1:4">
      <c r="A1066">
        <v>1065</v>
      </c>
      <c r="B1066">
        <v>16064</v>
      </c>
      <c r="C1066">
        <f t="shared" si="37"/>
        <v>90.745760249999989</v>
      </c>
      <c r="D1066">
        <f t="shared" si="38"/>
        <v>15973.25423975</v>
      </c>
    </row>
    <row r="1067" spans="1:4">
      <c r="A1067">
        <v>1066</v>
      </c>
      <c r="B1067">
        <v>7897</v>
      </c>
      <c r="C1067">
        <f t="shared" si="37"/>
        <v>90.606044839999981</v>
      </c>
      <c r="D1067">
        <f t="shared" si="38"/>
        <v>7806.3939551599997</v>
      </c>
    </row>
    <row r="1068" spans="1:4">
      <c r="A1068">
        <v>1067</v>
      </c>
      <c r="B1068">
        <v>3443</v>
      </c>
      <c r="C1068">
        <f t="shared" si="37"/>
        <v>90.466027209999964</v>
      </c>
      <c r="D1068">
        <f t="shared" si="38"/>
        <v>3352.53397279</v>
      </c>
    </row>
    <row r="1069" spans="1:4">
      <c r="A1069">
        <v>1068</v>
      </c>
      <c r="B1069">
        <v>1615</v>
      </c>
      <c r="C1069">
        <f t="shared" si="37"/>
        <v>90.325707359999996</v>
      </c>
      <c r="D1069">
        <f t="shared" si="38"/>
        <v>1524.67429264</v>
      </c>
    </row>
    <row r="1070" spans="1:4">
      <c r="A1070">
        <v>1069</v>
      </c>
      <c r="B1070">
        <v>881</v>
      </c>
      <c r="C1070">
        <f t="shared" si="37"/>
        <v>90.185085289999989</v>
      </c>
      <c r="D1070">
        <f t="shared" si="38"/>
        <v>790.81491471000004</v>
      </c>
    </row>
    <row r="1071" spans="1:4">
      <c r="A1071">
        <v>1070</v>
      </c>
      <c r="B1071">
        <v>588</v>
      </c>
      <c r="C1071">
        <f t="shared" si="37"/>
        <v>90.044160999999974</v>
      </c>
      <c r="D1071">
        <f t="shared" si="38"/>
        <v>497.95583900000003</v>
      </c>
    </row>
    <row r="1072" spans="1:4">
      <c r="A1072">
        <v>1071</v>
      </c>
      <c r="B1072">
        <v>470</v>
      </c>
      <c r="C1072">
        <f t="shared" si="37"/>
        <v>89.902934489999978</v>
      </c>
      <c r="D1072">
        <f t="shared" si="38"/>
        <v>380.09706550999999</v>
      </c>
    </row>
    <row r="1073" spans="1:4">
      <c r="A1073">
        <v>1072</v>
      </c>
      <c r="B1073">
        <v>356</v>
      </c>
      <c r="C1073">
        <f t="shared" si="37"/>
        <v>89.761405760000002</v>
      </c>
      <c r="D1073">
        <f t="shared" si="38"/>
        <v>266.23859424</v>
      </c>
    </row>
    <row r="1074" spans="1:4">
      <c r="A1074">
        <v>1073</v>
      </c>
      <c r="B1074">
        <v>294</v>
      </c>
      <c r="C1074">
        <f t="shared" si="37"/>
        <v>89.619574809999989</v>
      </c>
      <c r="D1074">
        <f t="shared" si="38"/>
        <v>204.38042519000001</v>
      </c>
    </row>
    <row r="1075" spans="1:4">
      <c r="A1075">
        <v>1074</v>
      </c>
      <c r="B1075">
        <v>278</v>
      </c>
      <c r="C1075">
        <f t="shared" si="37"/>
        <v>89.477441639999995</v>
      </c>
      <c r="D1075">
        <f t="shared" si="38"/>
        <v>188.52255836</v>
      </c>
    </row>
    <row r="1076" spans="1:4">
      <c r="A1076">
        <v>1075</v>
      </c>
      <c r="B1076">
        <v>274</v>
      </c>
      <c r="C1076">
        <f t="shared" si="37"/>
        <v>89.335006249999992</v>
      </c>
      <c r="D1076">
        <f t="shared" si="38"/>
        <v>184.66499375000001</v>
      </c>
    </row>
    <row r="1077" spans="1:4">
      <c r="A1077">
        <v>1076</v>
      </c>
      <c r="B1077">
        <v>249</v>
      </c>
      <c r="C1077">
        <f t="shared" si="37"/>
        <v>89.19226863999998</v>
      </c>
      <c r="D1077">
        <f t="shared" si="38"/>
        <v>159.80773136000002</v>
      </c>
    </row>
    <row r="1078" spans="1:4">
      <c r="A1078">
        <v>1077</v>
      </c>
      <c r="B1078">
        <v>230</v>
      </c>
      <c r="C1078">
        <f t="shared" si="37"/>
        <v>89.049228809999988</v>
      </c>
      <c r="D1078">
        <f t="shared" si="38"/>
        <v>140.95077119000001</v>
      </c>
    </row>
    <row r="1079" spans="1:4">
      <c r="A1079">
        <v>1078</v>
      </c>
      <c r="B1079">
        <v>228</v>
      </c>
      <c r="C1079">
        <f t="shared" si="37"/>
        <v>88.905886759999987</v>
      </c>
      <c r="D1079">
        <f t="shared" si="38"/>
        <v>139.09411324000001</v>
      </c>
    </row>
    <row r="1080" spans="1:4">
      <c r="A1080">
        <v>1079</v>
      </c>
      <c r="B1080">
        <v>221</v>
      </c>
      <c r="C1080">
        <f t="shared" si="37"/>
        <v>88.762242489999977</v>
      </c>
      <c r="D1080">
        <f t="shared" si="38"/>
        <v>132.23775751000002</v>
      </c>
    </row>
    <row r="1081" spans="1:4">
      <c r="A1081">
        <v>1080</v>
      </c>
      <c r="B1081">
        <v>222</v>
      </c>
      <c r="C1081">
        <f t="shared" si="37"/>
        <v>88.618295999999987</v>
      </c>
      <c r="D1081">
        <f t="shared" si="38"/>
        <v>133.38170400000001</v>
      </c>
    </row>
    <row r="1082" spans="1:4">
      <c r="A1082">
        <v>1081</v>
      </c>
      <c r="B1082">
        <v>214</v>
      </c>
      <c r="C1082">
        <f t="shared" si="37"/>
        <v>88.474047289999959</v>
      </c>
      <c r="D1082">
        <f t="shared" si="38"/>
        <v>125.52595271000004</v>
      </c>
    </row>
    <row r="1083" spans="1:4">
      <c r="A1083">
        <v>1082</v>
      </c>
      <c r="B1083">
        <v>215</v>
      </c>
      <c r="C1083">
        <f t="shared" si="37"/>
        <v>88.329496359999979</v>
      </c>
      <c r="D1083">
        <f t="shared" si="38"/>
        <v>126.67050364000002</v>
      </c>
    </row>
    <row r="1084" spans="1:4">
      <c r="A1084">
        <v>1083</v>
      </c>
      <c r="B1084">
        <v>226</v>
      </c>
      <c r="C1084">
        <f t="shared" si="37"/>
        <v>88.18464320999999</v>
      </c>
      <c r="D1084">
        <f t="shared" si="38"/>
        <v>137.81535679000001</v>
      </c>
    </row>
    <row r="1085" spans="1:4">
      <c r="A1085">
        <v>1084</v>
      </c>
      <c r="B1085">
        <v>247</v>
      </c>
      <c r="C1085">
        <f t="shared" si="37"/>
        <v>88.039487839999964</v>
      </c>
      <c r="D1085">
        <f t="shared" si="38"/>
        <v>158.96051216000004</v>
      </c>
    </row>
    <row r="1086" spans="1:4">
      <c r="A1086">
        <v>1085</v>
      </c>
      <c r="B1086">
        <v>305</v>
      </c>
      <c r="C1086">
        <f t="shared" si="37"/>
        <v>87.894030249999986</v>
      </c>
      <c r="D1086">
        <f t="shared" si="38"/>
        <v>217.10596975000001</v>
      </c>
    </row>
    <row r="1087" spans="1:4">
      <c r="A1087">
        <v>1086</v>
      </c>
      <c r="B1087">
        <v>396</v>
      </c>
      <c r="C1087">
        <f t="shared" si="37"/>
        <v>87.748270439999999</v>
      </c>
      <c r="D1087">
        <f t="shared" si="38"/>
        <v>308.25172956</v>
      </c>
    </row>
    <row r="1088" spans="1:4">
      <c r="A1088">
        <v>1087</v>
      </c>
      <c r="B1088">
        <v>597</v>
      </c>
      <c r="C1088">
        <f t="shared" si="37"/>
        <v>87.602208409999974</v>
      </c>
      <c r="D1088">
        <f t="shared" si="38"/>
        <v>509.39779159</v>
      </c>
    </row>
    <row r="1089" spans="1:8">
      <c r="A1089">
        <v>1088</v>
      </c>
      <c r="B1089">
        <v>1030</v>
      </c>
      <c r="C1089">
        <f t="shared" si="37"/>
        <v>87.455844159999998</v>
      </c>
      <c r="D1089">
        <f t="shared" si="38"/>
        <v>942.54415584000003</v>
      </c>
    </row>
    <row r="1090" spans="1:8">
      <c r="A1090">
        <v>1089</v>
      </c>
      <c r="B1090">
        <v>1779</v>
      </c>
      <c r="C1090">
        <f t="shared" ref="C1090:C1153" si="39" xml:space="preserve"> -0.00015111*A1090*A1090 + 0.1823*A1090 + 67.989</f>
        <v>87.309177689999984</v>
      </c>
      <c r="D1090">
        <f t="shared" ref="D1090:D1153" si="40">B1090-C1090</f>
        <v>1691.6908223099999</v>
      </c>
    </row>
    <row r="1091" spans="1:8">
      <c r="A1091">
        <v>1090</v>
      </c>
      <c r="B1091">
        <v>3068</v>
      </c>
      <c r="C1091">
        <f t="shared" si="39"/>
        <v>87.16220899999999</v>
      </c>
      <c r="D1091">
        <f t="shared" si="40"/>
        <v>2980.8377909999999</v>
      </c>
    </row>
    <row r="1092" spans="1:8">
      <c r="A1092">
        <v>1091</v>
      </c>
      <c r="B1092">
        <v>5628</v>
      </c>
      <c r="C1092">
        <f t="shared" si="39"/>
        <v>87.014938089999987</v>
      </c>
      <c r="D1092">
        <f t="shared" si="40"/>
        <v>5540.9850619099998</v>
      </c>
    </row>
    <row r="1093" spans="1:8">
      <c r="A1093">
        <v>1092</v>
      </c>
      <c r="B1093">
        <v>11137</v>
      </c>
      <c r="C1093">
        <f t="shared" si="39"/>
        <v>86.867364959999975</v>
      </c>
      <c r="D1093">
        <f t="shared" si="40"/>
        <v>11050.13263504</v>
      </c>
    </row>
    <row r="1094" spans="1:8">
      <c r="A1094">
        <v>1093</v>
      </c>
      <c r="B1094">
        <v>19011</v>
      </c>
      <c r="C1094">
        <f t="shared" si="39"/>
        <v>86.719489609999954</v>
      </c>
      <c r="D1094">
        <f t="shared" si="40"/>
        <v>18924.280510389999</v>
      </c>
    </row>
    <row r="1095" spans="1:8" ht="17.25">
      <c r="A1095">
        <v>1094</v>
      </c>
      <c r="B1095">
        <v>26055</v>
      </c>
      <c r="C1095">
        <f t="shared" si="39"/>
        <v>86.571312039999981</v>
      </c>
      <c r="D1095">
        <f t="shared" si="40"/>
        <v>25968.42868796</v>
      </c>
      <c r="F1095">
        <v>1094.5</v>
      </c>
      <c r="G1095">
        <v>8</v>
      </c>
      <c r="H1095" t="s">
        <v>170</v>
      </c>
    </row>
    <row r="1096" spans="1:8">
      <c r="A1096">
        <v>1095</v>
      </c>
      <c r="B1096">
        <v>26475</v>
      </c>
      <c r="C1096">
        <f t="shared" si="39"/>
        <v>86.422832249999971</v>
      </c>
      <c r="D1096">
        <f t="shared" si="40"/>
        <v>26388.577167750002</v>
      </c>
    </row>
    <row r="1097" spans="1:8">
      <c r="A1097">
        <v>1096</v>
      </c>
      <c r="B1097">
        <v>20708</v>
      </c>
      <c r="C1097">
        <f t="shared" si="39"/>
        <v>86.27405023999998</v>
      </c>
      <c r="D1097">
        <f t="shared" si="40"/>
        <v>20621.725949759999</v>
      </c>
    </row>
    <row r="1098" spans="1:8">
      <c r="A1098">
        <v>1097</v>
      </c>
      <c r="B1098">
        <v>11346</v>
      </c>
      <c r="C1098">
        <f t="shared" si="39"/>
        <v>86.12496600999998</v>
      </c>
      <c r="D1098">
        <f t="shared" si="40"/>
        <v>11259.87503399</v>
      </c>
    </row>
    <row r="1099" spans="1:8">
      <c r="A1099">
        <v>1098</v>
      </c>
      <c r="B1099">
        <v>5193</v>
      </c>
      <c r="C1099">
        <f t="shared" si="39"/>
        <v>85.975579559999971</v>
      </c>
      <c r="D1099">
        <f t="shared" si="40"/>
        <v>5107.0244204399996</v>
      </c>
    </row>
    <row r="1100" spans="1:8">
      <c r="A1100">
        <v>1099</v>
      </c>
      <c r="B1100">
        <v>2270</v>
      </c>
      <c r="C1100">
        <f t="shared" si="39"/>
        <v>85.825890889999982</v>
      </c>
      <c r="D1100">
        <f t="shared" si="40"/>
        <v>2184.1741091100002</v>
      </c>
    </row>
    <row r="1101" spans="1:8">
      <c r="A1101">
        <v>1100</v>
      </c>
      <c r="B1101">
        <v>1163</v>
      </c>
      <c r="C1101">
        <f t="shared" si="39"/>
        <v>85.675899999999984</v>
      </c>
      <c r="D1101">
        <f t="shared" si="40"/>
        <v>1077.3241</v>
      </c>
    </row>
    <row r="1102" spans="1:8">
      <c r="A1102">
        <v>1101</v>
      </c>
      <c r="B1102">
        <v>659</v>
      </c>
      <c r="C1102">
        <f t="shared" si="39"/>
        <v>85.525606889999978</v>
      </c>
      <c r="D1102">
        <f t="shared" si="40"/>
        <v>573.47439311000005</v>
      </c>
    </row>
    <row r="1103" spans="1:8">
      <c r="A1103">
        <v>1102</v>
      </c>
      <c r="B1103">
        <v>454</v>
      </c>
      <c r="C1103">
        <f t="shared" si="39"/>
        <v>85.37501155999999</v>
      </c>
      <c r="D1103">
        <f t="shared" si="40"/>
        <v>368.62498844000004</v>
      </c>
    </row>
    <row r="1104" spans="1:8">
      <c r="A1104">
        <v>1103</v>
      </c>
      <c r="B1104">
        <v>390</v>
      </c>
      <c r="C1104">
        <f t="shared" si="39"/>
        <v>85.224114009999994</v>
      </c>
      <c r="D1104">
        <f t="shared" si="40"/>
        <v>304.77588599000001</v>
      </c>
    </row>
    <row r="1105" spans="1:4">
      <c r="A1105">
        <v>1104</v>
      </c>
      <c r="B1105">
        <v>335</v>
      </c>
      <c r="C1105">
        <f t="shared" si="39"/>
        <v>85.072914239999989</v>
      </c>
      <c r="D1105">
        <f t="shared" si="40"/>
        <v>249.92708576000001</v>
      </c>
    </row>
    <row r="1106" spans="1:4">
      <c r="A1106">
        <v>1105</v>
      </c>
      <c r="B1106">
        <v>272</v>
      </c>
      <c r="C1106">
        <f t="shared" si="39"/>
        <v>84.921412250000003</v>
      </c>
      <c r="D1106">
        <f t="shared" si="40"/>
        <v>187.07858775</v>
      </c>
    </row>
    <row r="1107" spans="1:4">
      <c r="A1107">
        <v>1106</v>
      </c>
      <c r="B1107">
        <v>245</v>
      </c>
      <c r="C1107">
        <f t="shared" si="39"/>
        <v>84.76960803999998</v>
      </c>
      <c r="D1107">
        <f t="shared" si="40"/>
        <v>160.23039196000002</v>
      </c>
    </row>
    <row r="1108" spans="1:4">
      <c r="A1108">
        <v>1107</v>
      </c>
      <c r="B1108">
        <v>247</v>
      </c>
      <c r="C1108">
        <f t="shared" si="39"/>
        <v>84.617501609999977</v>
      </c>
      <c r="D1108">
        <f t="shared" si="40"/>
        <v>162.38249839000002</v>
      </c>
    </row>
    <row r="1109" spans="1:4">
      <c r="A1109">
        <v>1108</v>
      </c>
      <c r="B1109">
        <v>237</v>
      </c>
      <c r="C1109">
        <f t="shared" si="39"/>
        <v>84.465092959999993</v>
      </c>
      <c r="D1109">
        <f t="shared" si="40"/>
        <v>152.53490704000001</v>
      </c>
    </row>
    <row r="1110" spans="1:4">
      <c r="A1110">
        <v>1109</v>
      </c>
      <c r="B1110">
        <v>235</v>
      </c>
      <c r="C1110">
        <f t="shared" si="39"/>
        <v>84.312382089999971</v>
      </c>
      <c r="D1110">
        <f t="shared" si="40"/>
        <v>150.68761791000003</v>
      </c>
    </row>
    <row r="1111" spans="1:4">
      <c r="A1111">
        <v>1110</v>
      </c>
      <c r="B1111">
        <v>243</v>
      </c>
      <c r="C1111">
        <f t="shared" si="39"/>
        <v>84.15936899999997</v>
      </c>
      <c r="D1111">
        <f t="shared" si="40"/>
        <v>158.84063100000003</v>
      </c>
    </row>
    <row r="1112" spans="1:4">
      <c r="A1112">
        <v>1111</v>
      </c>
      <c r="B1112">
        <v>250</v>
      </c>
      <c r="C1112">
        <f t="shared" si="39"/>
        <v>84.006053689999987</v>
      </c>
      <c r="D1112">
        <f t="shared" si="40"/>
        <v>165.99394631000001</v>
      </c>
    </row>
    <row r="1113" spans="1:4">
      <c r="A1113">
        <v>1112</v>
      </c>
      <c r="B1113">
        <v>287</v>
      </c>
      <c r="C1113">
        <f t="shared" si="39"/>
        <v>83.852436159999968</v>
      </c>
      <c r="D1113">
        <f t="shared" si="40"/>
        <v>203.14756384000003</v>
      </c>
    </row>
    <row r="1114" spans="1:4">
      <c r="A1114">
        <v>1113</v>
      </c>
      <c r="B1114">
        <v>408</v>
      </c>
      <c r="C1114">
        <f t="shared" si="39"/>
        <v>83.698516409999996</v>
      </c>
      <c r="D1114">
        <f t="shared" si="40"/>
        <v>324.30148358999998</v>
      </c>
    </row>
    <row r="1115" spans="1:4">
      <c r="A1115">
        <v>1114</v>
      </c>
      <c r="B1115">
        <v>664</v>
      </c>
      <c r="C1115">
        <f t="shared" si="39"/>
        <v>83.544294439999987</v>
      </c>
      <c r="D1115">
        <f t="shared" si="40"/>
        <v>580.45570556000007</v>
      </c>
    </row>
    <row r="1116" spans="1:4">
      <c r="A1116">
        <v>1115</v>
      </c>
      <c r="B1116">
        <v>1030</v>
      </c>
      <c r="C1116">
        <f t="shared" si="39"/>
        <v>83.389770249999998</v>
      </c>
      <c r="D1116">
        <f t="shared" si="40"/>
        <v>946.61022975000003</v>
      </c>
    </row>
    <row r="1117" spans="1:4">
      <c r="A1117">
        <v>1116</v>
      </c>
      <c r="B1117">
        <v>1390</v>
      </c>
      <c r="C1117">
        <f t="shared" si="39"/>
        <v>83.23494384</v>
      </c>
      <c r="D1117">
        <f t="shared" si="40"/>
        <v>1306.7650561600001</v>
      </c>
    </row>
    <row r="1118" spans="1:4">
      <c r="A1118">
        <v>1117</v>
      </c>
      <c r="B1118">
        <v>1928</v>
      </c>
      <c r="C1118">
        <f t="shared" si="39"/>
        <v>83.079815209999992</v>
      </c>
      <c r="D1118">
        <f t="shared" si="40"/>
        <v>1844.9201847899999</v>
      </c>
    </row>
    <row r="1119" spans="1:4">
      <c r="A1119">
        <v>1118</v>
      </c>
      <c r="B1119">
        <v>3343</v>
      </c>
      <c r="C1119">
        <f t="shared" si="39"/>
        <v>82.924384359999976</v>
      </c>
      <c r="D1119">
        <f t="shared" si="40"/>
        <v>3260.0756156400003</v>
      </c>
    </row>
    <row r="1120" spans="1:4">
      <c r="A1120">
        <v>1119</v>
      </c>
      <c r="B1120">
        <v>6455</v>
      </c>
      <c r="C1120">
        <f t="shared" si="39"/>
        <v>82.76865128999998</v>
      </c>
      <c r="D1120">
        <f t="shared" si="40"/>
        <v>6372.23134871</v>
      </c>
    </row>
    <row r="1121" spans="1:8">
      <c r="A1121">
        <v>1120</v>
      </c>
      <c r="B1121">
        <v>10484</v>
      </c>
      <c r="C1121">
        <f t="shared" si="39"/>
        <v>82.612615999999974</v>
      </c>
      <c r="D1121">
        <f t="shared" si="40"/>
        <v>10401.387384</v>
      </c>
    </row>
    <row r="1122" spans="1:8" ht="17.25">
      <c r="A1122">
        <v>1121</v>
      </c>
      <c r="B1122">
        <v>12702</v>
      </c>
      <c r="C1122">
        <f t="shared" si="39"/>
        <v>82.45627848999996</v>
      </c>
      <c r="D1122">
        <f t="shared" si="40"/>
        <v>12619.543721509999</v>
      </c>
      <c r="F1122">
        <v>1121</v>
      </c>
      <c r="G1122">
        <v>7</v>
      </c>
      <c r="H1122" t="s">
        <v>171</v>
      </c>
    </row>
    <row r="1123" spans="1:8">
      <c r="A1123">
        <v>1122</v>
      </c>
      <c r="B1123">
        <v>11214</v>
      </c>
      <c r="C1123">
        <f t="shared" si="39"/>
        <v>82.299638759999993</v>
      </c>
      <c r="D1123">
        <f t="shared" si="40"/>
        <v>11131.70036124</v>
      </c>
    </row>
    <row r="1124" spans="1:8">
      <c r="A1124">
        <v>1123</v>
      </c>
      <c r="B1124">
        <v>6940</v>
      </c>
      <c r="C1124">
        <f t="shared" si="39"/>
        <v>82.142696809999961</v>
      </c>
      <c r="D1124">
        <f t="shared" si="40"/>
        <v>6857.8573031899996</v>
      </c>
    </row>
    <row r="1125" spans="1:8">
      <c r="A1125">
        <v>1124</v>
      </c>
      <c r="B1125">
        <v>3352</v>
      </c>
      <c r="C1125">
        <f t="shared" si="39"/>
        <v>81.985452639999949</v>
      </c>
      <c r="D1125">
        <f t="shared" si="40"/>
        <v>3270.0145473600001</v>
      </c>
    </row>
    <row r="1126" spans="1:8">
      <c r="A1126">
        <v>1125</v>
      </c>
      <c r="B1126">
        <v>1481</v>
      </c>
      <c r="C1126">
        <f t="shared" si="39"/>
        <v>81.827906249999984</v>
      </c>
      <c r="D1126">
        <f t="shared" si="40"/>
        <v>1399.1720937499999</v>
      </c>
    </row>
    <row r="1127" spans="1:8">
      <c r="A1127">
        <v>1126</v>
      </c>
      <c r="B1127">
        <v>781</v>
      </c>
      <c r="C1127">
        <f t="shared" si="39"/>
        <v>81.670057639999953</v>
      </c>
      <c r="D1127">
        <f t="shared" si="40"/>
        <v>699.32994236000002</v>
      </c>
    </row>
    <row r="1128" spans="1:8">
      <c r="A1128">
        <v>1127</v>
      </c>
      <c r="B1128">
        <v>546</v>
      </c>
      <c r="C1128">
        <f t="shared" si="39"/>
        <v>81.511906809999999</v>
      </c>
      <c r="D1128">
        <f t="shared" si="40"/>
        <v>464.48809318999997</v>
      </c>
    </row>
    <row r="1129" spans="1:8">
      <c r="A1129">
        <v>1128</v>
      </c>
      <c r="B1129">
        <v>449</v>
      </c>
      <c r="C1129">
        <f t="shared" si="39"/>
        <v>81.353453760000008</v>
      </c>
      <c r="D1129">
        <f t="shared" si="40"/>
        <v>367.64654624000002</v>
      </c>
    </row>
    <row r="1130" spans="1:8">
      <c r="A1130">
        <v>1129</v>
      </c>
      <c r="B1130">
        <v>423</v>
      </c>
      <c r="C1130">
        <f t="shared" si="39"/>
        <v>81.194698489999979</v>
      </c>
      <c r="D1130">
        <f t="shared" si="40"/>
        <v>341.80530151000005</v>
      </c>
    </row>
    <row r="1131" spans="1:8">
      <c r="A1131">
        <v>1130</v>
      </c>
      <c r="B1131">
        <v>371</v>
      </c>
      <c r="C1131">
        <f t="shared" si="39"/>
        <v>81.035640999999998</v>
      </c>
      <c r="D1131">
        <f t="shared" si="40"/>
        <v>289.964359</v>
      </c>
    </row>
    <row r="1132" spans="1:8">
      <c r="A1132">
        <v>1131</v>
      </c>
      <c r="B1132">
        <v>280</v>
      </c>
      <c r="C1132">
        <f t="shared" si="39"/>
        <v>80.87628128999998</v>
      </c>
      <c r="D1132">
        <f t="shared" si="40"/>
        <v>199.12371871000002</v>
      </c>
    </row>
    <row r="1133" spans="1:8">
      <c r="A1133">
        <v>1132</v>
      </c>
      <c r="B1133">
        <v>214</v>
      </c>
      <c r="C1133">
        <f t="shared" si="39"/>
        <v>80.716619359999981</v>
      </c>
      <c r="D1133">
        <f t="shared" si="40"/>
        <v>133.28338064000002</v>
      </c>
    </row>
    <row r="1134" spans="1:8">
      <c r="A1134">
        <v>1133</v>
      </c>
      <c r="B1134">
        <v>169</v>
      </c>
      <c r="C1134">
        <f t="shared" si="39"/>
        <v>80.556655210000002</v>
      </c>
      <c r="D1134">
        <f t="shared" si="40"/>
        <v>88.443344789999998</v>
      </c>
    </row>
    <row r="1135" spans="1:8">
      <c r="A1135">
        <v>1134</v>
      </c>
      <c r="B1135">
        <v>151</v>
      </c>
      <c r="C1135">
        <f t="shared" si="39"/>
        <v>80.396388839999986</v>
      </c>
      <c r="D1135">
        <f t="shared" si="40"/>
        <v>70.603611160000014</v>
      </c>
    </row>
    <row r="1136" spans="1:8">
      <c r="A1136">
        <v>1135</v>
      </c>
      <c r="B1136">
        <v>144</v>
      </c>
      <c r="C1136">
        <f t="shared" si="39"/>
        <v>80.235820249999961</v>
      </c>
      <c r="D1136">
        <f t="shared" si="40"/>
        <v>63.764179750000039</v>
      </c>
    </row>
    <row r="1137" spans="1:8">
      <c r="A1137">
        <v>1136</v>
      </c>
      <c r="B1137">
        <v>153</v>
      </c>
      <c r="C1137">
        <f t="shared" si="39"/>
        <v>80.074949439999983</v>
      </c>
      <c r="D1137">
        <f t="shared" si="40"/>
        <v>72.925050560000017</v>
      </c>
    </row>
    <row r="1138" spans="1:8">
      <c r="A1138">
        <v>1137</v>
      </c>
      <c r="B1138">
        <v>152</v>
      </c>
      <c r="C1138">
        <f t="shared" si="39"/>
        <v>79.913776409999969</v>
      </c>
      <c r="D1138">
        <f t="shared" si="40"/>
        <v>72.086223590000031</v>
      </c>
    </row>
    <row r="1139" spans="1:8">
      <c r="A1139">
        <v>1138</v>
      </c>
      <c r="B1139">
        <v>157</v>
      </c>
      <c r="C1139">
        <f t="shared" si="39"/>
        <v>79.752301159999945</v>
      </c>
      <c r="D1139">
        <f t="shared" si="40"/>
        <v>77.247698840000055</v>
      </c>
    </row>
    <row r="1140" spans="1:8">
      <c r="A1140">
        <v>1139</v>
      </c>
      <c r="B1140">
        <v>148</v>
      </c>
      <c r="C1140">
        <f t="shared" si="39"/>
        <v>79.590523689999969</v>
      </c>
      <c r="D1140">
        <f t="shared" si="40"/>
        <v>68.409476310000031</v>
      </c>
    </row>
    <row r="1141" spans="1:8">
      <c r="A1141">
        <v>1140</v>
      </c>
      <c r="B1141">
        <v>145</v>
      </c>
      <c r="C1141">
        <f t="shared" si="39"/>
        <v>79.428443999999956</v>
      </c>
      <c r="D1141">
        <f t="shared" si="40"/>
        <v>65.571556000000044</v>
      </c>
    </row>
    <row r="1142" spans="1:8">
      <c r="A1142">
        <v>1141</v>
      </c>
      <c r="B1142">
        <v>170</v>
      </c>
      <c r="C1142">
        <f t="shared" si="39"/>
        <v>79.266062089999991</v>
      </c>
      <c r="D1142">
        <f t="shared" si="40"/>
        <v>90.733937910000009</v>
      </c>
    </row>
    <row r="1143" spans="1:8">
      <c r="A1143">
        <v>1142</v>
      </c>
      <c r="B1143">
        <v>264</v>
      </c>
      <c r="C1143">
        <f t="shared" si="39"/>
        <v>79.103377959999989</v>
      </c>
      <c r="D1143">
        <f t="shared" si="40"/>
        <v>184.89662204000001</v>
      </c>
    </row>
    <row r="1144" spans="1:8">
      <c r="A1144">
        <v>1143</v>
      </c>
      <c r="B1144">
        <v>416</v>
      </c>
      <c r="C1144">
        <f t="shared" si="39"/>
        <v>78.940391609999978</v>
      </c>
      <c r="D1144">
        <f t="shared" si="40"/>
        <v>337.05960838999999</v>
      </c>
    </row>
    <row r="1145" spans="1:8" ht="17.25">
      <c r="A1145">
        <v>1144</v>
      </c>
      <c r="B1145">
        <v>539</v>
      </c>
      <c r="C1145">
        <f t="shared" si="39"/>
        <v>78.777103040000014</v>
      </c>
      <c r="D1145">
        <f t="shared" si="40"/>
        <v>460.22289695999996</v>
      </c>
      <c r="F1145">
        <v>1144.5</v>
      </c>
      <c r="G1145">
        <v>6</v>
      </c>
      <c r="H1145" t="s">
        <v>172</v>
      </c>
    </row>
    <row r="1146" spans="1:8">
      <c r="A1146">
        <v>1145</v>
      </c>
      <c r="B1146">
        <v>545</v>
      </c>
      <c r="C1146">
        <f t="shared" si="39"/>
        <v>78.613512249999985</v>
      </c>
      <c r="D1146">
        <f t="shared" si="40"/>
        <v>466.38648775000001</v>
      </c>
    </row>
    <row r="1147" spans="1:8">
      <c r="A1147">
        <v>1146</v>
      </c>
      <c r="B1147">
        <v>440</v>
      </c>
      <c r="C1147">
        <f t="shared" si="39"/>
        <v>78.449619239999976</v>
      </c>
      <c r="D1147">
        <f t="shared" si="40"/>
        <v>361.55038076000005</v>
      </c>
    </row>
    <row r="1148" spans="1:8">
      <c r="A1148">
        <v>1147</v>
      </c>
      <c r="B1148">
        <v>258</v>
      </c>
      <c r="C1148">
        <f t="shared" si="39"/>
        <v>78.285424009999986</v>
      </c>
      <c r="D1148">
        <f t="shared" si="40"/>
        <v>179.71457599000001</v>
      </c>
    </row>
    <row r="1149" spans="1:8">
      <c r="A1149">
        <v>1148</v>
      </c>
      <c r="B1149">
        <v>165</v>
      </c>
      <c r="C1149">
        <f t="shared" si="39"/>
        <v>78.120926559999987</v>
      </c>
      <c r="D1149">
        <f t="shared" si="40"/>
        <v>86.879073440000013</v>
      </c>
    </row>
    <row r="1150" spans="1:8">
      <c r="A1150">
        <v>1149</v>
      </c>
      <c r="B1150">
        <v>118</v>
      </c>
      <c r="C1150">
        <f t="shared" si="39"/>
        <v>77.956126889999979</v>
      </c>
      <c r="D1150">
        <f t="shared" si="40"/>
        <v>40.043873110000021</v>
      </c>
    </row>
    <row r="1151" spans="1:8">
      <c r="A1151">
        <v>1150</v>
      </c>
      <c r="B1151">
        <v>106</v>
      </c>
      <c r="C1151">
        <f t="shared" si="39"/>
        <v>77.791024999999991</v>
      </c>
      <c r="D1151">
        <f t="shared" si="40"/>
        <v>28.208975000000009</v>
      </c>
    </row>
    <row r="1152" spans="1:8">
      <c r="A1152">
        <v>1151</v>
      </c>
      <c r="B1152">
        <v>96</v>
      </c>
      <c r="C1152">
        <f t="shared" si="39"/>
        <v>77.625620889999965</v>
      </c>
      <c r="D1152">
        <f t="shared" si="40"/>
        <v>18.374379110000035</v>
      </c>
    </row>
    <row r="1153" spans="1:4">
      <c r="A1153">
        <v>1152</v>
      </c>
      <c r="B1153">
        <v>105</v>
      </c>
      <c r="C1153">
        <f t="shared" si="39"/>
        <v>77.459914559999959</v>
      </c>
      <c r="D1153">
        <f t="shared" si="40"/>
        <v>27.540085440000041</v>
      </c>
    </row>
    <row r="1154" spans="1:4">
      <c r="A1154">
        <v>1153</v>
      </c>
      <c r="B1154">
        <v>121</v>
      </c>
      <c r="C1154">
        <f t="shared" ref="C1154:C1217" si="41" xml:space="preserve"> -0.00015111*A1154*A1154 + 0.1823*A1154 + 67.989</f>
        <v>77.293906009999972</v>
      </c>
      <c r="D1154">
        <f t="shared" ref="D1154:D1217" si="42">B1154-C1154</f>
        <v>43.706093990000028</v>
      </c>
    </row>
    <row r="1155" spans="1:4">
      <c r="A1155">
        <v>1154</v>
      </c>
      <c r="B1155">
        <v>123</v>
      </c>
      <c r="C1155">
        <f t="shared" si="41"/>
        <v>77.127595240000005</v>
      </c>
      <c r="D1155">
        <f t="shared" si="42"/>
        <v>45.872404759999995</v>
      </c>
    </row>
    <row r="1156" spans="1:4">
      <c r="A1156">
        <v>1155</v>
      </c>
      <c r="B1156">
        <v>123</v>
      </c>
      <c r="C1156">
        <f t="shared" si="41"/>
        <v>76.960982249999972</v>
      </c>
      <c r="D1156">
        <f t="shared" si="42"/>
        <v>46.039017750000028</v>
      </c>
    </row>
    <row r="1157" spans="1:4">
      <c r="A1157">
        <v>1156</v>
      </c>
      <c r="B1157">
        <v>110</v>
      </c>
      <c r="C1157">
        <f t="shared" si="41"/>
        <v>76.794067039999987</v>
      </c>
      <c r="D1157">
        <f t="shared" si="42"/>
        <v>33.205932960000013</v>
      </c>
    </row>
    <row r="1158" spans="1:4">
      <c r="A1158">
        <v>1157</v>
      </c>
      <c r="B1158">
        <v>98</v>
      </c>
      <c r="C1158">
        <f t="shared" si="41"/>
        <v>76.626849609999994</v>
      </c>
      <c r="D1158">
        <f t="shared" si="42"/>
        <v>21.373150390000006</v>
      </c>
    </row>
    <row r="1159" spans="1:4">
      <c r="A1159">
        <v>1158</v>
      </c>
      <c r="B1159">
        <v>103</v>
      </c>
      <c r="C1159">
        <f t="shared" si="41"/>
        <v>76.459329959999991</v>
      </c>
      <c r="D1159">
        <f t="shared" si="42"/>
        <v>26.540670040000009</v>
      </c>
    </row>
    <row r="1160" spans="1:4">
      <c r="A1160">
        <v>1159</v>
      </c>
      <c r="B1160">
        <v>70</v>
      </c>
      <c r="C1160">
        <f t="shared" si="41"/>
        <v>76.291508089999979</v>
      </c>
      <c r="D1160">
        <f t="shared" si="42"/>
        <v>-6.2915080899999793</v>
      </c>
    </row>
    <row r="1161" spans="1:4">
      <c r="A1161">
        <v>1160</v>
      </c>
      <c r="B1161">
        <v>92</v>
      </c>
      <c r="C1161">
        <f t="shared" si="41"/>
        <v>76.123383999999987</v>
      </c>
      <c r="D1161">
        <f t="shared" si="42"/>
        <v>15.876616000000013</v>
      </c>
    </row>
    <row r="1162" spans="1:4">
      <c r="A1162">
        <v>1161</v>
      </c>
      <c r="B1162">
        <v>97</v>
      </c>
      <c r="C1162">
        <f t="shared" si="41"/>
        <v>75.954957689999986</v>
      </c>
      <c r="D1162">
        <f t="shared" si="42"/>
        <v>21.045042310000014</v>
      </c>
    </row>
    <row r="1163" spans="1:4">
      <c r="A1163">
        <v>1162</v>
      </c>
      <c r="B1163">
        <v>83</v>
      </c>
      <c r="C1163">
        <f t="shared" si="41"/>
        <v>75.786229159999976</v>
      </c>
      <c r="D1163">
        <f t="shared" si="42"/>
        <v>7.2137708400000236</v>
      </c>
    </row>
    <row r="1164" spans="1:4">
      <c r="A1164">
        <v>1163</v>
      </c>
      <c r="B1164">
        <v>84</v>
      </c>
      <c r="C1164">
        <f t="shared" si="41"/>
        <v>75.617198409999958</v>
      </c>
      <c r="D1164">
        <f t="shared" si="42"/>
        <v>8.3828015900000423</v>
      </c>
    </row>
    <row r="1165" spans="1:4">
      <c r="A1165">
        <v>1164</v>
      </c>
      <c r="B1165">
        <v>78</v>
      </c>
      <c r="C1165">
        <f t="shared" si="41"/>
        <v>75.447865439999987</v>
      </c>
      <c r="D1165">
        <f t="shared" si="42"/>
        <v>2.5521345600000132</v>
      </c>
    </row>
    <row r="1166" spans="1:4">
      <c r="A1166">
        <v>1165</v>
      </c>
      <c r="B1166">
        <v>68</v>
      </c>
      <c r="C1166">
        <f t="shared" si="41"/>
        <v>75.278230249999979</v>
      </c>
      <c r="D1166">
        <f t="shared" si="42"/>
        <v>-7.2782302499999787</v>
      </c>
    </row>
    <row r="1167" spans="1:4">
      <c r="A1167">
        <v>1166</v>
      </c>
      <c r="B1167">
        <v>87</v>
      </c>
      <c r="C1167">
        <f t="shared" si="41"/>
        <v>75.108292839999962</v>
      </c>
      <c r="D1167">
        <f t="shared" si="42"/>
        <v>11.891707160000038</v>
      </c>
    </row>
    <row r="1168" spans="1:4">
      <c r="A1168">
        <v>1167</v>
      </c>
      <c r="B1168">
        <v>101</v>
      </c>
      <c r="C1168">
        <f t="shared" si="41"/>
        <v>74.938053209999964</v>
      </c>
      <c r="D1168">
        <f t="shared" si="42"/>
        <v>26.061946790000036</v>
      </c>
    </row>
    <row r="1169" spans="1:8">
      <c r="A1169">
        <v>1168</v>
      </c>
      <c r="B1169">
        <v>121</v>
      </c>
      <c r="C1169">
        <f t="shared" si="41"/>
        <v>74.767511359999986</v>
      </c>
      <c r="D1169">
        <f t="shared" si="42"/>
        <v>46.232488640000014</v>
      </c>
    </row>
    <row r="1170" spans="1:8">
      <c r="A1170">
        <v>1169</v>
      </c>
      <c r="B1170">
        <v>162</v>
      </c>
      <c r="C1170">
        <f t="shared" si="41"/>
        <v>74.596667289999971</v>
      </c>
      <c r="D1170">
        <f t="shared" si="42"/>
        <v>87.403332710000029</v>
      </c>
    </row>
    <row r="1171" spans="1:8">
      <c r="A1171">
        <v>1170</v>
      </c>
      <c r="B1171">
        <v>249</v>
      </c>
      <c r="C1171">
        <f t="shared" si="41"/>
        <v>74.425521000000003</v>
      </c>
      <c r="D1171">
        <f t="shared" si="42"/>
        <v>174.574479</v>
      </c>
    </row>
    <row r="1172" spans="1:8">
      <c r="A1172">
        <v>1171</v>
      </c>
      <c r="B1172">
        <v>348</v>
      </c>
      <c r="C1172">
        <f t="shared" si="41"/>
        <v>74.25407248999997</v>
      </c>
      <c r="D1172">
        <f t="shared" si="42"/>
        <v>273.74592751</v>
      </c>
    </row>
    <row r="1173" spans="1:8">
      <c r="A1173">
        <v>1172</v>
      </c>
      <c r="B1173">
        <v>446</v>
      </c>
      <c r="C1173">
        <f t="shared" si="41"/>
        <v>74.082321759999957</v>
      </c>
      <c r="D1173">
        <f t="shared" si="42"/>
        <v>371.91767824000004</v>
      </c>
    </row>
    <row r="1174" spans="1:8">
      <c r="A1174">
        <v>1173</v>
      </c>
      <c r="B1174">
        <v>416</v>
      </c>
      <c r="C1174">
        <f t="shared" si="41"/>
        <v>73.910268809999991</v>
      </c>
      <c r="D1174">
        <f t="shared" si="42"/>
        <v>342.08973119000001</v>
      </c>
    </row>
    <row r="1175" spans="1:8">
      <c r="A1175">
        <v>1174</v>
      </c>
      <c r="B1175">
        <v>309</v>
      </c>
      <c r="C1175">
        <f t="shared" si="41"/>
        <v>73.737913639999988</v>
      </c>
      <c r="D1175">
        <f t="shared" si="42"/>
        <v>235.26208636000001</v>
      </c>
    </row>
    <row r="1176" spans="1:8">
      <c r="A1176">
        <v>1175</v>
      </c>
      <c r="B1176">
        <v>210</v>
      </c>
      <c r="C1176">
        <f t="shared" si="41"/>
        <v>73.565256250000004</v>
      </c>
      <c r="D1176">
        <f t="shared" si="42"/>
        <v>136.43474375</v>
      </c>
    </row>
    <row r="1177" spans="1:8">
      <c r="A1177">
        <v>1176</v>
      </c>
      <c r="B1177">
        <v>172</v>
      </c>
      <c r="C1177">
        <f t="shared" si="41"/>
        <v>73.392296639999984</v>
      </c>
      <c r="D1177">
        <f t="shared" si="42"/>
        <v>98.607703360000016</v>
      </c>
    </row>
    <row r="1178" spans="1:8">
      <c r="A1178">
        <v>1177</v>
      </c>
      <c r="B1178">
        <v>174</v>
      </c>
      <c r="C1178">
        <f t="shared" si="41"/>
        <v>73.219034809999954</v>
      </c>
      <c r="D1178">
        <f t="shared" si="42"/>
        <v>100.78096519000005</v>
      </c>
    </row>
    <row r="1179" spans="1:8">
      <c r="A1179">
        <v>1178</v>
      </c>
      <c r="B1179">
        <v>282</v>
      </c>
      <c r="C1179">
        <f t="shared" si="41"/>
        <v>73.045470759999972</v>
      </c>
      <c r="D1179">
        <f t="shared" si="42"/>
        <v>208.95452924000003</v>
      </c>
    </row>
    <row r="1180" spans="1:8">
      <c r="A1180">
        <v>1179</v>
      </c>
      <c r="B1180">
        <v>473</v>
      </c>
      <c r="C1180">
        <f t="shared" si="41"/>
        <v>72.871604489999982</v>
      </c>
      <c r="D1180">
        <f t="shared" si="42"/>
        <v>400.12839551000002</v>
      </c>
    </row>
    <row r="1181" spans="1:8">
      <c r="A1181">
        <v>1180</v>
      </c>
      <c r="B1181">
        <v>723</v>
      </c>
      <c r="C1181">
        <f t="shared" si="41"/>
        <v>72.697435999999954</v>
      </c>
      <c r="D1181">
        <f t="shared" si="42"/>
        <v>650.30256400000007</v>
      </c>
    </row>
    <row r="1182" spans="1:8" ht="17.25">
      <c r="A1182">
        <v>1181</v>
      </c>
      <c r="B1182">
        <v>823</v>
      </c>
      <c r="C1182">
        <f t="shared" si="41"/>
        <v>72.522965289999973</v>
      </c>
      <c r="D1182">
        <f t="shared" si="42"/>
        <v>750.47703471</v>
      </c>
      <c r="F1182">
        <v>1181</v>
      </c>
      <c r="G1182">
        <v>5</v>
      </c>
      <c r="H1182" t="s">
        <v>173</v>
      </c>
    </row>
    <row r="1183" spans="1:8">
      <c r="A1183">
        <v>1182</v>
      </c>
      <c r="B1183">
        <v>699</v>
      </c>
      <c r="C1183">
        <f t="shared" si="41"/>
        <v>72.348192359999985</v>
      </c>
      <c r="D1183">
        <f t="shared" si="42"/>
        <v>626.65180764000002</v>
      </c>
    </row>
    <row r="1184" spans="1:8">
      <c r="A1184">
        <v>1183</v>
      </c>
      <c r="B1184">
        <v>415</v>
      </c>
      <c r="C1184">
        <f t="shared" si="41"/>
        <v>72.173117209999987</v>
      </c>
      <c r="D1184">
        <f t="shared" si="42"/>
        <v>342.82688279000001</v>
      </c>
    </row>
    <row r="1185" spans="1:4">
      <c r="A1185">
        <v>1184</v>
      </c>
      <c r="B1185">
        <v>227</v>
      </c>
      <c r="C1185">
        <f t="shared" si="41"/>
        <v>71.997739840000008</v>
      </c>
      <c r="D1185">
        <f t="shared" si="42"/>
        <v>155.00226015999999</v>
      </c>
    </row>
    <row r="1186" spans="1:4">
      <c r="A1186">
        <v>1185</v>
      </c>
      <c r="B1186">
        <v>124</v>
      </c>
      <c r="C1186">
        <f t="shared" si="41"/>
        <v>71.822060249999993</v>
      </c>
      <c r="D1186">
        <f t="shared" si="42"/>
        <v>52.177939750000007</v>
      </c>
    </row>
    <row r="1187" spans="1:4">
      <c r="A1187">
        <v>1186</v>
      </c>
      <c r="B1187">
        <v>105</v>
      </c>
      <c r="C1187">
        <f t="shared" si="41"/>
        <v>71.646078439999968</v>
      </c>
      <c r="D1187">
        <f t="shared" si="42"/>
        <v>33.353921560000032</v>
      </c>
    </row>
    <row r="1188" spans="1:4">
      <c r="A1188">
        <v>1187</v>
      </c>
      <c r="B1188">
        <v>110</v>
      </c>
      <c r="C1188">
        <f t="shared" si="41"/>
        <v>71.469794409999992</v>
      </c>
      <c r="D1188">
        <f t="shared" si="42"/>
        <v>38.530205590000008</v>
      </c>
    </row>
    <row r="1189" spans="1:4">
      <c r="A1189">
        <v>1188</v>
      </c>
      <c r="B1189">
        <v>121</v>
      </c>
      <c r="C1189">
        <f t="shared" si="41"/>
        <v>71.293208159999978</v>
      </c>
      <c r="D1189">
        <f t="shared" si="42"/>
        <v>49.706791840000022</v>
      </c>
    </row>
    <row r="1190" spans="1:4">
      <c r="A1190">
        <v>1189</v>
      </c>
      <c r="B1190">
        <v>126</v>
      </c>
      <c r="C1190">
        <f t="shared" si="41"/>
        <v>71.116319689999955</v>
      </c>
      <c r="D1190">
        <f t="shared" si="42"/>
        <v>54.883680310000045</v>
      </c>
    </row>
    <row r="1191" spans="1:4">
      <c r="A1191">
        <v>1190</v>
      </c>
      <c r="B1191">
        <v>135</v>
      </c>
      <c r="C1191">
        <f t="shared" si="41"/>
        <v>70.93912899999998</v>
      </c>
      <c r="D1191">
        <f t="shared" si="42"/>
        <v>64.06087100000002</v>
      </c>
    </row>
    <row r="1192" spans="1:4">
      <c r="A1192">
        <v>1191</v>
      </c>
      <c r="B1192">
        <v>121</v>
      </c>
      <c r="C1192">
        <f t="shared" si="41"/>
        <v>70.761636089999968</v>
      </c>
      <c r="D1192">
        <f t="shared" si="42"/>
        <v>50.238363910000032</v>
      </c>
    </row>
    <row r="1193" spans="1:4">
      <c r="A1193">
        <v>1192</v>
      </c>
      <c r="B1193">
        <v>125</v>
      </c>
      <c r="C1193">
        <f t="shared" si="41"/>
        <v>70.583840959999975</v>
      </c>
      <c r="D1193">
        <f t="shared" si="42"/>
        <v>54.416159040000025</v>
      </c>
    </row>
    <row r="1194" spans="1:4">
      <c r="A1194">
        <v>1193</v>
      </c>
      <c r="B1194">
        <v>139</v>
      </c>
      <c r="C1194">
        <f t="shared" si="41"/>
        <v>70.405743609999973</v>
      </c>
      <c r="D1194">
        <f t="shared" si="42"/>
        <v>68.594256390000027</v>
      </c>
    </row>
    <row r="1195" spans="1:4">
      <c r="A1195">
        <v>1194</v>
      </c>
      <c r="B1195">
        <v>164</v>
      </c>
      <c r="C1195">
        <f t="shared" si="41"/>
        <v>70.227344039999963</v>
      </c>
      <c r="D1195">
        <f t="shared" si="42"/>
        <v>93.772655960000037</v>
      </c>
    </row>
    <row r="1196" spans="1:4">
      <c r="A1196">
        <v>1195</v>
      </c>
      <c r="B1196">
        <v>178</v>
      </c>
      <c r="C1196">
        <f t="shared" si="41"/>
        <v>70.04864225</v>
      </c>
      <c r="D1196">
        <f t="shared" si="42"/>
        <v>107.95135775</v>
      </c>
    </row>
    <row r="1197" spans="1:4">
      <c r="A1197">
        <v>1196</v>
      </c>
      <c r="B1197">
        <v>172</v>
      </c>
      <c r="C1197">
        <f t="shared" si="41"/>
        <v>69.86963824</v>
      </c>
      <c r="D1197">
        <f t="shared" si="42"/>
        <v>102.13036176</v>
      </c>
    </row>
    <row r="1198" spans="1:4">
      <c r="A1198">
        <v>1197</v>
      </c>
      <c r="B1198">
        <v>176</v>
      </c>
      <c r="C1198">
        <f t="shared" si="41"/>
        <v>69.690332009999992</v>
      </c>
      <c r="D1198">
        <f t="shared" si="42"/>
        <v>106.30966799000001</v>
      </c>
    </row>
    <row r="1199" spans="1:4">
      <c r="A1199">
        <v>1198</v>
      </c>
      <c r="B1199">
        <v>183</v>
      </c>
      <c r="C1199">
        <f t="shared" si="41"/>
        <v>69.510723560000002</v>
      </c>
      <c r="D1199">
        <f t="shared" si="42"/>
        <v>113.48927644</v>
      </c>
    </row>
    <row r="1200" spans="1:4">
      <c r="A1200">
        <v>1199</v>
      </c>
      <c r="B1200">
        <v>177</v>
      </c>
      <c r="C1200">
        <f t="shared" si="41"/>
        <v>69.330812889999976</v>
      </c>
      <c r="D1200">
        <f t="shared" si="42"/>
        <v>107.66918711000002</v>
      </c>
    </row>
    <row r="1201" spans="1:4">
      <c r="A1201">
        <v>1200</v>
      </c>
      <c r="B1201">
        <v>160</v>
      </c>
      <c r="C1201">
        <f t="shared" si="41"/>
        <v>69.150599999999969</v>
      </c>
      <c r="D1201">
        <f t="shared" si="42"/>
        <v>90.849400000000031</v>
      </c>
    </row>
    <row r="1202" spans="1:4">
      <c r="A1202">
        <v>1201</v>
      </c>
      <c r="B1202">
        <v>135</v>
      </c>
      <c r="C1202">
        <f t="shared" si="41"/>
        <v>68.970084889999981</v>
      </c>
      <c r="D1202">
        <f t="shared" si="42"/>
        <v>66.029915110000019</v>
      </c>
    </row>
    <row r="1203" spans="1:4">
      <c r="A1203">
        <v>1202</v>
      </c>
      <c r="B1203">
        <v>125</v>
      </c>
      <c r="C1203">
        <f t="shared" si="41"/>
        <v>68.789267559999985</v>
      </c>
      <c r="D1203">
        <f t="shared" si="42"/>
        <v>56.210732440000015</v>
      </c>
    </row>
    <row r="1204" spans="1:4">
      <c r="A1204">
        <v>1203</v>
      </c>
      <c r="B1204">
        <v>123</v>
      </c>
      <c r="C1204">
        <f t="shared" si="41"/>
        <v>68.608148009999951</v>
      </c>
      <c r="D1204">
        <f t="shared" si="42"/>
        <v>54.391851990000049</v>
      </c>
    </row>
    <row r="1205" spans="1:4">
      <c r="A1205">
        <v>1204</v>
      </c>
      <c r="B1205">
        <v>123</v>
      </c>
      <c r="C1205">
        <f t="shared" si="41"/>
        <v>68.426726239999994</v>
      </c>
      <c r="D1205">
        <f t="shared" si="42"/>
        <v>54.573273760000006</v>
      </c>
    </row>
    <row r="1206" spans="1:4">
      <c r="A1206">
        <v>1205</v>
      </c>
      <c r="B1206">
        <v>102</v>
      </c>
      <c r="C1206">
        <f t="shared" si="41"/>
        <v>68.24500224999997</v>
      </c>
      <c r="D1206">
        <f t="shared" si="42"/>
        <v>33.75499775000003</v>
      </c>
    </row>
    <row r="1207" spans="1:4">
      <c r="A1207">
        <v>1206</v>
      </c>
      <c r="B1207">
        <v>97</v>
      </c>
      <c r="C1207">
        <f t="shared" si="41"/>
        <v>68.062976039999995</v>
      </c>
      <c r="D1207">
        <f t="shared" si="42"/>
        <v>28.937023960000005</v>
      </c>
    </row>
    <row r="1208" spans="1:4">
      <c r="A1208">
        <v>1207</v>
      </c>
      <c r="B1208">
        <v>101</v>
      </c>
      <c r="C1208">
        <f t="shared" si="41"/>
        <v>67.880647609999983</v>
      </c>
      <c r="D1208">
        <f t="shared" si="42"/>
        <v>33.119352390000017</v>
      </c>
    </row>
    <row r="1209" spans="1:4">
      <c r="A1209">
        <v>1208</v>
      </c>
      <c r="B1209">
        <v>97</v>
      </c>
      <c r="C1209">
        <f t="shared" si="41"/>
        <v>67.698016959999961</v>
      </c>
      <c r="D1209">
        <f t="shared" si="42"/>
        <v>29.301983040000039</v>
      </c>
    </row>
    <row r="1210" spans="1:4">
      <c r="A1210">
        <v>1209</v>
      </c>
      <c r="B1210">
        <v>97</v>
      </c>
      <c r="C1210">
        <f t="shared" si="41"/>
        <v>67.515084090000016</v>
      </c>
      <c r="D1210">
        <f t="shared" si="42"/>
        <v>29.484915909999984</v>
      </c>
    </row>
    <row r="1211" spans="1:4">
      <c r="A1211">
        <v>1210</v>
      </c>
      <c r="B1211">
        <v>99</v>
      </c>
      <c r="C1211">
        <f t="shared" si="41"/>
        <v>67.331849000000005</v>
      </c>
      <c r="D1211">
        <f t="shared" si="42"/>
        <v>31.668150999999995</v>
      </c>
    </row>
    <row r="1212" spans="1:4">
      <c r="A1212">
        <v>1211</v>
      </c>
      <c r="B1212">
        <v>94</v>
      </c>
      <c r="C1212">
        <f t="shared" si="41"/>
        <v>67.148311689999986</v>
      </c>
      <c r="D1212">
        <f t="shared" si="42"/>
        <v>26.851688310000014</v>
      </c>
    </row>
    <row r="1213" spans="1:4">
      <c r="A1213">
        <v>1212</v>
      </c>
      <c r="B1213">
        <v>109</v>
      </c>
      <c r="C1213">
        <f t="shared" si="41"/>
        <v>66.964472159999985</v>
      </c>
      <c r="D1213">
        <f t="shared" si="42"/>
        <v>42.035527840000015</v>
      </c>
    </row>
    <row r="1214" spans="1:4">
      <c r="A1214">
        <v>1213</v>
      </c>
      <c r="B1214">
        <v>106</v>
      </c>
      <c r="C1214">
        <f t="shared" si="41"/>
        <v>66.780330409999976</v>
      </c>
      <c r="D1214">
        <f t="shared" si="42"/>
        <v>39.219669590000024</v>
      </c>
    </row>
    <row r="1215" spans="1:4">
      <c r="A1215">
        <v>1214</v>
      </c>
      <c r="B1215">
        <v>131</v>
      </c>
      <c r="C1215">
        <f t="shared" si="41"/>
        <v>66.595886439999958</v>
      </c>
      <c r="D1215">
        <f t="shared" si="42"/>
        <v>64.404113560000042</v>
      </c>
    </row>
    <row r="1216" spans="1:4">
      <c r="A1216">
        <v>1215</v>
      </c>
      <c r="B1216">
        <v>161</v>
      </c>
      <c r="C1216">
        <f t="shared" si="41"/>
        <v>66.411140249999988</v>
      </c>
      <c r="D1216">
        <f t="shared" si="42"/>
        <v>94.588859750000012</v>
      </c>
    </row>
    <row r="1217" spans="1:4">
      <c r="A1217">
        <v>1216</v>
      </c>
      <c r="B1217">
        <v>187</v>
      </c>
      <c r="C1217">
        <f t="shared" si="41"/>
        <v>66.226091839999981</v>
      </c>
      <c r="D1217">
        <f t="shared" si="42"/>
        <v>120.77390816000002</v>
      </c>
    </row>
    <row r="1218" spans="1:4">
      <c r="A1218">
        <v>1217</v>
      </c>
      <c r="B1218">
        <v>189</v>
      </c>
      <c r="C1218">
        <f t="shared" ref="C1218:C1281" si="43" xml:space="preserve"> -0.00015111*A1218*A1218 + 0.1823*A1218 + 67.989</f>
        <v>66.040741209999965</v>
      </c>
      <c r="D1218">
        <f t="shared" ref="D1218:D1281" si="44">B1218-C1218</f>
        <v>122.95925879000004</v>
      </c>
    </row>
    <row r="1219" spans="1:4">
      <c r="A1219">
        <v>1218</v>
      </c>
      <c r="B1219">
        <v>159</v>
      </c>
      <c r="C1219">
        <f t="shared" si="43"/>
        <v>65.855088359999968</v>
      </c>
      <c r="D1219">
        <f t="shared" si="44"/>
        <v>93.144911640000032</v>
      </c>
    </row>
    <row r="1220" spans="1:4">
      <c r="A1220">
        <v>1219</v>
      </c>
      <c r="B1220">
        <v>138</v>
      </c>
      <c r="C1220">
        <f t="shared" si="43"/>
        <v>65.669133289999962</v>
      </c>
      <c r="D1220">
        <f t="shared" si="44"/>
        <v>72.330866710000038</v>
      </c>
    </row>
    <row r="1221" spans="1:4">
      <c r="A1221">
        <v>1220</v>
      </c>
      <c r="B1221">
        <v>123</v>
      </c>
      <c r="C1221">
        <f t="shared" si="43"/>
        <v>65.482875999999948</v>
      </c>
      <c r="D1221">
        <f t="shared" si="44"/>
        <v>57.517124000000052</v>
      </c>
    </row>
    <row r="1222" spans="1:4">
      <c r="A1222">
        <v>1221</v>
      </c>
      <c r="B1222">
        <v>110</v>
      </c>
      <c r="C1222">
        <f t="shared" si="43"/>
        <v>65.296316489999981</v>
      </c>
      <c r="D1222">
        <f t="shared" si="44"/>
        <v>44.703683510000019</v>
      </c>
    </row>
    <row r="1223" spans="1:4">
      <c r="A1223">
        <v>1222</v>
      </c>
      <c r="B1223">
        <v>103</v>
      </c>
      <c r="C1223">
        <f t="shared" si="43"/>
        <v>65.109454759999977</v>
      </c>
      <c r="D1223">
        <f t="shared" si="44"/>
        <v>37.890545240000023</v>
      </c>
    </row>
    <row r="1224" spans="1:4">
      <c r="A1224">
        <v>1223</v>
      </c>
      <c r="B1224">
        <v>122</v>
      </c>
      <c r="C1224">
        <f t="shared" si="43"/>
        <v>64.922290809999993</v>
      </c>
      <c r="D1224">
        <f t="shared" si="44"/>
        <v>57.077709190000007</v>
      </c>
    </row>
    <row r="1225" spans="1:4">
      <c r="A1225">
        <v>1224</v>
      </c>
      <c r="B1225">
        <v>164</v>
      </c>
      <c r="C1225">
        <f t="shared" si="43"/>
        <v>64.734824639999999</v>
      </c>
      <c r="D1225">
        <f t="shared" si="44"/>
        <v>99.265175360000001</v>
      </c>
    </row>
    <row r="1226" spans="1:4">
      <c r="A1226">
        <v>1225</v>
      </c>
      <c r="B1226">
        <v>214</v>
      </c>
      <c r="C1226">
        <f t="shared" si="43"/>
        <v>64.547056249999969</v>
      </c>
      <c r="D1226">
        <f t="shared" si="44"/>
        <v>149.45294375000003</v>
      </c>
    </row>
    <row r="1227" spans="1:4">
      <c r="A1227">
        <v>1226</v>
      </c>
      <c r="B1227">
        <v>238</v>
      </c>
      <c r="C1227">
        <f t="shared" si="43"/>
        <v>64.358985639999986</v>
      </c>
      <c r="D1227">
        <f t="shared" si="44"/>
        <v>173.64101436000001</v>
      </c>
    </row>
    <row r="1228" spans="1:4">
      <c r="A1228">
        <v>1227</v>
      </c>
      <c r="B1228">
        <v>230</v>
      </c>
      <c r="C1228">
        <f t="shared" si="43"/>
        <v>64.170612809999994</v>
      </c>
      <c r="D1228">
        <f t="shared" si="44"/>
        <v>165.82938719000001</v>
      </c>
    </row>
    <row r="1229" spans="1:4">
      <c r="A1229">
        <v>1228</v>
      </c>
      <c r="B1229">
        <v>208</v>
      </c>
      <c r="C1229">
        <f t="shared" si="43"/>
        <v>63.981937759999965</v>
      </c>
      <c r="D1229">
        <f t="shared" si="44"/>
        <v>144.01806224000003</v>
      </c>
    </row>
    <row r="1230" spans="1:4">
      <c r="A1230">
        <v>1229</v>
      </c>
      <c r="B1230">
        <v>201</v>
      </c>
      <c r="C1230">
        <f t="shared" si="43"/>
        <v>63.792960489999984</v>
      </c>
      <c r="D1230">
        <f t="shared" si="44"/>
        <v>137.20703951000002</v>
      </c>
    </row>
    <row r="1231" spans="1:4">
      <c r="A1231">
        <v>1230</v>
      </c>
      <c r="B1231">
        <v>193</v>
      </c>
      <c r="C1231">
        <f t="shared" si="43"/>
        <v>63.603680999999966</v>
      </c>
      <c r="D1231">
        <f t="shared" si="44"/>
        <v>129.39631900000003</v>
      </c>
    </row>
    <row r="1232" spans="1:4">
      <c r="A1232">
        <v>1231</v>
      </c>
      <c r="B1232">
        <v>198</v>
      </c>
      <c r="C1232">
        <f t="shared" si="43"/>
        <v>63.414099289999967</v>
      </c>
      <c r="D1232">
        <f t="shared" si="44"/>
        <v>134.58590071000003</v>
      </c>
    </row>
    <row r="1233" spans="1:8">
      <c r="A1233">
        <v>1232</v>
      </c>
      <c r="B1233">
        <v>204</v>
      </c>
      <c r="C1233">
        <f t="shared" si="43"/>
        <v>63.224215359999988</v>
      </c>
      <c r="D1233">
        <f t="shared" si="44"/>
        <v>140.77578464000001</v>
      </c>
    </row>
    <row r="1234" spans="1:8">
      <c r="A1234">
        <v>1233</v>
      </c>
      <c r="B1234">
        <v>268</v>
      </c>
      <c r="C1234">
        <f t="shared" si="43"/>
        <v>63.034029209999971</v>
      </c>
      <c r="D1234">
        <f t="shared" si="44"/>
        <v>204.96597079000003</v>
      </c>
    </row>
    <row r="1235" spans="1:8">
      <c r="A1235">
        <v>1234</v>
      </c>
      <c r="B1235">
        <v>411</v>
      </c>
      <c r="C1235">
        <f t="shared" si="43"/>
        <v>62.843540839999946</v>
      </c>
      <c r="D1235">
        <f t="shared" si="44"/>
        <v>348.15645916000005</v>
      </c>
    </row>
    <row r="1236" spans="1:8">
      <c r="A1236">
        <v>1235</v>
      </c>
      <c r="B1236">
        <v>741</v>
      </c>
      <c r="C1236">
        <f t="shared" si="43"/>
        <v>62.652750249999968</v>
      </c>
      <c r="D1236">
        <f t="shared" si="44"/>
        <v>678.34724975000006</v>
      </c>
    </row>
    <row r="1237" spans="1:8">
      <c r="A1237">
        <v>1236</v>
      </c>
      <c r="B1237">
        <v>1720</v>
      </c>
      <c r="C1237">
        <f t="shared" si="43"/>
        <v>62.461657439999982</v>
      </c>
      <c r="D1237">
        <f t="shared" si="44"/>
        <v>1657.53834256</v>
      </c>
    </row>
    <row r="1238" spans="1:8">
      <c r="A1238">
        <v>1237</v>
      </c>
      <c r="B1238">
        <v>3530</v>
      </c>
      <c r="C1238">
        <f t="shared" si="43"/>
        <v>62.270262410000015</v>
      </c>
      <c r="D1238">
        <f t="shared" si="44"/>
        <v>3467.7297375899998</v>
      </c>
    </row>
    <row r="1239" spans="1:8">
      <c r="A1239">
        <v>1238</v>
      </c>
      <c r="B1239">
        <v>5554</v>
      </c>
      <c r="C1239">
        <f t="shared" si="43"/>
        <v>62.078565159999982</v>
      </c>
      <c r="D1239">
        <f t="shared" si="44"/>
        <v>5491.9214348400001</v>
      </c>
    </row>
    <row r="1240" spans="1:8" ht="17.25">
      <c r="A1240">
        <v>1239</v>
      </c>
      <c r="B1240">
        <v>6458</v>
      </c>
      <c r="C1240">
        <f t="shared" si="43"/>
        <v>61.886565689999969</v>
      </c>
      <c r="D1240">
        <f t="shared" si="44"/>
        <v>6396.1134343100002</v>
      </c>
      <c r="F1240">
        <v>1238.5</v>
      </c>
      <c r="G1240">
        <v>6</v>
      </c>
      <c r="H1240" t="s">
        <v>174</v>
      </c>
    </row>
    <row r="1241" spans="1:8">
      <c r="A1241">
        <v>1240</v>
      </c>
      <c r="B1241">
        <v>5408</v>
      </c>
      <c r="C1241">
        <f t="shared" si="43"/>
        <v>61.694264000000004</v>
      </c>
      <c r="D1241">
        <f t="shared" si="44"/>
        <v>5346.3057360000003</v>
      </c>
    </row>
    <row r="1242" spans="1:8">
      <c r="A1242">
        <v>1241</v>
      </c>
      <c r="B1242">
        <v>3272</v>
      </c>
      <c r="C1242">
        <f t="shared" si="43"/>
        <v>61.501660089999973</v>
      </c>
      <c r="D1242">
        <f t="shared" si="44"/>
        <v>3210.4983399100001</v>
      </c>
    </row>
    <row r="1243" spans="1:8">
      <c r="A1243">
        <v>1242</v>
      </c>
      <c r="B1243">
        <v>1834</v>
      </c>
      <c r="C1243">
        <f t="shared" si="43"/>
        <v>61.308753959999962</v>
      </c>
      <c r="D1243">
        <f t="shared" si="44"/>
        <v>1772.6912460400001</v>
      </c>
    </row>
    <row r="1244" spans="1:8">
      <c r="A1244">
        <v>1243</v>
      </c>
      <c r="B1244">
        <v>1532</v>
      </c>
      <c r="C1244">
        <f t="shared" si="43"/>
        <v>61.115545609999998</v>
      </c>
      <c r="D1244">
        <f t="shared" si="44"/>
        <v>1470.88445439</v>
      </c>
    </row>
    <row r="1245" spans="1:8">
      <c r="A1245">
        <v>1244</v>
      </c>
      <c r="B1245">
        <v>1725</v>
      </c>
      <c r="C1245">
        <f t="shared" si="43"/>
        <v>60.922035039999969</v>
      </c>
      <c r="D1245">
        <f t="shared" si="44"/>
        <v>1664.0779649599999</v>
      </c>
    </row>
    <row r="1246" spans="1:8">
      <c r="A1246">
        <v>1245</v>
      </c>
      <c r="B1246">
        <v>1810</v>
      </c>
      <c r="C1246">
        <f t="shared" si="43"/>
        <v>60.728222249999959</v>
      </c>
      <c r="D1246">
        <f t="shared" si="44"/>
        <v>1749.27177775</v>
      </c>
    </row>
    <row r="1247" spans="1:8">
      <c r="A1247">
        <v>1246</v>
      </c>
      <c r="B1247">
        <v>1526</v>
      </c>
      <c r="C1247">
        <f t="shared" si="43"/>
        <v>60.534107239999969</v>
      </c>
      <c r="D1247">
        <f t="shared" si="44"/>
        <v>1465.4658927600001</v>
      </c>
    </row>
    <row r="1248" spans="1:8">
      <c r="A1248">
        <v>1247</v>
      </c>
      <c r="B1248">
        <v>954</v>
      </c>
      <c r="C1248">
        <f t="shared" si="43"/>
        <v>60.33969000999997</v>
      </c>
      <c r="D1248">
        <f t="shared" si="44"/>
        <v>893.66030999000009</v>
      </c>
    </row>
    <row r="1249" spans="1:4">
      <c r="A1249">
        <v>1248</v>
      </c>
      <c r="B1249">
        <v>547</v>
      </c>
      <c r="C1249">
        <f t="shared" si="43"/>
        <v>60.144970559999962</v>
      </c>
      <c r="D1249">
        <f t="shared" si="44"/>
        <v>486.85502944000007</v>
      </c>
    </row>
    <row r="1250" spans="1:4">
      <c r="A1250">
        <v>1249</v>
      </c>
      <c r="B1250">
        <v>343</v>
      </c>
      <c r="C1250">
        <f t="shared" si="43"/>
        <v>59.949948889999973</v>
      </c>
      <c r="D1250">
        <f t="shared" si="44"/>
        <v>283.05005111000003</v>
      </c>
    </row>
    <row r="1251" spans="1:4">
      <c r="A1251">
        <v>1250</v>
      </c>
      <c r="B1251">
        <v>274</v>
      </c>
      <c r="C1251">
        <f t="shared" si="43"/>
        <v>59.754624999999976</v>
      </c>
      <c r="D1251">
        <f t="shared" si="44"/>
        <v>214.24537500000002</v>
      </c>
    </row>
    <row r="1252" spans="1:4">
      <c r="A1252">
        <v>1251</v>
      </c>
      <c r="B1252">
        <v>227</v>
      </c>
      <c r="C1252">
        <f t="shared" si="43"/>
        <v>59.55899888999997</v>
      </c>
      <c r="D1252">
        <f t="shared" si="44"/>
        <v>167.44100111000003</v>
      </c>
    </row>
    <row r="1253" spans="1:4">
      <c r="A1253">
        <v>1252</v>
      </c>
      <c r="B1253">
        <v>196</v>
      </c>
      <c r="C1253">
        <f t="shared" si="43"/>
        <v>59.363070559999983</v>
      </c>
      <c r="D1253">
        <f t="shared" si="44"/>
        <v>136.63692944000002</v>
      </c>
    </row>
    <row r="1254" spans="1:4">
      <c r="A1254">
        <v>1253</v>
      </c>
      <c r="B1254">
        <v>180</v>
      </c>
      <c r="C1254">
        <f t="shared" si="43"/>
        <v>59.166840009999987</v>
      </c>
      <c r="D1254">
        <f t="shared" si="44"/>
        <v>120.83315999000001</v>
      </c>
    </row>
    <row r="1255" spans="1:4">
      <c r="A1255">
        <v>1254</v>
      </c>
      <c r="B1255">
        <v>167</v>
      </c>
      <c r="C1255">
        <f t="shared" si="43"/>
        <v>58.970307240000011</v>
      </c>
      <c r="D1255">
        <f t="shared" si="44"/>
        <v>108.02969275999999</v>
      </c>
    </row>
    <row r="1256" spans="1:4">
      <c r="A1256">
        <v>1255</v>
      </c>
      <c r="B1256">
        <v>160</v>
      </c>
      <c r="C1256">
        <f t="shared" si="43"/>
        <v>58.773472249999998</v>
      </c>
      <c r="D1256">
        <f t="shared" si="44"/>
        <v>101.22652775</v>
      </c>
    </row>
    <row r="1257" spans="1:4">
      <c r="A1257">
        <v>1256</v>
      </c>
      <c r="B1257">
        <v>158</v>
      </c>
      <c r="C1257">
        <f t="shared" si="43"/>
        <v>58.576335039999975</v>
      </c>
      <c r="D1257">
        <f t="shared" si="44"/>
        <v>99.423664960000025</v>
      </c>
    </row>
    <row r="1258" spans="1:4">
      <c r="A1258">
        <v>1257</v>
      </c>
      <c r="B1258">
        <v>154</v>
      </c>
      <c r="C1258">
        <f t="shared" si="43"/>
        <v>58.378895610000001</v>
      </c>
      <c r="D1258">
        <f t="shared" si="44"/>
        <v>95.621104389999999</v>
      </c>
    </row>
    <row r="1259" spans="1:4">
      <c r="A1259">
        <v>1258</v>
      </c>
      <c r="B1259">
        <v>166</v>
      </c>
      <c r="C1259">
        <f t="shared" si="43"/>
        <v>58.181153959999989</v>
      </c>
      <c r="D1259">
        <f t="shared" si="44"/>
        <v>107.81884604000001</v>
      </c>
    </row>
    <row r="1260" spans="1:4">
      <c r="A1260">
        <v>1259</v>
      </c>
      <c r="B1260">
        <v>159</v>
      </c>
      <c r="C1260">
        <f t="shared" si="43"/>
        <v>57.983110089999968</v>
      </c>
      <c r="D1260">
        <f t="shared" si="44"/>
        <v>101.01688991000003</v>
      </c>
    </row>
    <row r="1261" spans="1:4">
      <c r="A1261">
        <v>1260</v>
      </c>
      <c r="B1261">
        <v>144</v>
      </c>
      <c r="C1261">
        <f t="shared" si="43"/>
        <v>57.784763999999996</v>
      </c>
      <c r="D1261">
        <f t="shared" si="44"/>
        <v>86.215236000000004</v>
      </c>
    </row>
    <row r="1262" spans="1:4">
      <c r="A1262">
        <v>1261</v>
      </c>
      <c r="B1262">
        <v>132</v>
      </c>
      <c r="C1262">
        <f t="shared" si="43"/>
        <v>57.586115689999957</v>
      </c>
      <c r="D1262">
        <f t="shared" si="44"/>
        <v>74.413884310000043</v>
      </c>
    </row>
    <row r="1263" spans="1:4">
      <c r="A1263">
        <v>1262</v>
      </c>
      <c r="B1263">
        <v>119</v>
      </c>
      <c r="C1263">
        <f t="shared" si="43"/>
        <v>57.387165159999967</v>
      </c>
      <c r="D1263">
        <f t="shared" si="44"/>
        <v>61.612834840000033</v>
      </c>
    </row>
    <row r="1264" spans="1:4">
      <c r="A1264">
        <v>1263</v>
      </c>
      <c r="B1264">
        <v>109</v>
      </c>
      <c r="C1264">
        <f t="shared" si="43"/>
        <v>57.187912409999996</v>
      </c>
      <c r="D1264">
        <f t="shared" si="44"/>
        <v>51.812087590000004</v>
      </c>
    </row>
    <row r="1265" spans="1:4">
      <c r="A1265">
        <v>1264</v>
      </c>
      <c r="B1265">
        <v>105</v>
      </c>
      <c r="C1265">
        <f t="shared" si="43"/>
        <v>56.988357439999987</v>
      </c>
      <c r="D1265">
        <f t="shared" si="44"/>
        <v>48.011642560000013</v>
      </c>
    </row>
    <row r="1266" spans="1:4">
      <c r="A1266">
        <v>1265</v>
      </c>
      <c r="B1266">
        <v>96</v>
      </c>
      <c r="C1266">
        <f t="shared" si="43"/>
        <v>56.78850024999997</v>
      </c>
      <c r="D1266">
        <f t="shared" si="44"/>
        <v>39.21149975000003</v>
      </c>
    </row>
    <row r="1267" spans="1:4">
      <c r="A1267">
        <v>1266</v>
      </c>
      <c r="B1267">
        <v>92</v>
      </c>
      <c r="C1267">
        <f t="shared" si="43"/>
        <v>56.588340840000001</v>
      </c>
      <c r="D1267">
        <f t="shared" si="44"/>
        <v>35.411659159999999</v>
      </c>
    </row>
    <row r="1268" spans="1:4">
      <c r="A1268">
        <v>1267</v>
      </c>
      <c r="B1268">
        <v>92</v>
      </c>
      <c r="C1268">
        <f t="shared" si="43"/>
        <v>56.387879209999966</v>
      </c>
      <c r="D1268">
        <f t="shared" si="44"/>
        <v>35.612120790000034</v>
      </c>
    </row>
    <row r="1269" spans="1:4">
      <c r="A1269">
        <v>1268</v>
      </c>
      <c r="B1269">
        <v>88</v>
      </c>
      <c r="C1269">
        <f t="shared" si="43"/>
        <v>56.18711535999995</v>
      </c>
      <c r="D1269">
        <f t="shared" si="44"/>
        <v>31.81288464000005</v>
      </c>
    </row>
    <row r="1270" spans="1:4">
      <c r="A1270">
        <v>1269</v>
      </c>
      <c r="B1270">
        <v>88</v>
      </c>
      <c r="C1270">
        <f t="shared" si="43"/>
        <v>55.986049289999983</v>
      </c>
      <c r="D1270">
        <f t="shared" si="44"/>
        <v>32.013950710000017</v>
      </c>
    </row>
    <row r="1271" spans="1:4">
      <c r="A1271">
        <v>1270</v>
      </c>
      <c r="B1271">
        <v>80</v>
      </c>
      <c r="C1271">
        <f t="shared" si="43"/>
        <v>55.784680999999978</v>
      </c>
      <c r="D1271">
        <f t="shared" si="44"/>
        <v>24.215319000000022</v>
      </c>
    </row>
    <row r="1272" spans="1:4">
      <c r="A1272">
        <v>1271</v>
      </c>
      <c r="B1272">
        <v>84</v>
      </c>
      <c r="C1272">
        <f t="shared" si="43"/>
        <v>55.583010489999992</v>
      </c>
      <c r="D1272">
        <f t="shared" si="44"/>
        <v>28.416989510000008</v>
      </c>
    </row>
    <row r="1273" spans="1:4">
      <c r="A1273">
        <v>1272</v>
      </c>
      <c r="B1273">
        <v>90</v>
      </c>
      <c r="C1273">
        <f t="shared" si="43"/>
        <v>55.38103775999997</v>
      </c>
      <c r="D1273">
        <f t="shared" si="44"/>
        <v>34.61896224000003</v>
      </c>
    </row>
    <row r="1274" spans="1:4">
      <c r="A1274">
        <v>1273</v>
      </c>
      <c r="B1274">
        <v>86</v>
      </c>
      <c r="C1274">
        <f t="shared" si="43"/>
        <v>55.178762809999967</v>
      </c>
      <c r="D1274">
        <f t="shared" si="44"/>
        <v>30.821237190000033</v>
      </c>
    </row>
    <row r="1275" spans="1:4">
      <c r="A1275">
        <v>1274</v>
      </c>
      <c r="B1275">
        <v>94</v>
      </c>
      <c r="C1275">
        <f t="shared" si="43"/>
        <v>54.976185639999983</v>
      </c>
      <c r="D1275">
        <f t="shared" si="44"/>
        <v>39.023814360000017</v>
      </c>
    </row>
    <row r="1276" spans="1:4">
      <c r="A1276">
        <v>1275</v>
      </c>
      <c r="B1276">
        <v>100</v>
      </c>
      <c r="C1276">
        <f t="shared" si="43"/>
        <v>54.773306249999962</v>
      </c>
      <c r="D1276">
        <f t="shared" si="44"/>
        <v>45.226693750000038</v>
      </c>
    </row>
    <row r="1277" spans="1:4">
      <c r="A1277">
        <v>1276</v>
      </c>
      <c r="B1277">
        <v>118</v>
      </c>
      <c r="C1277">
        <f t="shared" si="43"/>
        <v>54.57012463999996</v>
      </c>
      <c r="D1277">
        <f t="shared" si="44"/>
        <v>63.42987536000004</v>
      </c>
    </row>
    <row r="1278" spans="1:4">
      <c r="A1278">
        <v>1277</v>
      </c>
      <c r="B1278">
        <v>125</v>
      </c>
      <c r="C1278">
        <f t="shared" si="43"/>
        <v>54.366640810000007</v>
      </c>
      <c r="D1278">
        <f t="shared" si="44"/>
        <v>70.633359189999993</v>
      </c>
    </row>
    <row r="1279" spans="1:4">
      <c r="A1279">
        <v>1278</v>
      </c>
      <c r="B1279">
        <v>122</v>
      </c>
      <c r="C1279">
        <f t="shared" si="43"/>
        <v>54.162854759999988</v>
      </c>
      <c r="D1279">
        <f t="shared" si="44"/>
        <v>67.837145240000012</v>
      </c>
    </row>
    <row r="1280" spans="1:4">
      <c r="A1280">
        <v>1279</v>
      </c>
      <c r="B1280">
        <v>112</v>
      </c>
      <c r="C1280">
        <f t="shared" si="43"/>
        <v>53.95876648999996</v>
      </c>
      <c r="D1280">
        <f t="shared" si="44"/>
        <v>58.04123351000004</v>
      </c>
    </row>
    <row r="1281" spans="1:4">
      <c r="A1281">
        <v>1280</v>
      </c>
      <c r="B1281">
        <v>93</v>
      </c>
      <c r="C1281">
        <f t="shared" si="43"/>
        <v>53.754376000000008</v>
      </c>
      <c r="D1281">
        <f t="shared" si="44"/>
        <v>39.245623999999992</v>
      </c>
    </row>
    <row r="1282" spans="1:4">
      <c r="A1282">
        <v>1281</v>
      </c>
      <c r="B1282">
        <v>86</v>
      </c>
      <c r="C1282">
        <f t="shared" ref="C1282:C1345" si="45" xml:space="preserve"> -0.00015111*A1282*A1282 + 0.1823*A1282 + 67.989</f>
        <v>53.54968328999999</v>
      </c>
      <c r="D1282">
        <f t="shared" ref="D1282:D1345" si="46">B1282-C1282</f>
        <v>32.45031671000001</v>
      </c>
    </row>
    <row r="1283" spans="1:4">
      <c r="A1283">
        <v>1282</v>
      </c>
      <c r="B1283">
        <v>83</v>
      </c>
      <c r="C1283">
        <f t="shared" si="45"/>
        <v>53.344688359999964</v>
      </c>
      <c r="D1283">
        <f t="shared" si="46"/>
        <v>29.655311640000036</v>
      </c>
    </row>
    <row r="1284" spans="1:4">
      <c r="A1284">
        <v>1283</v>
      </c>
      <c r="B1284">
        <v>86</v>
      </c>
      <c r="C1284">
        <f t="shared" si="45"/>
        <v>53.139391209999985</v>
      </c>
      <c r="D1284">
        <f t="shared" si="46"/>
        <v>32.860608790000015</v>
      </c>
    </row>
    <row r="1285" spans="1:4">
      <c r="A1285">
        <v>1284</v>
      </c>
      <c r="B1285">
        <v>97</v>
      </c>
      <c r="C1285">
        <f t="shared" si="45"/>
        <v>52.933791839999969</v>
      </c>
      <c r="D1285">
        <f t="shared" si="46"/>
        <v>44.066208160000031</v>
      </c>
    </row>
    <row r="1286" spans="1:4">
      <c r="A1286">
        <v>1285</v>
      </c>
      <c r="B1286">
        <v>108</v>
      </c>
      <c r="C1286">
        <f t="shared" si="45"/>
        <v>52.727890250000002</v>
      </c>
      <c r="D1286">
        <f t="shared" si="46"/>
        <v>55.272109749999998</v>
      </c>
    </row>
    <row r="1287" spans="1:4">
      <c r="A1287">
        <v>1286</v>
      </c>
      <c r="B1287">
        <v>118</v>
      </c>
      <c r="C1287">
        <f t="shared" si="45"/>
        <v>52.521686439999968</v>
      </c>
      <c r="D1287">
        <f t="shared" si="46"/>
        <v>65.478313560000032</v>
      </c>
    </row>
    <row r="1288" spans="1:4">
      <c r="A1288">
        <v>1287</v>
      </c>
      <c r="B1288">
        <v>123</v>
      </c>
      <c r="C1288">
        <f t="shared" si="45"/>
        <v>52.315180409999954</v>
      </c>
      <c r="D1288">
        <f t="shared" si="46"/>
        <v>70.684819590000046</v>
      </c>
    </row>
    <row r="1289" spans="1:4">
      <c r="A1289">
        <v>1288</v>
      </c>
      <c r="B1289">
        <v>120</v>
      </c>
      <c r="C1289">
        <f t="shared" si="45"/>
        <v>52.108372159999988</v>
      </c>
      <c r="D1289">
        <f t="shared" si="46"/>
        <v>67.891627840000012</v>
      </c>
    </row>
    <row r="1290" spans="1:4">
      <c r="A1290">
        <v>1289</v>
      </c>
      <c r="B1290">
        <v>124</v>
      </c>
      <c r="C1290">
        <f t="shared" si="45"/>
        <v>51.901261689999956</v>
      </c>
      <c r="D1290">
        <f t="shared" si="46"/>
        <v>72.098738310000044</v>
      </c>
    </row>
    <row r="1291" spans="1:4">
      <c r="A1291">
        <v>1290</v>
      </c>
      <c r="B1291">
        <v>121</v>
      </c>
      <c r="C1291">
        <f t="shared" si="45"/>
        <v>51.693848999999943</v>
      </c>
      <c r="D1291">
        <f t="shared" si="46"/>
        <v>69.306151000000057</v>
      </c>
    </row>
    <row r="1292" spans="1:4">
      <c r="A1292">
        <v>1291</v>
      </c>
      <c r="B1292">
        <v>121</v>
      </c>
      <c r="C1292">
        <f t="shared" si="45"/>
        <v>51.486134090000007</v>
      </c>
      <c r="D1292">
        <f t="shared" si="46"/>
        <v>69.513865909999993</v>
      </c>
    </row>
    <row r="1293" spans="1:4">
      <c r="A1293">
        <v>1292</v>
      </c>
      <c r="B1293">
        <v>117</v>
      </c>
      <c r="C1293">
        <f t="shared" si="45"/>
        <v>51.278116959999977</v>
      </c>
      <c r="D1293">
        <f t="shared" si="46"/>
        <v>65.721883040000023</v>
      </c>
    </row>
    <row r="1294" spans="1:4">
      <c r="A1294">
        <v>1293</v>
      </c>
      <c r="B1294">
        <v>115</v>
      </c>
      <c r="C1294">
        <f t="shared" si="45"/>
        <v>51.069797609999966</v>
      </c>
      <c r="D1294">
        <f t="shared" si="46"/>
        <v>63.930202390000034</v>
      </c>
    </row>
    <row r="1295" spans="1:4">
      <c r="A1295">
        <v>1294</v>
      </c>
      <c r="B1295">
        <v>107</v>
      </c>
      <c r="C1295">
        <f t="shared" si="45"/>
        <v>50.861176040000004</v>
      </c>
      <c r="D1295">
        <f t="shared" si="46"/>
        <v>56.138823959999996</v>
      </c>
    </row>
    <row r="1296" spans="1:4">
      <c r="A1296">
        <v>1295</v>
      </c>
      <c r="B1296">
        <v>117</v>
      </c>
      <c r="C1296">
        <f t="shared" si="45"/>
        <v>50.652252249999975</v>
      </c>
      <c r="D1296">
        <f t="shared" si="46"/>
        <v>66.347747750000025</v>
      </c>
    </row>
    <row r="1297" spans="1:4">
      <c r="A1297">
        <v>1296</v>
      </c>
      <c r="B1297">
        <v>120</v>
      </c>
      <c r="C1297">
        <f t="shared" si="45"/>
        <v>50.443026239999966</v>
      </c>
      <c r="D1297">
        <f t="shared" si="46"/>
        <v>69.556973760000034</v>
      </c>
    </row>
    <row r="1298" spans="1:4">
      <c r="A1298">
        <v>1297</v>
      </c>
      <c r="B1298">
        <v>117</v>
      </c>
      <c r="C1298">
        <f t="shared" si="45"/>
        <v>50.233498009999977</v>
      </c>
      <c r="D1298">
        <f t="shared" si="46"/>
        <v>66.766501990000023</v>
      </c>
    </row>
    <row r="1299" spans="1:4">
      <c r="A1299">
        <v>1298</v>
      </c>
      <c r="B1299">
        <v>123</v>
      </c>
      <c r="C1299">
        <f t="shared" si="45"/>
        <v>50.023667559999978</v>
      </c>
      <c r="D1299">
        <f t="shared" si="46"/>
        <v>72.976332440000022</v>
      </c>
    </row>
    <row r="1300" spans="1:4">
      <c r="A1300">
        <v>1299</v>
      </c>
      <c r="B1300">
        <v>116</v>
      </c>
      <c r="C1300">
        <f t="shared" si="45"/>
        <v>49.813534889999943</v>
      </c>
      <c r="D1300">
        <f t="shared" si="46"/>
        <v>66.186465110000057</v>
      </c>
    </row>
    <row r="1301" spans="1:4">
      <c r="A1301">
        <v>1300</v>
      </c>
      <c r="B1301">
        <v>122</v>
      </c>
      <c r="C1301">
        <f t="shared" si="45"/>
        <v>49.603099999999984</v>
      </c>
      <c r="D1301">
        <f t="shared" si="46"/>
        <v>72.396900000000016</v>
      </c>
    </row>
    <row r="1302" spans="1:4">
      <c r="A1302">
        <v>1301</v>
      </c>
      <c r="B1302">
        <v>122</v>
      </c>
      <c r="C1302">
        <f t="shared" si="45"/>
        <v>49.392362889999958</v>
      </c>
      <c r="D1302">
        <f t="shared" si="46"/>
        <v>72.607637110000042</v>
      </c>
    </row>
    <row r="1303" spans="1:4">
      <c r="A1303">
        <v>1302</v>
      </c>
      <c r="B1303">
        <v>134</v>
      </c>
      <c r="C1303">
        <f t="shared" si="45"/>
        <v>49.18132356000001</v>
      </c>
      <c r="D1303">
        <f t="shared" si="46"/>
        <v>84.81867643999999</v>
      </c>
    </row>
    <row r="1304" spans="1:4">
      <c r="A1304">
        <v>1303</v>
      </c>
      <c r="B1304">
        <v>139</v>
      </c>
      <c r="C1304">
        <f t="shared" si="45"/>
        <v>48.969982009999967</v>
      </c>
      <c r="D1304">
        <f t="shared" si="46"/>
        <v>90.030017990000033</v>
      </c>
    </row>
    <row r="1305" spans="1:4">
      <c r="A1305">
        <v>1304</v>
      </c>
      <c r="B1305">
        <v>139</v>
      </c>
      <c r="C1305">
        <f t="shared" si="45"/>
        <v>48.758338239999972</v>
      </c>
      <c r="D1305">
        <f t="shared" si="46"/>
        <v>90.241661760000028</v>
      </c>
    </row>
    <row r="1306" spans="1:4">
      <c r="A1306">
        <v>1305</v>
      </c>
      <c r="B1306">
        <v>162</v>
      </c>
      <c r="C1306">
        <f t="shared" si="45"/>
        <v>48.546392250000025</v>
      </c>
      <c r="D1306">
        <f t="shared" si="46"/>
        <v>113.45360774999997</v>
      </c>
    </row>
    <row r="1307" spans="1:4">
      <c r="A1307">
        <v>1306</v>
      </c>
      <c r="B1307">
        <v>172</v>
      </c>
      <c r="C1307">
        <f t="shared" si="45"/>
        <v>48.334144039999984</v>
      </c>
      <c r="D1307">
        <f t="shared" si="46"/>
        <v>123.66585596000002</v>
      </c>
    </row>
    <row r="1308" spans="1:4">
      <c r="A1308">
        <v>1307</v>
      </c>
      <c r="B1308">
        <v>179</v>
      </c>
      <c r="C1308">
        <f t="shared" si="45"/>
        <v>48.121593609999962</v>
      </c>
      <c r="D1308">
        <f t="shared" si="46"/>
        <v>130.87840639000004</v>
      </c>
    </row>
    <row r="1309" spans="1:4">
      <c r="A1309">
        <v>1308</v>
      </c>
      <c r="B1309">
        <v>177</v>
      </c>
      <c r="C1309">
        <f t="shared" si="45"/>
        <v>47.908740960000017</v>
      </c>
      <c r="D1309">
        <f t="shared" si="46"/>
        <v>129.09125903999998</v>
      </c>
    </row>
    <row r="1310" spans="1:4">
      <c r="A1310">
        <v>1309</v>
      </c>
      <c r="B1310">
        <v>156</v>
      </c>
      <c r="C1310">
        <f t="shared" si="45"/>
        <v>47.695586089999978</v>
      </c>
      <c r="D1310">
        <f t="shared" si="46"/>
        <v>108.30441391000002</v>
      </c>
    </row>
    <row r="1311" spans="1:4">
      <c r="A1311">
        <v>1310</v>
      </c>
      <c r="B1311">
        <v>126</v>
      </c>
      <c r="C1311">
        <f t="shared" si="45"/>
        <v>47.482128999999958</v>
      </c>
      <c r="D1311">
        <f t="shared" si="46"/>
        <v>78.517871000000042</v>
      </c>
    </row>
    <row r="1312" spans="1:4">
      <c r="A1312">
        <v>1311</v>
      </c>
      <c r="B1312">
        <v>123</v>
      </c>
      <c r="C1312">
        <f t="shared" si="45"/>
        <v>47.268369689999957</v>
      </c>
      <c r="D1312">
        <f t="shared" si="46"/>
        <v>75.731630310000043</v>
      </c>
    </row>
    <row r="1313" spans="1:4">
      <c r="A1313">
        <v>1312</v>
      </c>
      <c r="B1313">
        <v>109</v>
      </c>
      <c r="C1313">
        <f t="shared" si="45"/>
        <v>47.054308159999977</v>
      </c>
      <c r="D1313">
        <f t="shared" si="46"/>
        <v>61.945691840000023</v>
      </c>
    </row>
    <row r="1314" spans="1:4">
      <c r="A1314">
        <v>1313</v>
      </c>
      <c r="B1314">
        <v>112</v>
      </c>
      <c r="C1314">
        <f t="shared" si="45"/>
        <v>46.839944409999958</v>
      </c>
      <c r="D1314">
        <f t="shared" si="46"/>
        <v>65.160055590000042</v>
      </c>
    </row>
    <row r="1315" spans="1:4">
      <c r="A1315">
        <v>1314</v>
      </c>
      <c r="B1315">
        <v>107</v>
      </c>
      <c r="C1315">
        <f t="shared" si="45"/>
        <v>46.62527843999996</v>
      </c>
      <c r="D1315">
        <f t="shared" si="46"/>
        <v>60.37472156000004</v>
      </c>
    </row>
    <row r="1316" spans="1:4">
      <c r="A1316">
        <v>1315</v>
      </c>
      <c r="B1316">
        <v>103</v>
      </c>
      <c r="C1316">
        <f t="shared" si="45"/>
        <v>46.410310249999981</v>
      </c>
      <c r="D1316">
        <f t="shared" si="46"/>
        <v>56.589689750000019</v>
      </c>
    </row>
    <row r="1317" spans="1:4">
      <c r="A1317">
        <v>1316</v>
      </c>
      <c r="B1317">
        <v>103</v>
      </c>
      <c r="C1317">
        <f t="shared" si="45"/>
        <v>46.195039839999964</v>
      </c>
      <c r="D1317">
        <f t="shared" si="46"/>
        <v>56.804960160000036</v>
      </c>
    </row>
    <row r="1318" spans="1:4">
      <c r="A1318">
        <v>1317</v>
      </c>
      <c r="B1318">
        <v>105</v>
      </c>
      <c r="C1318">
        <f t="shared" si="45"/>
        <v>45.979467209999967</v>
      </c>
      <c r="D1318">
        <f t="shared" si="46"/>
        <v>59.020532790000033</v>
      </c>
    </row>
    <row r="1319" spans="1:4">
      <c r="A1319">
        <v>1318</v>
      </c>
      <c r="B1319">
        <v>94</v>
      </c>
      <c r="C1319">
        <f t="shared" si="45"/>
        <v>45.763592359999961</v>
      </c>
      <c r="D1319">
        <f t="shared" si="46"/>
        <v>48.236407640000039</v>
      </c>
    </row>
    <row r="1320" spans="1:4">
      <c r="A1320">
        <v>1319</v>
      </c>
      <c r="B1320">
        <v>98</v>
      </c>
      <c r="C1320">
        <f t="shared" si="45"/>
        <v>45.547415290000004</v>
      </c>
      <c r="D1320">
        <f t="shared" si="46"/>
        <v>52.452584709999996</v>
      </c>
    </row>
    <row r="1321" spans="1:4">
      <c r="A1321">
        <v>1320</v>
      </c>
      <c r="B1321">
        <v>101</v>
      </c>
      <c r="C1321">
        <f t="shared" si="45"/>
        <v>45.330936000000008</v>
      </c>
      <c r="D1321">
        <f t="shared" si="46"/>
        <v>55.669063999999992</v>
      </c>
    </row>
    <row r="1322" spans="1:4">
      <c r="A1322">
        <v>1321</v>
      </c>
      <c r="B1322">
        <v>99</v>
      </c>
      <c r="C1322">
        <f t="shared" si="45"/>
        <v>45.114154489999976</v>
      </c>
      <c r="D1322">
        <f t="shared" si="46"/>
        <v>53.885845510000024</v>
      </c>
    </row>
    <row r="1323" spans="1:4">
      <c r="A1323">
        <v>1322</v>
      </c>
      <c r="B1323">
        <v>97</v>
      </c>
      <c r="C1323">
        <f t="shared" si="45"/>
        <v>44.89707076000002</v>
      </c>
      <c r="D1323">
        <f t="shared" si="46"/>
        <v>52.10292923999998</v>
      </c>
    </row>
    <row r="1324" spans="1:4">
      <c r="A1324">
        <v>1323</v>
      </c>
      <c r="B1324">
        <v>97</v>
      </c>
      <c r="C1324">
        <f t="shared" si="45"/>
        <v>44.679684809999969</v>
      </c>
      <c r="D1324">
        <f t="shared" si="46"/>
        <v>52.320315190000031</v>
      </c>
    </row>
    <row r="1325" spans="1:4">
      <c r="A1325">
        <v>1324</v>
      </c>
      <c r="B1325">
        <v>109</v>
      </c>
      <c r="C1325">
        <f t="shared" si="45"/>
        <v>44.461996639999938</v>
      </c>
      <c r="D1325">
        <f t="shared" si="46"/>
        <v>64.538003360000062</v>
      </c>
    </row>
    <row r="1326" spans="1:4">
      <c r="A1326">
        <v>1325</v>
      </c>
      <c r="B1326">
        <v>118</v>
      </c>
      <c r="C1326">
        <f t="shared" si="45"/>
        <v>44.244006249999984</v>
      </c>
      <c r="D1326">
        <f t="shared" si="46"/>
        <v>73.755993750000016</v>
      </c>
    </row>
    <row r="1327" spans="1:4">
      <c r="A1327">
        <v>1326</v>
      </c>
      <c r="B1327">
        <v>129</v>
      </c>
      <c r="C1327">
        <f t="shared" si="45"/>
        <v>44.025713639999992</v>
      </c>
      <c r="D1327">
        <f t="shared" si="46"/>
        <v>84.974286360000008</v>
      </c>
    </row>
    <row r="1328" spans="1:4">
      <c r="A1328">
        <v>1327</v>
      </c>
      <c r="B1328">
        <v>168</v>
      </c>
      <c r="C1328">
        <f t="shared" si="45"/>
        <v>43.807118809999963</v>
      </c>
      <c r="D1328">
        <f t="shared" si="46"/>
        <v>124.19288119000004</v>
      </c>
    </row>
    <row r="1329" spans="1:8">
      <c r="A1329">
        <v>1328</v>
      </c>
      <c r="B1329">
        <v>299</v>
      </c>
      <c r="C1329">
        <f t="shared" si="45"/>
        <v>43.588221759999954</v>
      </c>
      <c r="D1329">
        <f t="shared" si="46"/>
        <v>255.41177824000005</v>
      </c>
    </row>
    <row r="1330" spans="1:8">
      <c r="A1330">
        <v>1329</v>
      </c>
      <c r="B1330">
        <v>544</v>
      </c>
      <c r="C1330">
        <f t="shared" si="45"/>
        <v>43.369022489999963</v>
      </c>
      <c r="D1330">
        <f t="shared" si="46"/>
        <v>500.63097751000004</v>
      </c>
    </row>
    <row r="1331" spans="1:8">
      <c r="A1331">
        <v>1330</v>
      </c>
      <c r="B1331">
        <v>863</v>
      </c>
      <c r="C1331">
        <f t="shared" si="45"/>
        <v>43.149520999999936</v>
      </c>
      <c r="D1331">
        <f t="shared" si="46"/>
        <v>819.85047900000006</v>
      </c>
    </row>
    <row r="1332" spans="1:8" ht="17.25">
      <c r="A1332">
        <v>1331</v>
      </c>
      <c r="B1332">
        <v>1041</v>
      </c>
      <c r="C1332">
        <f t="shared" si="45"/>
        <v>42.929717289999985</v>
      </c>
      <c r="D1332">
        <f t="shared" si="46"/>
        <v>998.07028271000001</v>
      </c>
      <c r="F1332">
        <v>1331</v>
      </c>
      <c r="G1332">
        <v>5</v>
      </c>
      <c r="H1332" t="s">
        <v>175</v>
      </c>
    </row>
    <row r="1333" spans="1:8">
      <c r="A1333">
        <v>1332</v>
      </c>
      <c r="B1333">
        <v>901</v>
      </c>
      <c r="C1333">
        <f t="shared" si="45"/>
        <v>42.709611359999968</v>
      </c>
      <c r="D1333">
        <f t="shared" si="46"/>
        <v>858.29038864000006</v>
      </c>
    </row>
    <row r="1334" spans="1:8">
      <c r="A1334">
        <v>1333</v>
      </c>
      <c r="B1334">
        <v>550</v>
      </c>
      <c r="C1334">
        <f t="shared" si="45"/>
        <v>42.489203209999999</v>
      </c>
      <c r="D1334">
        <f t="shared" si="46"/>
        <v>507.51079678999997</v>
      </c>
    </row>
    <row r="1335" spans="1:8">
      <c r="A1335">
        <v>1334</v>
      </c>
      <c r="B1335">
        <v>264</v>
      </c>
      <c r="C1335">
        <f t="shared" si="45"/>
        <v>42.268492839999993</v>
      </c>
      <c r="D1335">
        <f t="shared" si="46"/>
        <v>221.73150716000001</v>
      </c>
    </row>
    <row r="1336" spans="1:8">
      <c r="A1336">
        <v>1335</v>
      </c>
      <c r="B1336">
        <v>155</v>
      </c>
      <c r="C1336">
        <f t="shared" si="45"/>
        <v>42.04748024999995</v>
      </c>
      <c r="D1336">
        <f t="shared" si="46"/>
        <v>112.95251975000005</v>
      </c>
    </row>
    <row r="1337" spans="1:8">
      <c r="A1337">
        <v>1336</v>
      </c>
      <c r="B1337">
        <v>122</v>
      </c>
      <c r="C1337">
        <f t="shared" si="45"/>
        <v>41.826165439999983</v>
      </c>
      <c r="D1337">
        <f t="shared" si="46"/>
        <v>80.173834560000017</v>
      </c>
    </row>
    <row r="1338" spans="1:8">
      <c r="A1338">
        <v>1337</v>
      </c>
      <c r="B1338">
        <v>123</v>
      </c>
      <c r="C1338">
        <f t="shared" si="45"/>
        <v>41.604548409999978</v>
      </c>
      <c r="D1338">
        <f t="shared" si="46"/>
        <v>81.395451590000022</v>
      </c>
    </row>
    <row r="1339" spans="1:8">
      <c r="A1339">
        <v>1338</v>
      </c>
      <c r="B1339">
        <v>166</v>
      </c>
      <c r="C1339">
        <f t="shared" si="45"/>
        <v>41.382629159999937</v>
      </c>
      <c r="D1339">
        <f t="shared" si="46"/>
        <v>124.61737084000006</v>
      </c>
    </row>
    <row r="1340" spans="1:8">
      <c r="A1340">
        <v>1339</v>
      </c>
      <c r="B1340">
        <v>277</v>
      </c>
      <c r="C1340">
        <f t="shared" si="45"/>
        <v>41.160407689999971</v>
      </c>
      <c r="D1340">
        <f t="shared" si="46"/>
        <v>235.83959231000003</v>
      </c>
    </row>
    <row r="1341" spans="1:8">
      <c r="A1341">
        <v>1340</v>
      </c>
      <c r="B1341">
        <v>409</v>
      </c>
      <c r="C1341">
        <f t="shared" si="45"/>
        <v>40.937883999999968</v>
      </c>
      <c r="D1341">
        <f t="shared" si="46"/>
        <v>368.06211600000006</v>
      </c>
    </row>
    <row r="1342" spans="1:8">
      <c r="A1342">
        <v>1341</v>
      </c>
      <c r="B1342">
        <v>554</v>
      </c>
      <c r="C1342">
        <f t="shared" si="45"/>
        <v>40.715058089999928</v>
      </c>
      <c r="D1342">
        <f t="shared" si="46"/>
        <v>513.28494191000004</v>
      </c>
    </row>
    <row r="1343" spans="1:8" ht="17.25">
      <c r="A1343">
        <v>1342</v>
      </c>
      <c r="B1343">
        <v>553</v>
      </c>
      <c r="C1343">
        <f t="shared" si="45"/>
        <v>40.491929959999965</v>
      </c>
      <c r="D1343">
        <f t="shared" si="46"/>
        <v>512.50807004000001</v>
      </c>
      <c r="F1343">
        <v>1342</v>
      </c>
      <c r="G1343">
        <v>5</v>
      </c>
      <c r="H1343" t="s">
        <v>176</v>
      </c>
    </row>
    <row r="1344" spans="1:8">
      <c r="A1344">
        <v>1343</v>
      </c>
      <c r="B1344">
        <v>405</v>
      </c>
      <c r="C1344">
        <f t="shared" si="45"/>
        <v>40.268499609999964</v>
      </c>
      <c r="D1344">
        <f t="shared" si="46"/>
        <v>364.73150039000006</v>
      </c>
    </row>
    <row r="1345" spans="1:4">
      <c r="A1345">
        <v>1344</v>
      </c>
      <c r="B1345">
        <v>219</v>
      </c>
      <c r="C1345">
        <f t="shared" si="45"/>
        <v>40.044767039999925</v>
      </c>
      <c r="D1345">
        <f t="shared" si="46"/>
        <v>178.95523296000007</v>
      </c>
    </row>
    <row r="1346" spans="1:4">
      <c r="A1346">
        <v>1345</v>
      </c>
      <c r="B1346">
        <v>128</v>
      </c>
      <c r="C1346">
        <f t="shared" ref="C1346:C1409" si="47" xml:space="preserve"> -0.00015111*A1346*A1346 + 0.1823*A1346 + 67.989</f>
        <v>39.820732249999992</v>
      </c>
      <c r="D1346">
        <f t="shared" ref="D1346:D1409" si="48">B1346-C1346</f>
        <v>88.179267750000008</v>
      </c>
    </row>
    <row r="1347" spans="1:4">
      <c r="A1347">
        <v>1346</v>
      </c>
      <c r="B1347">
        <v>105</v>
      </c>
      <c r="C1347">
        <f t="shared" si="47"/>
        <v>39.596395239999993</v>
      </c>
      <c r="D1347">
        <f t="shared" si="48"/>
        <v>65.403604760000007</v>
      </c>
    </row>
    <row r="1348" spans="1:4">
      <c r="A1348">
        <v>1347</v>
      </c>
      <c r="B1348">
        <v>100</v>
      </c>
      <c r="C1348">
        <f t="shared" si="47"/>
        <v>39.371756010000013</v>
      </c>
      <c r="D1348">
        <f t="shared" si="48"/>
        <v>60.628243989999987</v>
      </c>
    </row>
    <row r="1349" spans="1:4">
      <c r="A1349">
        <v>1348</v>
      </c>
      <c r="B1349">
        <v>105</v>
      </c>
      <c r="C1349">
        <f t="shared" si="47"/>
        <v>39.146814559999996</v>
      </c>
      <c r="D1349">
        <f t="shared" si="48"/>
        <v>65.853185440000004</v>
      </c>
    </row>
    <row r="1350" spans="1:4">
      <c r="A1350">
        <v>1349</v>
      </c>
      <c r="B1350">
        <v>115</v>
      </c>
      <c r="C1350">
        <f t="shared" si="47"/>
        <v>38.921570889999998</v>
      </c>
      <c r="D1350">
        <f t="shared" si="48"/>
        <v>76.078429110000002</v>
      </c>
    </row>
    <row r="1351" spans="1:4">
      <c r="A1351">
        <v>1350</v>
      </c>
      <c r="B1351">
        <v>123</v>
      </c>
      <c r="C1351">
        <f t="shared" si="47"/>
        <v>38.69602500000002</v>
      </c>
      <c r="D1351">
        <f t="shared" si="48"/>
        <v>84.30397499999998</v>
      </c>
    </row>
    <row r="1352" spans="1:4">
      <c r="A1352">
        <v>1351</v>
      </c>
      <c r="B1352">
        <v>122</v>
      </c>
      <c r="C1352">
        <f t="shared" si="47"/>
        <v>38.470176890000005</v>
      </c>
      <c r="D1352">
        <f t="shared" si="48"/>
        <v>83.529823109999995</v>
      </c>
    </row>
    <row r="1353" spans="1:4">
      <c r="A1353">
        <v>1352</v>
      </c>
      <c r="B1353">
        <v>123</v>
      </c>
      <c r="C1353">
        <f t="shared" si="47"/>
        <v>38.244026559999952</v>
      </c>
      <c r="D1353">
        <f t="shared" si="48"/>
        <v>84.755973440000048</v>
      </c>
    </row>
    <row r="1354" spans="1:4">
      <c r="A1354">
        <v>1353</v>
      </c>
      <c r="B1354">
        <v>110</v>
      </c>
      <c r="C1354">
        <f t="shared" si="47"/>
        <v>38.017574009999976</v>
      </c>
      <c r="D1354">
        <f t="shared" si="48"/>
        <v>71.982425990000024</v>
      </c>
    </row>
    <row r="1355" spans="1:4">
      <c r="A1355">
        <v>1354</v>
      </c>
      <c r="B1355">
        <v>101</v>
      </c>
      <c r="C1355">
        <f t="shared" si="47"/>
        <v>37.790819239999962</v>
      </c>
      <c r="D1355">
        <f t="shared" si="48"/>
        <v>63.209180760000038</v>
      </c>
    </row>
    <row r="1356" spans="1:4">
      <c r="A1356">
        <v>1355</v>
      </c>
      <c r="B1356">
        <v>93</v>
      </c>
      <c r="C1356">
        <f t="shared" si="47"/>
        <v>37.563762249999968</v>
      </c>
      <c r="D1356">
        <f t="shared" si="48"/>
        <v>55.436237750000032</v>
      </c>
    </row>
    <row r="1357" spans="1:4">
      <c r="A1357">
        <v>1356</v>
      </c>
      <c r="B1357">
        <v>90</v>
      </c>
      <c r="C1357">
        <f t="shared" si="47"/>
        <v>37.336403039999993</v>
      </c>
      <c r="D1357">
        <f t="shared" si="48"/>
        <v>52.663596960000007</v>
      </c>
    </row>
    <row r="1358" spans="1:4">
      <c r="A1358">
        <v>1357</v>
      </c>
      <c r="B1358">
        <v>93</v>
      </c>
      <c r="C1358">
        <f t="shared" si="47"/>
        <v>37.108741609999981</v>
      </c>
      <c r="D1358">
        <f t="shared" si="48"/>
        <v>55.891258390000019</v>
      </c>
    </row>
    <row r="1359" spans="1:4">
      <c r="A1359">
        <v>1358</v>
      </c>
      <c r="B1359">
        <v>96</v>
      </c>
      <c r="C1359">
        <f t="shared" si="47"/>
        <v>36.880777959999932</v>
      </c>
      <c r="D1359">
        <f t="shared" si="48"/>
        <v>59.119222040000068</v>
      </c>
    </row>
    <row r="1360" spans="1:4">
      <c r="A1360">
        <v>1359</v>
      </c>
      <c r="B1360">
        <v>86</v>
      </c>
      <c r="C1360">
        <f t="shared" si="47"/>
        <v>36.652512089999988</v>
      </c>
      <c r="D1360">
        <f t="shared" si="48"/>
        <v>49.347487910000012</v>
      </c>
    </row>
    <row r="1361" spans="1:4">
      <c r="A1361">
        <v>1360</v>
      </c>
      <c r="B1361">
        <v>87</v>
      </c>
      <c r="C1361">
        <f t="shared" si="47"/>
        <v>36.423943999999977</v>
      </c>
      <c r="D1361">
        <f t="shared" si="48"/>
        <v>50.576056000000023</v>
      </c>
    </row>
    <row r="1362" spans="1:4">
      <c r="A1362">
        <v>1361</v>
      </c>
      <c r="B1362">
        <v>89</v>
      </c>
      <c r="C1362">
        <f t="shared" si="47"/>
        <v>36.195073689999987</v>
      </c>
      <c r="D1362">
        <f t="shared" si="48"/>
        <v>52.804926310000013</v>
      </c>
    </row>
    <row r="1363" spans="1:4">
      <c r="A1363">
        <v>1362</v>
      </c>
      <c r="B1363">
        <v>98</v>
      </c>
      <c r="C1363">
        <f t="shared" si="47"/>
        <v>35.965901160000016</v>
      </c>
      <c r="D1363">
        <f t="shared" si="48"/>
        <v>62.034098839999984</v>
      </c>
    </row>
    <row r="1364" spans="1:4">
      <c r="A1364">
        <v>1363</v>
      </c>
      <c r="B1364">
        <v>90</v>
      </c>
      <c r="C1364">
        <f t="shared" si="47"/>
        <v>35.73642640999995</v>
      </c>
      <c r="D1364">
        <f t="shared" si="48"/>
        <v>54.26357359000005</v>
      </c>
    </row>
    <row r="1365" spans="1:4">
      <c r="A1365">
        <v>1364</v>
      </c>
      <c r="B1365">
        <v>84</v>
      </c>
      <c r="C1365">
        <f t="shared" si="47"/>
        <v>35.506649440000018</v>
      </c>
      <c r="D1365">
        <f t="shared" si="48"/>
        <v>48.493350559999982</v>
      </c>
    </row>
    <row r="1366" spans="1:4">
      <c r="A1366">
        <v>1365</v>
      </c>
      <c r="B1366">
        <v>85</v>
      </c>
      <c r="C1366">
        <f t="shared" si="47"/>
        <v>35.276570249999992</v>
      </c>
      <c r="D1366">
        <f t="shared" si="48"/>
        <v>49.723429750000008</v>
      </c>
    </row>
    <row r="1367" spans="1:4">
      <c r="A1367">
        <v>1366</v>
      </c>
      <c r="B1367">
        <v>105</v>
      </c>
      <c r="C1367">
        <f t="shared" si="47"/>
        <v>35.046188839999985</v>
      </c>
      <c r="D1367">
        <f t="shared" si="48"/>
        <v>69.953811160000015</v>
      </c>
    </row>
    <row r="1368" spans="1:4">
      <c r="A1368">
        <v>1367</v>
      </c>
      <c r="B1368">
        <v>126</v>
      </c>
      <c r="C1368">
        <f t="shared" si="47"/>
        <v>34.815505209999998</v>
      </c>
      <c r="D1368">
        <f t="shared" si="48"/>
        <v>91.184494790000002</v>
      </c>
    </row>
    <row r="1369" spans="1:4">
      <c r="A1369">
        <v>1368</v>
      </c>
      <c r="B1369">
        <v>165</v>
      </c>
      <c r="C1369">
        <f t="shared" si="47"/>
        <v>34.584519359999973</v>
      </c>
      <c r="D1369">
        <f t="shared" si="48"/>
        <v>130.41548064000003</v>
      </c>
    </row>
    <row r="1370" spans="1:4">
      <c r="A1370">
        <v>1369</v>
      </c>
      <c r="B1370">
        <v>243</v>
      </c>
      <c r="C1370">
        <f t="shared" si="47"/>
        <v>34.353231289999968</v>
      </c>
      <c r="D1370">
        <f t="shared" si="48"/>
        <v>208.64676871000003</v>
      </c>
    </row>
    <row r="1371" spans="1:4">
      <c r="A1371">
        <v>1370</v>
      </c>
      <c r="B1371">
        <v>342</v>
      </c>
      <c r="C1371">
        <f t="shared" si="47"/>
        <v>34.121640999999983</v>
      </c>
      <c r="D1371">
        <f t="shared" si="48"/>
        <v>307.87835900000005</v>
      </c>
    </row>
    <row r="1372" spans="1:4">
      <c r="A1372">
        <v>1371</v>
      </c>
      <c r="B1372">
        <v>383</v>
      </c>
      <c r="C1372">
        <f t="shared" si="47"/>
        <v>33.88974848999996</v>
      </c>
      <c r="D1372">
        <f t="shared" si="48"/>
        <v>349.11025151000001</v>
      </c>
    </row>
    <row r="1373" spans="1:4">
      <c r="A1373">
        <v>1372</v>
      </c>
      <c r="B1373">
        <v>326</v>
      </c>
      <c r="C1373">
        <f t="shared" si="47"/>
        <v>33.657553759999956</v>
      </c>
      <c r="D1373">
        <f t="shared" si="48"/>
        <v>292.34244624000007</v>
      </c>
    </row>
    <row r="1374" spans="1:4">
      <c r="A1374">
        <v>1373</v>
      </c>
      <c r="B1374">
        <v>245</v>
      </c>
      <c r="C1374">
        <f t="shared" si="47"/>
        <v>33.425056810000001</v>
      </c>
      <c r="D1374">
        <f t="shared" si="48"/>
        <v>211.57494319</v>
      </c>
    </row>
    <row r="1375" spans="1:4">
      <c r="A1375">
        <v>1374</v>
      </c>
      <c r="B1375">
        <v>235</v>
      </c>
      <c r="C1375">
        <f t="shared" si="47"/>
        <v>33.19225763999998</v>
      </c>
      <c r="D1375">
        <f t="shared" si="48"/>
        <v>201.80774236000002</v>
      </c>
    </row>
    <row r="1376" spans="1:4">
      <c r="A1376">
        <v>1375</v>
      </c>
      <c r="B1376">
        <v>288</v>
      </c>
      <c r="C1376">
        <f t="shared" si="47"/>
        <v>32.959156249999978</v>
      </c>
      <c r="D1376">
        <f t="shared" si="48"/>
        <v>255.04084375000002</v>
      </c>
    </row>
    <row r="1377" spans="1:8">
      <c r="A1377">
        <v>1376</v>
      </c>
      <c r="B1377">
        <v>316</v>
      </c>
      <c r="C1377">
        <f t="shared" si="47"/>
        <v>32.725752639999996</v>
      </c>
      <c r="D1377">
        <f t="shared" si="48"/>
        <v>283.27424736</v>
      </c>
    </row>
    <row r="1378" spans="1:8">
      <c r="A1378">
        <v>1377</v>
      </c>
      <c r="B1378">
        <v>262</v>
      </c>
      <c r="C1378">
        <f t="shared" si="47"/>
        <v>32.492046809999977</v>
      </c>
      <c r="D1378">
        <f t="shared" si="48"/>
        <v>229.50795319000002</v>
      </c>
    </row>
    <row r="1379" spans="1:8">
      <c r="A1379">
        <v>1378</v>
      </c>
      <c r="B1379">
        <v>175</v>
      </c>
      <c r="C1379">
        <f t="shared" si="47"/>
        <v>32.258038759999977</v>
      </c>
      <c r="D1379">
        <f t="shared" si="48"/>
        <v>142.74196124000002</v>
      </c>
    </row>
    <row r="1380" spans="1:8">
      <c r="A1380">
        <v>1379</v>
      </c>
      <c r="B1380">
        <v>134</v>
      </c>
      <c r="C1380">
        <f t="shared" si="47"/>
        <v>32.023728489999996</v>
      </c>
      <c r="D1380">
        <f t="shared" si="48"/>
        <v>101.97627151</v>
      </c>
    </row>
    <row r="1381" spans="1:8">
      <c r="A1381">
        <v>1380</v>
      </c>
      <c r="B1381">
        <v>210</v>
      </c>
      <c r="C1381">
        <f t="shared" si="47"/>
        <v>31.789115999999979</v>
      </c>
      <c r="D1381">
        <f t="shared" si="48"/>
        <v>178.21088400000002</v>
      </c>
    </row>
    <row r="1382" spans="1:8">
      <c r="A1382">
        <v>1381</v>
      </c>
      <c r="B1382">
        <v>360</v>
      </c>
      <c r="C1382">
        <f t="shared" si="47"/>
        <v>31.55420128999998</v>
      </c>
      <c r="D1382">
        <f t="shared" si="48"/>
        <v>328.44579871000002</v>
      </c>
    </row>
    <row r="1383" spans="1:8">
      <c r="A1383">
        <v>1382</v>
      </c>
      <c r="B1383">
        <v>539</v>
      </c>
      <c r="C1383">
        <f t="shared" si="47"/>
        <v>31.318984359999945</v>
      </c>
      <c r="D1383">
        <f t="shared" si="48"/>
        <v>507.68101564000006</v>
      </c>
    </row>
    <row r="1384" spans="1:8" ht="17.25">
      <c r="A1384">
        <v>1383</v>
      </c>
      <c r="B1384">
        <v>599</v>
      </c>
      <c r="C1384">
        <f t="shared" si="47"/>
        <v>31.083465209999929</v>
      </c>
      <c r="D1384">
        <f t="shared" si="48"/>
        <v>567.91653479000001</v>
      </c>
      <c r="F1384">
        <v>1383</v>
      </c>
      <c r="G1384">
        <v>5</v>
      </c>
      <c r="H1384" t="s">
        <v>177</v>
      </c>
    </row>
    <row r="1385" spans="1:8">
      <c r="A1385">
        <v>1384</v>
      </c>
      <c r="B1385">
        <v>473</v>
      </c>
      <c r="C1385">
        <f t="shared" si="47"/>
        <v>30.847643839999989</v>
      </c>
      <c r="D1385">
        <f t="shared" si="48"/>
        <v>442.15235616000001</v>
      </c>
    </row>
    <row r="1386" spans="1:8">
      <c r="A1386">
        <v>1385</v>
      </c>
      <c r="B1386">
        <v>246</v>
      </c>
      <c r="C1386">
        <f t="shared" si="47"/>
        <v>30.611520249999955</v>
      </c>
      <c r="D1386">
        <f t="shared" si="48"/>
        <v>215.38847975000004</v>
      </c>
    </row>
    <row r="1387" spans="1:8">
      <c r="A1387">
        <v>1386</v>
      </c>
      <c r="B1387">
        <v>112</v>
      </c>
      <c r="C1387">
        <f t="shared" si="47"/>
        <v>30.37509443999997</v>
      </c>
      <c r="D1387">
        <f t="shared" si="48"/>
        <v>81.62490556000003</v>
      </c>
    </row>
    <row r="1388" spans="1:8">
      <c r="A1388">
        <v>1387</v>
      </c>
      <c r="B1388">
        <v>59</v>
      </c>
      <c r="C1388">
        <f t="shared" si="47"/>
        <v>30.138366409999975</v>
      </c>
      <c r="D1388">
        <f t="shared" si="48"/>
        <v>28.861633590000025</v>
      </c>
    </row>
    <row r="1389" spans="1:8">
      <c r="A1389">
        <v>1388</v>
      </c>
      <c r="B1389">
        <v>47</v>
      </c>
      <c r="C1389">
        <f t="shared" si="47"/>
        <v>29.90133616</v>
      </c>
      <c r="D1389">
        <f t="shared" si="48"/>
        <v>17.09866384</v>
      </c>
    </row>
    <row r="1390" spans="1:8">
      <c r="A1390">
        <v>1389</v>
      </c>
      <c r="B1390">
        <v>53</v>
      </c>
      <c r="C1390">
        <f t="shared" si="47"/>
        <v>29.664003689999987</v>
      </c>
      <c r="D1390">
        <f t="shared" si="48"/>
        <v>23.335996310000013</v>
      </c>
    </row>
    <row r="1391" spans="1:8">
      <c r="A1391">
        <v>1390</v>
      </c>
      <c r="B1391">
        <v>42</v>
      </c>
      <c r="C1391">
        <f t="shared" si="47"/>
        <v>29.426368999999994</v>
      </c>
      <c r="D1391">
        <f t="shared" si="48"/>
        <v>12.573631000000006</v>
      </c>
    </row>
    <row r="1392" spans="1:8">
      <c r="A1392">
        <v>1391</v>
      </c>
      <c r="B1392">
        <v>42</v>
      </c>
      <c r="C1392">
        <f t="shared" si="47"/>
        <v>29.188432089999964</v>
      </c>
      <c r="D1392">
        <f t="shared" si="48"/>
        <v>12.811567910000036</v>
      </c>
    </row>
    <row r="1393" spans="1:8">
      <c r="A1393">
        <v>1392</v>
      </c>
      <c r="B1393">
        <v>29</v>
      </c>
      <c r="C1393">
        <f t="shared" si="47"/>
        <v>28.950192959999953</v>
      </c>
      <c r="D1393">
        <f t="shared" si="48"/>
        <v>4.9807040000047209E-2</v>
      </c>
    </row>
    <row r="1394" spans="1:8">
      <c r="A1394">
        <v>1393</v>
      </c>
      <c r="B1394">
        <v>32</v>
      </c>
      <c r="C1394">
        <f t="shared" si="47"/>
        <v>28.711651609999961</v>
      </c>
      <c r="D1394">
        <f t="shared" si="48"/>
        <v>3.2883483900000385</v>
      </c>
    </row>
    <row r="1395" spans="1:8">
      <c r="A1395">
        <v>1394</v>
      </c>
      <c r="B1395">
        <v>48</v>
      </c>
      <c r="C1395">
        <f t="shared" si="47"/>
        <v>28.47280803999999</v>
      </c>
      <c r="D1395">
        <f t="shared" si="48"/>
        <v>19.52719196000001</v>
      </c>
    </row>
    <row r="1396" spans="1:8">
      <c r="A1396">
        <v>1395</v>
      </c>
      <c r="B1396">
        <v>53</v>
      </c>
      <c r="C1396">
        <f t="shared" si="47"/>
        <v>28.233662249999981</v>
      </c>
      <c r="D1396">
        <f t="shared" si="48"/>
        <v>24.766337750000019</v>
      </c>
    </row>
    <row r="1397" spans="1:8">
      <c r="A1397">
        <v>1396</v>
      </c>
      <c r="B1397">
        <v>69</v>
      </c>
      <c r="C1397">
        <f t="shared" si="47"/>
        <v>27.994214239999991</v>
      </c>
      <c r="D1397">
        <f t="shared" si="48"/>
        <v>41.005785760000009</v>
      </c>
    </row>
    <row r="1398" spans="1:8">
      <c r="A1398">
        <v>1397</v>
      </c>
      <c r="B1398">
        <v>95</v>
      </c>
      <c r="C1398">
        <f t="shared" si="47"/>
        <v>27.754464009999964</v>
      </c>
      <c r="D1398">
        <f t="shared" si="48"/>
        <v>67.245535990000036</v>
      </c>
    </row>
    <row r="1399" spans="1:8">
      <c r="A1399">
        <v>1398</v>
      </c>
      <c r="B1399">
        <v>176</v>
      </c>
      <c r="C1399">
        <f t="shared" si="47"/>
        <v>27.514411559999957</v>
      </c>
      <c r="D1399">
        <f t="shared" si="48"/>
        <v>148.48558844000004</v>
      </c>
    </row>
    <row r="1400" spans="1:8">
      <c r="A1400">
        <v>1399</v>
      </c>
      <c r="B1400">
        <v>394</v>
      </c>
      <c r="C1400">
        <f t="shared" si="47"/>
        <v>27.274056889999969</v>
      </c>
      <c r="D1400">
        <f t="shared" si="48"/>
        <v>366.72594311</v>
      </c>
    </row>
    <row r="1401" spans="1:8">
      <c r="A1401">
        <v>1400</v>
      </c>
      <c r="B1401">
        <v>850</v>
      </c>
      <c r="C1401">
        <f t="shared" si="47"/>
        <v>27.033399999999972</v>
      </c>
      <c r="D1401">
        <f t="shared" si="48"/>
        <v>822.96659999999997</v>
      </c>
    </row>
    <row r="1402" spans="1:8">
      <c r="A1402">
        <v>1401</v>
      </c>
      <c r="B1402">
        <v>1413</v>
      </c>
      <c r="C1402">
        <f t="shared" si="47"/>
        <v>26.792440890000023</v>
      </c>
      <c r="D1402">
        <f t="shared" si="48"/>
        <v>1386.2075591099999</v>
      </c>
    </row>
    <row r="1403" spans="1:8" ht="17.25">
      <c r="A1403">
        <v>1402</v>
      </c>
      <c r="B1403">
        <v>1732</v>
      </c>
      <c r="C1403">
        <f t="shared" si="47"/>
        <v>26.55117955999998</v>
      </c>
      <c r="D1403">
        <f t="shared" si="48"/>
        <v>1705.44882044</v>
      </c>
      <c r="F1403">
        <v>1402.5</v>
      </c>
      <c r="G1403">
        <v>6</v>
      </c>
      <c r="H1403" t="s">
        <v>178</v>
      </c>
    </row>
    <row r="1404" spans="1:8">
      <c r="A1404">
        <v>1403</v>
      </c>
      <c r="B1404">
        <v>1406</v>
      </c>
      <c r="C1404">
        <f t="shared" si="47"/>
        <v>26.309616009999957</v>
      </c>
      <c r="D1404">
        <f t="shared" si="48"/>
        <v>1379.6903839900001</v>
      </c>
    </row>
    <row r="1405" spans="1:8">
      <c r="A1405">
        <v>1404</v>
      </c>
      <c r="B1405">
        <v>788</v>
      </c>
      <c r="C1405">
        <f t="shared" si="47"/>
        <v>26.067750240000009</v>
      </c>
      <c r="D1405">
        <f t="shared" si="48"/>
        <v>761.93224975999999</v>
      </c>
    </row>
    <row r="1406" spans="1:8">
      <c r="A1406">
        <v>1405</v>
      </c>
      <c r="B1406">
        <v>323</v>
      </c>
      <c r="C1406">
        <f t="shared" si="47"/>
        <v>25.82558224999994</v>
      </c>
      <c r="D1406">
        <f t="shared" si="48"/>
        <v>297.17441775000009</v>
      </c>
    </row>
    <row r="1407" spans="1:8">
      <c r="A1407">
        <v>1406</v>
      </c>
      <c r="B1407">
        <v>171</v>
      </c>
      <c r="C1407">
        <f t="shared" si="47"/>
        <v>25.583112039999918</v>
      </c>
      <c r="D1407">
        <f t="shared" si="48"/>
        <v>145.41688796000008</v>
      </c>
    </row>
    <row r="1408" spans="1:8">
      <c r="A1408">
        <v>1407</v>
      </c>
      <c r="B1408">
        <v>128</v>
      </c>
      <c r="C1408">
        <f t="shared" si="47"/>
        <v>25.340339610000029</v>
      </c>
      <c r="D1408">
        <f t="shared" si="48"/>
        <v>102.65966038999997</v>
      </c>
    </row>
    <row r="1409" spans="1:8">
      <c r="A1409">
        <v>1408</v>
      </c>
      <c r="B1409">
        <v>107</v>
      </c>
      <c r="C1409">
        <f t="shared" si="47"/>
        <v>25.09726495999999</v>
      </c>
      <c r="D1409">
        <f t="shared" si="48"/>
        <v>81.90273504000001</v>
      </c>
    </row>
    <row r="1410" spans="1:8">
      <c r="A1410">
        <v>1409</v>
      </c>
      <c r="B1410">
        <v>107</v>
      </c>
      <c r="C1410">
        <f t="shared" ref="C1410:C1473" si="49" xml:space="preserve"> -0.00015111*A1410*A1410 + 0.1823*A1410 + 67.989</f>
        <v>24.85388808999997</v>
      </c>
      <c r="D1410">
        <f t="shared" ref="D1410:D1473" si="50">B1410-C1410</f>
        <v>82.14611191000003</v>
      </c>
    </row>
    <row r="1411" spans="1:8">
      <c r="A1411">
        <v>1410</v>
      </c>
      <c r="B1411">
        <v>150</v>
      </c>
      <c r="C1411">
        <f t="shared" si="49"/>
        <v>24.610209000000026</v>
      </c>
      <c r="D1411">
        <f t="shared" si="50"/>
        <v>125.38979099999997</v>
      </c>
    </row>
    <row r="1412" spans="1:8">
      <c r="A1412">
        <v>1411</v>
      </c>
      <c r="B1412">
        <v>278</v>
      </c>
      <c r="C1412">
        <f t="shared" si="49"/>
        <v>24.366227689999988</v>
      </c>
      <c r="D1412">
        <f t="shared" si="50"/>
        <v>253.63377231000001</v>
      </c>
    </row>
    <row r="1413" spans="1:8">
      <c r="A1413">
        <v>1412</v>
      </c>
      <c r="B1413">
        <v>437</v>
      </c>
      <c r="C1413">
        <f t="shared" si="49"/>
        <v>24.121944160000027</v>
      </c>
      <c r="D1413">
        <f t="shared" si="50"/>
        <v>412.87805584</v>
      </c>
    </row>
    <row r="1414" spans="1:8" ht="17.25">
      <c r="A1414">
        <v>1413</v>
      </c>
      <c r="B1414">
        <v>521</v>
      </c>
      <c r="C1414">
        <f t="shared" si="49"/>
        <v>23.877358409999971</v>
      </c>
      <c r="D1414">
        <f t="shared" si="50"/>
        <v>497.12264159000006</v>
      </c>
      <c r="F1414">
        <v>1413</v>
      </c>
      <c r="G1414">
        <v>5</v>
      </c>
      <c r="H1414" t="s">
        <v>179</v>
      </c>
    </row>
    <row r="1415" spans="1:8">
      <c r="A1415">
        <v>1414</v>
      </c>
      <c r="B1415">
        <v>444</v>
      </c>
      <c r="C1415">
        <f t="shared" si="49"/>
        <v>23.632470439999992</v>
      </c>
      <c r="D1415">
        <f t="shared" si="50"/>
        <v>420.36752955999998</v>
      </c>
    </row>
    <row r="1416" spans="1:8">
      <c r="A1416">
        <v>1415</v>
      </c>
      <c r="B1416">
        <v>258</v>
      </c>
      <c r="C1416">
        <f t="shared" si="49"/>
        <v>23.387280249999975</v>
      </c>
      <c r="D1416">
        <f t="shared" si="50"/>
        <v>234.61271975000002</v>
      </c>
    </row>
    <row r="1417" spans="1:8">
      <c r="A1417">
        <v>1416</v>
      </c>
      <c r="B1417">
        <v>115</v>
      </c>
      <c r="C1417">
        <f t="shared" si="49"/>
        <v>23.141787839999978</v>
      </c>
      <c r="D1417">
        <f t="shared" si="50"/>
        <v>91.858212160000022</v>
      </c>
    </row>
    <row r="1418" spans="1:8">
      <c r="A1418">
        <v>1417</v>
      </c>
      <c r="B1418">
        <v>64</v>
      </c>
      <c r="C1418">
        <f t="shared" si="49"/>
        <v>22.895993209999943</v>
      </c>
      <c r="D1418">
        <f t="shared" si="50"/>
        <v>41.104006790000057</v>
      </c>
    </row>
    <row r="1419" spans="1:8">
      <c r="A1419">
        <v>1418</v>
      </c>
      <c r="B1419">
        <v>39</v>
      </c>
      <c r="C1419">
        <f t="shared" si="49"/>
        <v>22.649896359999985</v>
      </c>
      <c r="D1419">
        <f t="shared" si="50"/>
        <v>16.350103640000015</v>
      </c>
    </row>
    <row r="1420" spans="1:8">
      <c r="A1420">
        <v>1419</v>
      </c>
      <c r="B1420">
        <v>30</v>
      </c>
      <c r="C1420">
        <f t="shared" si="49"/>
        <v>22.40349728999999</v>
      </c>
      <c r="D1420">
        <f t="shared" si="50"/>
        <v>7.59650271000001</v>
      </c>
    </row>
    <row r="1421" spans="1:8">
      <c r="A1421">
        <v>1420</v>
      </c>
      <c r="B1421">
        <v>21</v>
      </c>
      <c r="C1421">
        <f t="shared" si="49"/>
        <v>22.156795999999957</v>
      </c>
      <c r="D1421">
        <f t="shared" si="50"/>
        <v>-1.1567959999999573</v>
      </c>
    </row>
    <row r="1422" spans="1:8">
      <c r="A1422">
        <v>1421</v>
      </c>
      <c r="B1422">
        <v>18</v>
      </c>
      <c r="C1422">
        <f t="shared" si="49"/>
        <v>21.909792490000001</v>
      </c>
      <c r="D1422">
        <f t="shared" si="50"/>
        <v>-3.909792490000001</v>
      </c>
    </row>
    <row r="1423" spans="1:8">
      <c r="A1423">
        <v>1422</v>
      </c>
      <c r="B1423">
        <v>15</v>
      </c>
      <c r="C1423">
        <f t="shared" si="49"/>
        <v>21.66248675999995</v>
      </c>
      <c r="D1423">
        <f t="shared" si="50"/>
        <v>-6.6624867599999504</v>
      </c>
    </row>
    <row r="1424" spans="1:8">
      <c r="A1424">
        <v>1423</v>
      </c>
      <c r="B1424">
        <v>25</v>
      </c>
      <c r="C1424">
        <f t="shared" si="49"/>
        <v>21.414878809999976</v>
      </c>
      <c r="D1424">
        <f t="shared" si="50"/>
        <v>3.5851211900000237</v>
      </c>
    </row>
    <row r="1425" spans="1:4">
      <c r="A1425">
        <v>1424</v>
      </c>
      <c r="B1425">
        <v>26</v>
      </c>
      <c r="C1425">
        <f t="shared" si="49"/>
        <v>21.166968639999965</v>
      </c>
      <c r="D1425">
        <f t="shared" si="50"/>
        <v>4.8330313600000352</v>
      </c>
    </row>
    <row r="1426" spans="1:4">
      <c r="A1426">
        <v>1425</v>
      </c>
      <c r="B1426">
        <v>32</v>
      </c>
      <c r="C1426">
        <f t="shared" si="49"/>
        <v>20.918756249999973</v>
      </c>
      <c r="D1426">
        <f t="shared" si="50"/>
        <v>11.081243750000027</v>
      </c>
    </row>
    <row r="1427" spans="1:4">
      <c r="A1427">
        <v>1426</v>
      </c>
      <c r="B1427">
        <v>31</v>
      </c>
      <c r="C1427">
        <f t="shared" si="49"/>
        <v>20.67024164</v>
      </c>
      <c r="D1427">
        <f t="shared" si="50"/>
        <v>10.32975836</v>
      </c>
    </row>
    <row r="1428" spans="1:4">
      <c r="A1428">
        <v>1427</v>
      </c>
      <c r="B1428">
        <v>41</v>
      </c>
      <c r="C1428">
        <f t="shared" si="49"/>
        <v>20.421424809999991</v>
      </c>
      <c r="D1428">
        <f t="shared" si="50"/>
        <v>20.578575190000009</v>
      </c>
    </row>
    <row r="1429" spans="1:4">
      <c r="A1429">
        <v>1428</v>
      </c>
      <c r="B1429">
        <v>35</v>
      </c>
      <c r="C1429">
        <f t="shared" si="49"/>
        <v>20.172305759999944</v>
      </c>
      <c r="D1429">
        <f t="shared" si="50"/>
        <v>14.827694240000056</v>
      </c>
    </row>
    <row r="1430" spans="1:4">
      <c r="A1430">
        <v>1429</v>
      </c>
      <c r="B1430">
        <v>32</v>
      </c>
      <c r="C1430">
        <f t="shared" si="49"/>
        <v>19.922884489999973</v>
      </c>
      <c r="D1430">
        <f t="shared" si="50"/>
        <v>12.077115510000027</v>
      </c>
    </row>
    <row r="1431" spans="1:4">
      <c r="A1431">
        <v>1430</v>
      </c>
      <c r="B1431">
        <v>20</v>
      </c>
      <c r="C1431">
        <f t="shared" si="49"/>
        <v>19.673160999999965</v>
      </c>
      <c r="D1431">
        <f t="shared" si="50"/>
        <v>0.32683900000003518</v>
      </c>
    </row>
    <row r="1432" spans="1:4">
      <c r="A1432">
        <v>1431</v>
      </c>
      <c r="B1432">
        <v>17</v>
      </c>
      <c r="C1432">
        <f t="shared" si="49"/>
        <v>19.423135289999919</v>
      </c>
      <c r="D1432">
        <f t="shared" si="50"/>
        <v>-2.4231352899999195</v>
      </c>
    </row>
    <row r="1433" spans="1:4">
      <c r="A1433">
        <v>1432</v>
      </c>
      <c r="B1433">
        <v>14</v>
      </c>
      <c r="C1433">
        <f t="shared" si="49"/>
        <v>19.17280735999995</v>
      </c>
      <c r="D1433">
        <f t="shared" si="50"/>
        <v>-5.1728073599999504</v>
      </c>
    </row>
    <row r="1434" spans="1:4">
      <c r="A1434">
        <v>1433</v>
      </c>
      <c r="B1434">
        <v>12</v>
      </c>
      <c r="C1434">
        <f t="shared" si="49"/>
        <v>18.922177209999944</v>
      </c>
      <c r="D1434">
        <f t="shared" si="50"/>
        <v>-6.9221772099999441</v>
      </c>
    </row>
    <row r="1435" spans="1:4">
      <c r="A1435">
        <v>1434</v>
      </c>
      <c r="B1435">
        <v>12</v>
      </c>
      <c r="C1435">
        <f t="shared" si="49"/>
        <v>18.671244840000014</v>
      </c>
      <c r="D1435">
        <f t="shared" si="50"/>
        <v>-6.6712448400000142</v>
      </c>
    </row>
    <row r="1436" spans="1:4">
      <c r="A1436">
        <v>1435</v>
      </c>
      <c r="B1436">
        <v>18</v>
      </c>
      <c r="C1436">
        <f t="shared" si="49"/>
        <v>18.42001024999999</v>
      </c>
      <c r="D1436">
        <f t="shared" si="50"/>
        <v>-0.42001024999999004</v>
      </c>
    </row>
    <row r="1437" spans="1:4">
      <c r="A1437">
        <v>1436</v>
      </c>
      <c r="B1437">
        <v>18</v>
      </c>
      <c r="C1437">
        <f t="shared" si="49"/>
        <v>18.168473439999985</v>
      </c>
      <c r="D1437">
        <f t="shared" si="50"/>
        <v>-0.16847343999998543</v>
      </c>
    </row>
    <row r="1438" spans="1:4">
      <c r="A1438">
        <v>1437</v>
      </c>
      <c r="B1438">
        <v>12</v>
      </c>
      <c r="C1438">
        <f t="shared" si="49"/>
        <v>17.91663441</v>
      </c>
      <c r="D1438">
        <f t="shared" si="50"/>
        <v>-5.9166344100000003</v>
      </c>
    </row>
    <row r="1439" spans="1:4">
      <c r="A1439">
        <v>1438</v>
      </c>
      <c r="B1439">
        <v>16</v>
      </c>
      <c r="C1439">
        <f t="shared" si="49"/>
        <v>17.664493159999978</v>
      </c>
      <c r="D1439">
        <f t="shared" si="50"/>
        <v>-1.6644931599999779</v>
      </c>
    </row>
    <row r="1440" spans="1:4">
      <c r="A1440">
        <v>1439</v>
      </c>
      <c r="B1440">
        <v>21</v>
      </c>
      <c r="C1440">
        <f t="shared" si="49"/>
        <v>17.412049689999975</v>
      </c>
      <c r="D1440">
        <f t="shared" si="50"/>
        <v>3.587950310000025</v>
      </c>
    </row>
    <row r="1441" spans="1:4">
      <c r="A1441">
        <v>1440</v>
      </c>
      <c r="B1441">
        <v>20</v>
      </c>
      <c r="C1441">
        <f t="shared" si="49"/>
        <v>17.159303999999992</v>
      </c>
      <c r="D1441">
        <f t="shared" si="50"/>
        <v>2.8406960000000083</v>
      </c>
    </row>
    <row r="1442" spans="1:4">
      <c r="A1442">
        <v>1441</v>
      </c>
      <c r="B1442">
        <v>25</v>
      </c>
      <c r="C1442">
        <f t="shared" si="49"/>
        <v>16.906256089999971</v>
      </c>
      <c r="D1442">
        <f t="shared" si="50"/>
        <v>8.093743910000029</v>
      </c>
    </row>
    <row r="1443" spans="1:4">
      <c r="A1443">
        <v>1442</v>
      </c>
      <c r="B1443">
        <v>38</v>
      </c>
      <c r="C1443">
        <f t="shared" si="49"/>
        <v>16.65290595999997</v>
      </c>
      <c r="D1443">
        <f t="shared" si="50"/>
        <v>21.34709404000003</v>
      </c>
    </row>
    <row r="1444" spans="1:4">
      <c r="A1444">
        <v>1443</v>
      </c>
      <c r="B1444">
        <v>51</v>
      </c>
      <c r="C1444">
        <f t="shared" si="49"/>
        <v>16.399253609999988</v>
      </c>
      <c r="D1444">
        <f t="shared" si="50"/>
        <v>34.600746390000012</v>
      </c>
    </row>
    <row r="1445" spans="1:4">
      <c r="A1445">
        <v>1444</v>
      </c>
      <c r="B1445">
        <v>46</v>
      </c>
      <c r="C1445">
        <f t="shared" si="49"/>
        <v>16.145299039999969</v>
      </c>
      <c r="D1445">
        <f t="shared" si="50"/>
        <v>29.854700960000031</v>
      </c>
    </row>
    <row r="1446" spans="1:4">
      <c r="A1446">
        <v>1445</v>
      </c>
      <c r="B1446">
        <v>40</v>
      </c>
      <c r="C1446">
        <f t="shared" si="49"/>
        <v>15.89104224999997</v>
      </c>
      <c r="D1446">
        <f t="shared" si="50"/>
        <v>24.10895775000003</v>
      </c>
    </row>
    <row r="1447" spans="1:4">
      <c r="A1447">
        <v>1446</v>
      </c>
      <c r="B1447">
        <v>20</v>
      </c>
      <c r="C1447">
        <f t="shared" si="49"/>
        <v>15.63648323999999</v>
      </c>
      <c r="D1447">
        <f t="shared" si="50"/>
        <v>4.3635167600000102</v>
      </c>
    </row>
    <row r="1448" spans="1:4">
      <c r="A1448">
        <v>1447</v>
      </c>
      <c r="B1448">
        <v>11</v>
      </c>
      <c r="C1448">
        <f t="shared" si="49"/>
        <v>15.381622009999973</v>
      </c>
      <c r="D1448">
        <f t="shared" si="50"/>
        <v>-4.3816220099999725</v>
      </c>
    </row>
    <row r="1449" spans="1:4">
      <c r="A1449">
        <v>1448</v>
      </c>
      <c r="B1449">
        <v>20</v>
      </c>
      <c r="C1449">
        <f t="shared" si="49"/>
        <v>15.126458559999975</v>
      </c>
      <c r="D1449">
        <f t="shared" si="50"/>
        <v>4.8735414400000252</v>
      </c>
    </row>
    <row r="1450" spans="1:4">
      <c r="A1450">
        <v>1449</v>
      </c>
      <c r="B1450">
        <v>11</v>
      </c>
      <c r="C1450">
        <f t="shared" si="49"/>
        <v>14.870992889999997</v>
      </c>
      <c r="D1450">
        <f t="shared" si="50"/>
        <v>-3.8709928899999966</v>
      </c>
    </row>
    <row r="1451" spans="1:4">
      <c r="A1451">
        <v>1450</v>
      </c>
      <c r="B1451">
        <v>17</v>
      </c>
      <c r="C1451">
        <f t="shared" si="49"/>
        <v>14.615224999999981</v>
      </c>
      <c r="D1451">
        <f t="shared" si="50"/>
        <v>2.384775000000019</v>
      </c>
    </row>
    <row r="1452" spans="1:4">
      <c r="A1452">
        <v>1451</v>
      </c>
      <c r="B1452">
        <v>25</v>
      </c>
      <c r="C1452">
        <f t="shared" si="49"/>
        <v>14.359154889999928</v>
      </c>
      <c r="D1452">
        <f t="shared" si="50"/>
        <v>10.640845110000072</v>
      </c>
    </row>
    <row r="1453" spans="1:4">
      <c r="A1453">
        <v>1452</v>
      </c>
      <c r="B1453">
        <v>18</v>
      </c>
      <c r="C1453">
        <f t="shared" si="49"/>
        <v>14.102782559999952</v>
      </c>
      <c r="D1453">
        <f t="shared" si="50"/>
        <v>3.8972174400000483</v>
      </c>
    </row>
    <row r="1454" spans="1:4">
      <c r="A1454">
        <v>1453</v>
      </c>
      <c r="B1454">
        <v>19</v>
      </c>
      <c r="C1454">
        <f t="shared" si="49"/>
        <v>13.846108009999938</v>
      </c>
      <c r="D1454">
        <f t="shared" si="50"/>
        <v>5.1538919900000622</v>
      </c>
    </row>
    <row r="1455" spans="1:4">
      <c r="A1455">
        <v>1454</v>
      </c>
      <c r="B1455">
        <v>16</v>
      </c>
      <c r="C1455">
        <f t="shared" si="49"/>
        <v>13.589131239999944</v>
      </c>
      <c r="D1455">
        <f t="shared" si="50"/>
        <v>2.4108687600000565</v>
      </c>
    </row>
    <row r="1456" spans="1:4">
      <c r="A1456">
        <v>1455</v>
      </c>
      <c r="B1456">
        <v>6</v>
      </c>
      <c r="C1456">
        <f t="shared" si="49"/>
        <v>13.331852249999969</v>
      </c>
      <c r="D1456">
        <f t="shared" si="50"/>
        <v>-7.3318522499999688</v>
      </c>
    </row>
    <row r="1457" spans="1:4">
      <c r="A1457">
        <v>1456</v>
      </c>
      <c r="B1457">
        <v>15</v>
      </c>
      <c r="C1457">
        <f t="shared" si="49"/>
        <v>13.074271039999957</v>
      </c>
      <c r="D1457">
        <f t="shared" si="50"/>
        <v>1.9257289600000433</v>
      </c>
    </row>
    <row r="1458" spans="1:4">
      <c r="A1458">
        <v>1457</v>
      </c>
      <c r="B1458">
        <v>7</v>
      </c>
      <c r="C1458">
        <f t="shared" si="49"/>
        <v>12.816387609999907</v>
      </c>
      <c r="D1458">
        <f t="shared" si="50"/>
        <v>-5.8163876099999072</v>
      </c>
    </row>
    <row r="1459" spans="1:4">
      <c r="A1459">
        <v>1458</v>
      </c>
      <c r="B1459">
        <v>25</v>
      </c>
      <c r="C1459">
        <f t="shared" si="49"/>
        <v>12.558201959999934</v>
      </c>
      <c r="D1459">
        <f t="shared" si="50"/>
        <v>12.441798040000066</v>
      </c>
    </row>
    <row r="1460" spans="1:4">
      <c r="A1460">
        <v>1459</v>
      </c>
      <c r="B1460">
        <v>37</v>
      </c>
      <c r="C1460">
        <f t="shared" si="49"/>
        <v>12.299714089999924</v>
      </c>
      <c r="D1460">
        <f t="shared" si="50"/>
        <v>24.700285910000076</v>
      </c>
    </row>
    <row r="1461" spans="1:4">
      <c r="A1461">
        <v>1460</v>
      </c>
      <c r="B1461">
        <v>32</v>
      </c>
      <c r="C1461">
        <f t="shared" si="49"/>
        <v>12.04092399999999</v>
      </c>
      <c r="D1461">
        <f t="shared" si="50"/>
        <v>19.95907600000001</v>
      </c>
    </row>
    <row r="1462" spans="1:4">
      <c r="A1462">
        <v>1461</v>
      </c>
      <c r="B1462">
        <v>17</v>
      </c>
      <c r="C1462">
        <f t="shared" si="49"/>
        <v>11.781831690000018</v>
      </c>
      <c r="D1462">
        <f t="shared" si="50"/>
        <v>5.2181683099999816</v>
      </c>
    </row>
    <row r="1463" spans="1:4">
      <c r="A1463">
        <v>1462</v>
      </c>
      <c r="B1463">
        <v>15</v>
      </c>
      <c r="C1463">
        <f t="shared" si="49"/>
        <v>11.52243716000001</v>
      </c>
      <c r="D1463">
        <f t="shared" si="50"/>
        <v>3.4775628399999903</v>
      </c>
    </row>
    <row r="1464" spans="1:4">
      <c r="A1464">
        <v>1463</v>
      </c>
      <c r="B1464">
        <v>18</v>
      </c>
      <c r="C1464">
        <f t="shared" si="49"/>
        <v>11.262740410000021</v>
      </c>
      <c r="D1464">
        <f t="shared" si="50"/>
        <v>6.7372595899999794</v>
      </c>
    </row>
    <row r="1465" spans="1:4">
      <c r="A1465">
        <v>1464</v>
      </c>
      <c r="B1465">
        <v>19</v>
      </c>
      <c r="C1465">
        <f t="shared" si="49"/>
        <v>11.002741439999994</v>
      </c>
      <c r="D1465">
        <f t="shared" si="50"/>
        <v>7.9972585600000059</v>
      </c>
    </row>
    <row r="1466" spans="1:4">
      <c r="A1466">
        <v>1465</v>
      </c>
      <c r="B1466">
        <v>20</v>
      </c>
      <c r="C1466">
        <f t="shared" si="49"/>
        <v>10.742440249999987</v>
      </c>
      <c r="D1466">
        <f t="shared" si="50"/>
        <v>9.2575597500000129</v>
      </c>
    </row>
    <row r="1467" spans="1:4">
      <c r="A1467">
        <v>1466</v>
      </c>
      <c r="B1467">
        <v>17</v>
      </c>
      <c r="C1467">
        <f t="shared" si="49"/>
        <v>10.48183684</v>
      </c>
      <c r="D1467">
        <f t="shared" si="50"/>
        <v>6.5181631600000003</v>
      </c>
    </row>
    <row r="1468" spans="1:4">
      <c r="A1468">
        <v>1467</v>
      </c>
      <c r="B1468">
        <v>13</v>
      </c>
      <c r="C1468">
        <f t="shared" si="49"/>
        <v>10.220931209999975</v>
      </c>
      <c r="D1468">
        <f t="shared" si="50"/>
        <v>2.779068790000025</v>
      </c>
    </row>
    <row r="1469" spans="1:4">
      <c r="A1469">
        <v>1468</v>
      </c>
      <c r="B1469">
        <v>9</v>
      </c>
      <c r="C1469">
        <f t="shared" si="49"/>
        <v>9.9597233599999697</v>
      </c>
      <c r="D1469">
        <f t="shared" si="50"/>
        <v>-0.95972335999996972</v>
      </c>
    </row>
    <row r="1470" spans="1:4">
      <c r="A1470">
        <v>1469</v>
      </c>
      <c r="B1470">
        <v>11</v>
      </c>
      <c r="C1470">
        <f t="shared" si="49"/>
        <v>9.698213289999984</v>
      </c>
      <c r="D1470">
        <f t="shared" si="50"/>
        <v>1.301786710000016</v>
      </c>
    </row>
    <row r="1471" spans="1:4">
      <c r="A1471">
        <v>1470</v>
      </c>
      <c r="B1471">
        <v>21</v>
      </c>
      <c r="C1471">
        <f t="shared" si="49"/>
        <v>9.436400999999961</v>
      </c>
      <c r="D1471">
        <f t="shared" si="50"/>
        <v>11.563599000000039</v>
      </c>
    </row>
    <row r="1472" spans="1:4">
      <c r="A1472">
        <v>1471</v>
      </c>
      <c r="B1472">
        <v>30</v>
      </c>
      <c r="C1472">
        <f t="shared" si="49"/>
        <v>9.1742864899999574</v>
      </c>
      <c r="D1472">
        <f t="shared" si="50"/>
        <v>20.825713510000043</v>
      </c>
    </row>
    <row r="1473" spans="1:4">
      <c r="A1473">
        <v>1472</v>
      </c>
      <c r="B1473">
        <v>21</v>
      </c>
      <c r="C1473">
        <f t="shared" si="49"/>
        <v>8.9118697599999734</v>
      </c>
      <c r="D1473">
        <f t="shared" si="50"/>
        <v>12.088130240000027</v>
      </c>
    </row>
    <row r="1474" spans="1:4">
      <c r="A1474">
        <v>1473</v>
      </c>
      <c r="B1474">
        <v>10</v>
      </c>
      <c r="C1474">
        <f t="shared" ref="C1474:C1530" si="51" xml:space="preserve"> -0.00015111*A1474*A1474 + 0.1823*A1474 + 67.989</f>
        <v>8.6491508099999521</v>
      </c>
      <c r="D1474">
        <f t="shared" ref="D1474:D1530" si="52">B1474-C1474</f>
        <v>1.3508491900000479</v>
      </c>
    </row>
    <row r="1475" spans="1:4">
      <c r="A1475">
        <v>1474</v>
      </c>
      <c r="B1475">
        <v>3</v>
      </c>
      <c r="C1475">
        <f t="shared" si="51"/>
        <v>8.3861296400000072</v>
      </c>
      <c r="D1475">
        <f t="shared" si="52"/>
        <v>-5.3861296400000072</v>
      </c>
    </row>
    <row r="1476" spans="1:4">
      <c r="A1476">
        <v>1475</v>
      </c>
      <c r="B1476">
        <v>0</v>
      </c>
      <c r="C1476">
        <f t="shared" si="51"/>
        <v>8.122806249999968</v>
      </c>
      <c r="D1476">
        <f t="shared" si="52"/>
        <v>-8.122806249999968</v>
      </c>
    </row>
    <row r="1477" spans="1:4">
      <c r="A1477">
        <v>1476</v>
      </c>
      <c r="B1477">
        <v>4</v>
      </c>
      <c r="C1477">
        <f t="shared" si="51"/>
        <v>7.8591806399999484</v>
      </c>
      <c r="D1477">
        <f t="shared" si="52"/>
        <v>-3.8591806399999484</v>
      </c>
    </row>
    <row r="1478" spans="1:4">
      <c r="A1478">
        <v>1477</v>
      </c>
      <c r="B1478">
        <v>7</v>
      </c>
      <c r="C1478">
        <f t="shared" si="51"/>
        <v>7.5952528100000052</v>
      </c>
      <c r="D1478">
        <f t="shared" si="52"/>
        <v>-0.59525281000000518</v>
      </c>
    </row>
    <row r="1479" spans="1:4">
      <c r="A1479">
        <v>1478</v>
      </c>
      <c r="B1479">
        <v>10</v>
      </c>
      <c r="C1479">
        <f t="shared" si="51"/>
        <v>7.3310227599999678</v>
      </c>
      <c r="D1479">
        <f t="shared" si="52"/>
        <v>2.6689772400000322</v>
      </c>
    </row>
    <row r="1480" spans="1:4">
      <c r="A1480">
        <v>1479</v>
      </c>
      <c r="B1480">
        <v>9</v>
      </c>
      <c r="C1480">
        <f t="shared" si="51"/>
        <v>7.0664904899999499</v>
      </c>
      <c r="D1480">
        <f t="shared" si="52"/>
        <v>1.9335095100000501</v>
      </c>
    </row>
    <row r="1481" spans="1:4">
      <c r="A1481">
        <v>1480</v>
      </c>
      <c r="B1481">
        <v>3</v>
      </c>
      <c r="C1481">
        <f t="shared" si="51"/>
        <v>6.8016559999999515</v>
      </c>
      <c r="D1481">
        <f t="shared" si="52"/>
        <v>-3.8016559999999515</v>
      </c>
    </row>
    <row r="1482" spans="1:4">
      <c r="A1482">
        <v>1481</v>
      </c>
      <c r="B1482">
        <v>-1</v>
      </c>
      <c r="C1482">
        <f t="shared" si="51"/>
        <v>6.5365192899999727</v>
      </c>
      <c r="D1482">
        <f t="shared" si="52"/>
        <v>-7.5365192899999727</v>
      </c>
    </row>
    <row r="1483" spans="1:4">
      <c r="A1483">
        <v>1482</v>
      </c>
      <c r="B1483">
        <v>0</v>
      </c>
      <c r="C1483">
        <f t="shared" si="51"/>
        <v>6.2710803599999565</v>
      </c>
      <c r="D1483">
        <f t="shared" si="52"/>
        <v>-6.2710803599999565</v>
      </c>
    </row>
    <row r="1484" spans="1:4">
      <c r="A1484">
        <v>1483</v>
      </c>
      <c r="B1484">
        <v>-3</v>
      </c>
      <c r="C1484">
        <f t="shared" si="51"/>
        <v>6.0053392099999598</v>
      </c>
      <c r="D1484">
        <f t="shared" si="52"/>
        <v>-9.0053392099999598</v>
      </c>
    </row>
    <row r="1485" spans="1:4">
      <c r="A1485">
        <v>1484</v>
      </c>
      <c r="B1485">
        <v>10</v>
      </c>
      <c r="C1485">
        <f t="shared" si="51"/>
        <v>5.7392958399999259</v>
      </c>
      <c r="D1485">
        <f t="shared" si="52"/>
        <v>4.2607041600000741</v>
      </c>
    </row>
    <row r="1486" spans="1:4">
      <c r="A1486">
        <v>1485</v>
      </c>
      <c r="B1486">
        <v>6</v>
      </c>
      <c r="C1486">
        <f t="shared" si="51"/>
        <v>5.4729502499999114</v>
      </c>
      <c r="D1486">
        <f t="shared" si="52"/>
        <v>0.52704975000008858</v>
      </c>
    </row>
    <row r="1487" spans="1:4">
      <c r="A1487">
        <v>1486</v>
      </c>
      <c r="B1487">
        <v>2</v>
      </c>
      <c r="C1487">
        <f t="shared" si="51"/>
        <v>5.2063024399999733</v>
      </c>
      <c r="D1487">
        <f t="shared" si="52"/>
        <v>-3.2063024399999733</v>
      </c>
    </row>
    <row r="1488" spans="1:4">
      <c r="A1488">
        <v>1487</v>
      </c>
      <c r="B1488">
        <v>2</v>
      </c>
      <c r="C1488">
        <f t="shared" si="51"/>
        <v>4.9393524099999411</v>
      </c>
      <c r="D1488">
        <f t="shared" si="52"/>
        <v>-2.9393524099999411</v>
      </c>
    </row>
    <row r="1489" spans="1:4">
      <c r="A1489">
        <v>1488</v>
      </c>
      <c r="B1489">
        <v>0</v>
      </c>
      <c r="C1489">
        <f t="shared" si="51"/>
        <v>4.6721001599999283</v>
      </c>
      <c r="D1489">
        <f t="shared" si="52"/>
        <v>-4.6721001599999283</v>
      </c>
    </row>
    <row r="1490" spans="1:4">
      <c r="A1490">
        <v>1489</v>
      </c>
      <c r="B1490">
        <v>5</v>
      </c>
      <c r="C1490">
        <f t="shared" si="51"/>
        <v>4.404545689999992</v>
      </c>
      <c r="D1490">
        <f t="shared" si="52"/>
        <v>0.59545431000000804</v>
      </c>
    </row>
    <row r="1491" spans="1:4">
      <c r="A1491">
        <v>1490</v>
      </c>
      <c r="B1491">
        <v>7</v>
      </c>
      <c r="C1491">
        <f t="shared" si="51"/>
        <v>4.1366889999999614</v>
      </c>
      <c r="D1491">
        <f t="shared" si="52"/>
        <v>2.8633110000000386</v>
      </c>
    </row>
    <row r="1492" spans="1:4">
      <c r="A1492">
        <v>1491</v>
      </c>
      <c r="B1492">
        <v>21</v>
      </c>
      <c r="C1492">
        <f t="shared" si="51"/>
        <v>3.8685300900000072</v>
      </c>
      <c r="D1492">
        <f t="shared" si="52"/>
        <v>17.131469909999993</v>
      </c>
    </row>
    <row r="1493" spans="1:4">
      <c r="A1493">
        <v>1492</v>
      </c>
      <c r="B1493">
        <v>16</v>
      </c>
      <c r="C1493">
        <f t="shared" si="51"/>
        <v>3.6000689600000157</v>
      </c>
      <c r="D1493">
        <f t="shared" si="52"/>
        <v>12.399931039999984</v>
      </c>
    </row>
    <row r="1494" spans="1:4">
      <c r="A1494">
        <v>1493</v>
      </c>
      <c r="B1494">
        <v>11</v>
      </c>
      <c r="C1494">
        <f t="shared" si="51"/>
        <v>3.3313056099999869</v>
      </c>
      <c r="D1494">
        <f t="shared" si="52"/>
        <v>7.6686943900000131</v>
      </c>
    </row>
    <row r="1495" spans="1:4">
      <c r="A1495">
        <v>1494</v>
      </c>
      <c r="B1495">
        <v>12</v>
      </c>
      <c r="C1495">
        <f t="shared" si="51"/>
        <v>3.0622400399999776</v>
      </c>
      <c r="D1495">
        <f t="shared" si="52"/>
        <v>8.9377599600000224</v>
      </c>
    </row>
    <row r="1496" spans="1:4">
      <c r="A1496">
        <v>1495</v>
      </c>
      <c r="B1496">
        <v>6</v>
      </c>
      <c r="C1496">
        <f t="shared" si="51"/>
        <v>2.7928722499999878</v>
      </c>
      <c r="D1496">
        <f t="shared" si="52"/>
        <v>3.2071277500000122</v>
      </c>
    </row>
    <row r="1497" spans="1:4">
      <c r="A1497">
        <v>1496</v>
      </c>
      <c r="B1497">
        <v>-2</v>
      </c>
      <c r="C1497">
        <f t="shared" si="51"/>
        <v>2.5232022399999607</v>
      </c>
      <c r="D1497">
        <f t="shared" si="52"/>
        <v>-4.5232022399999607</v>
      </c>
    </row>
    <row r="1498" spans="1:4">
      <c r="A1498">
        <v>1497</v>
      </c>
      <c r="B1498">
        <v>2</v>
      </c>
      <c r="C1498">
        <f t="shared" si="51"/>
        <v>2.25323001000001</v>
      </c>
      <c r="D1498">
        <f t="shared" si="52"/>
        <v>-0.25323001000001</v>
      </c>
    </row>
    <row r="1499" spans="1:4">
      <c r="A1499">
        <v>1498</v>
      </c>
      <c r="B1499">
        <v>-8</v>
      </c>
      <c r="C1499">
        <f t="shared" si="51"/>
        <v>1.9829555599999651</v>
      </c>
      <c r="D1499">
        <f t="shared" si="52"/>
        <v>-9.9829555599999651</v>
      </c>
    </row>
    <row r="1500" spans="1:4">
      <c r="A1500">
        <v>1499</v>
      </c>
      <c r="B1500">
        <v>-1</v>
      </c>
      <c r="C1500">
        <f t="shared" si="51"/>
        <v>1.7123788899999397</v>
      </c>
      <c r="D1500">
        <f t="shared" si="52"/>
        <v>-2.7123788899999397</v>
      </c>
    </row>
    <row r="1501" spans="1:4">
      <c r="A1501">
        <v>1500</v>
      </c>
      <c r="B1501">
        <v>7</v>
      </c>
      <c r="C1501">
        <f t="shared" si="51"/>
        <v>1.4414999999999907</v>
      </c>
      <c r="D1501">
        <f t="shared" si="52"/>
        <v>5.5585000000000093</v>
      </c>
    </row>
    <row r="1502" spans="1:4">
      <c r="A1502">
        <v>1501</v>
      </c>
      <c r="B1502">
        <v>8</v>
      </c>
      <c r="C1502">
        <f t="shared" si="51"/>
        <v>1.1703188899999475</v>
      </c>
      <c r="D1502">
        <f t="shared" si="52"/>
        <v>6.8296811100000525</v>
      </c>
    </row>
    <row r="1503" spans="1:4">
      <c r="A1503">
        <v>1502</v>
      </c>
      <c r="B1503">
        <v>4</v>
      </c>
      <c r="C1503">
        <f t="shared" si="51"/>
        <v>0.89883555999992382</v>
      </c>
      <c r="D1503">
        <f t="shared" si="52"/>
        <v>3.1011644400000762</v>
      </c>
    </row>
    <row r="1504" spans="1:4">
      <c r="A1504">
        <v>1503</v>
      </c>
      <c r="B1504">
        <v>8</v>
      </c>
      <c r="C1504">
        <f t="shared" si="51"/>
        <v>0.62705000999997651</v>
      </c>
      <c r="D1504">
        <f t="shared" si="52"/>
        <v>7.3729499900000235</v>
      </c>
    </row>
    <row r="1505" spans="1:4">
      <c r="A1505">
        <v>1504</v>
      </c>
      <c r="B1505">
        <v>1</v>
      </c>
      <c r="C1505">
        <f t="shared" si="51"/>
        <v>0.35496223999993504</v>
      </c>
      <c r="D1505">
        <f t="shared" si="52"/>
        <v>0.64503776000006496</v>
      </c>
    </row>
    <row r="1506" spans="1:4">
      <c r="A1506">
        <v>1505</v>
      </c>
      <c r="B1506">
        <v>5</v>
      </c>
      <c r="C1506">
        <f t="shared" si="51"/>
        <v>8.2572249999969927E-2</v>
      </c>
      <c r="D1506">
        <f t="shared" si="52"/>
        <v>4.9174277500000301</v>
      </c>
    </row>
    <row r="1507" spans="1:4">
      <c r="A1507">
        <v>1506</v>
      </c>
      <c r="B1507">
        <v>0</v>
      </c>
      <c r="C1507">
        <f t="shared" si="51"/>
        <v>-0.19011996000003251</v>
      </c>
      <c r="D1507">
        <f t="shared" si="52"/>
        <v>0.19011996000003251</v>
      </c>
    </row>
    <row r="1508" spans="1:4">
      <c r="A1508">
        <v>1507</v>
      </c>
      <c r="B1508">
        <v>10</v>
      </c>
      <c r="C1508">
        <f t="shared" si="51"/>
        <v>-0.46311439000007226</v>
      </c>
      <c r="D1508">
        <f t="shared" si="52"/>
        <v>10.463114390000072</v>
      </c>
    </row>
    <row r="1509" spans="1:4">
      <c r="A1509">
        <v>1508</v>
      </c>
      <c r="B1509">
        <v>8</v>
      </c>
      <c r="C1509">
        <f t="shared" si="51"/>
        <v>-0.73641104000003565</v>
      </c>
      <c r="D1509">
        <f t="shared" si="52"/>
        <v>8.7364110400000357</v>
      </c>
    </row>
    <row r="1510" spans="1:4">
      <c r="A1510">
        <v>1509</v>
      </c>
      <c r="B1510">
        <v>6</v>
      </c>
      <c r="C1510">
        <f t="shared" si="51"/>
        <v>-1.0100099100000364</v>
      </c>
      <c r="D1510">
        <f t="shared" si="52"/>
        <v>7.0100099100000364</v>
      </c>
    </row>
    <row r="1511" spans="1:4">
      <c r="A1511">
        <v>1510</v>
      </c>
      <c r="B1511">
        <v>1</v>
      </c>
      <c r="C1511">
        <f t="shared" si="51"/>
        <v>-1.2839110000000744</v>
      </c>
      <c r="D1511">
        <f t="shared" si="52"/>
        <v>2.2839110000000744</v>
      </c>
    </row>
    <row r="1512" spans="1:4">
      <c r="A1512">
        <v>1511</v>
      </c>
      <c r="B1512">
        <v>0</v>
      </c>
      <c r="C1512">
        <f t="shared" si="51"/>
        <v>-1.5581143100000361</v>
      </c>
      <c r="D1512">
        <f t="shared" si="52"/>
        <v>1.5581143100000361</v>
      </c>
    </row>
    <row r="1513" spans="1:4">
      <c r="A1513">
        <v>1512</v>
      </c>
      <c r="B1513">
        <v>-5</v>
      </c>
      <c r="C1513">
        <f t="shared" si="51"/>
        <v>-1.8326198400000351</v>
      </c>
      <c r="D1513">
        <f t="shared" si="52"/>
        <v>-3.1673801599999649</v>
      </c>
    </row>
    <row r="1514" spans="1:4">
      <c r="A1514">
        <v>1513</v>
      </c>
      <c r="B1514">
        <v>-3</v>
      </c>
      <c r="C1514">
        <f t="shared" si="51"/>
        <v>-2.1074275900000714</v>
      </c>
      <c r="D1514">
        <f t="shared" si="52"/>
        <v>-0.8925724099999286</v>
      </c>
    </row>
    <row r="1515" spans="1:4">
      <c r="A1515">
        <v>1514</v>
      </c>
      <c r="B1515">
        <v>1</v>
      </c>
      <c r="C1515">
        <f t="shared" si="51"/>
        <v>-2.3825375600000314</v>
      </c>
      <c r="D1515">
        <f t="shared" si="52"/>
        <v>3.3825375600000314</v>
      </c>
    </row>
    <row r="1516" spans="1:4">
      <c r="A1516">
        <v>1515</v>
      </c>
      <c r="B1516">
        <v>10</v>
      </c>
      <c r="C1516">
        <f t="shared" si="51"/>
        <v>-2.6579497500000855</v>
      </c>
      <c r="D1516">
        <f t="shared" si="52"/>
        <v>12.657949750000085</v>
      </c>
    </row>
    <row r="1517" spans="1:4">
      <c r="A1517">
        <v>1516</v>
      </c>
      <c r="B1517">
        <v>13</v>
      </c>
      <c r="C1517">
        <f t="shared" si="51"/>
        <v>-2.9336641600000064</v>
      </c>
      <c r="D1517">
        <f t="shared" si="52"/>
        <v>15.933664160000006</v>
      </c>
    </row>
    <row r="1518" spans="1:4">
      <c r="A1518">
        <v>1517</v>
      </c>
      <c r="B1518">
        <v>-1</v>
      </c>
      <c r="C1518">
        <f t="shared" si="51"/>
        <v>-3.2096807900000215</v>
      </c>
      <c r="D1518">
        <f t="shared" si="52"/>
        <v>2.2096807900000215</v>
      </c>
    </row>
    <row r="1519" spans="1:4">
      <c r="A1519">
        <v>1518</v>
      </c>
      <c r="B1519">
        <v>0</v>
      </c>
      <c r="C1519">
        <f t="shared" si="51"/>
        <v>-3.4859996400000171</v>
      </c>
      <c r="D1519">
        <f t="shared" si="52"/>
        <v>3.4859996400000171</v>
      </c>
    </row>
    <row r="1520" spans="1:4">
      <c r="A1520">
        <v>1519</v>
      </c>
      <c r="B1520">
        <v>5</v>
      </c>
      <c r="C1520">
        <f t="shared" si="51"/>
        <v>-3.7626207100000499</v>
      </c>
      <c r="D1520">
        <f t="shared" si="52"/>
        <v>8.7626207100000499</v>
      </c>
    </row>
    <row r="1521" spans="1:4">
      <c r="A1521">
        <v>1520</v>
      </c>
      <c r="B1521">
        <v>3</v>
      </c>
      <c r="C1521">
        <f t="shared" si="51"/>
        <v>-4.0395440000000065</v>
      </c>
      <c r="D1521">
        <f t="shared" si="52"/>
        <v>7.0395440000000065</v>
      </c>
    </row>
    <row r="1522" spans="1:4">
      <c r="A1522">
        <v>1521</v>
      </c>
      <c r="B1522">
        <v>4</v>
      </c>
      <c r="C1522">
        <f t="shared" si="51"/>
        <v>-4.3167695100000003</v>
      </c>
      <c r="D1522">
        <f t="shared" si="52"/>
        <v>8.3167695100000003</v>
      </c>
    </row>
    <row r="1523" spans="1:4">
      <c r="A1523">
        <v>1522</v>
      </c>
      <c r="B1523">
        <v>17</v>
      </c>
      <c r="C1523">
        <f t="shared" si="51"/>
        <v>-4.5942972399999746</v>
      </c>
      <c r="D1523">
        <f t="shared" si="52"/>
        <v>21.594297239999975</v>
      </c>
    </row>
    <row r="1524" spans="1:4">
      <c r="A1524">
        <v>1523</v>
      </c>
      <c r="B1524">
        <v>9</v>
      </c>
      <c r="C1524">
        <f t="shared" si="51"/>
        <v>-4.8721271899999863</v>
      </c>
      <c r="D1524">
        <f t="shared" si="52"/>
        <v>13.872127189999986</v>
      </c>
    </row>
    <row r="1525" spans="1:4">
      <c r="A1525">
        <v>1524</v>
      </c>
      <c r="B1525">
        <v>8</v>
      </c>
      <c r="C1525">
        <f t="shared" si="51"/>
        <v>-5.1502593600000353</v>
      </c>
      <c r="D1525">
        <f t="shared" si="52"/>
        <v>13.150259360000035</v>
      </c>
    </row>
    <row r="1526" spans="1:4">
      <c r="A1526">
        <v>1525</v>
      </c>
      <c r="B1526">
        <v>12</v>
      </c>
      <c r="C1526">
        <f t="shared" si="51"/>
        <v>-5.4286937500000079</v>
      </c>
      <c r="D1526">
        <f t="shared" si="52"/>
        <v>17.428693750000008</v>
      </c>
    </row>
    <row r="1527" spans="1:4">
      <c r="A1527">
        <v>1526</v>
      </c>
      <c r="B1527">
        <v>22</v>
      </c>
      <c r="C1527">
        <f t="shared" si="51"/>
        <v>-5.7074303600000178</v>
      </c>
      <c r="D1527">
        <f t="shared" si="52"/>
        <v>27.707430360000018</v>
      </c>
    </row>
    <row r="1528" spans="1:4">
      <c r="A1528">
        <v>1527</v>
      </c>
      <c r="B1528">
        <v>42</v>
      </c>
      <c r="C1528">
        <f t="shared" si="51"/>
        <v>-5.9864691900000651</v>
      </c>
      <c r="D1528">
        <f t="shared" si="52"/>
        <v>47.986469190000065</v>
      </c>
    </row>
    <row r="1529" spans="1:4">
      <c r="A1529">
        <v>1528</v>
      </c>
      <c r="B1529">
        <v>67</v>
      </c>
      <c r="C1529">
        <f t="shared" si="51"/>
        <v>-6.2658102400000359</v>
      </c>
      <c r="D1529">
        <f t="shared" si="52"/>
        <v>73.265810240000036</v>
      </c>
    </row>
    <row r="1530" spans="1:4">
      <c r="A1530">
        <v>1529</v>
      </c>
      <c r="B1530">
        <v>94</v>
      </c>
      <c r="C1530">
        <f t="shared" si="51"/>
        <v>-6.5454535100000442</v>
      </c>
      <c r="D1530">
        <f t="shared" si="52"/>
        <v>100.54545351000004</v>
      </c>
    </row>
  </sheetData>
  <sortState xmlns:xlrd2="http://schemas.microsoft.com/office/spreadsheetml/2017/richdata2" ref="K49:M1414">
    <sortCondition ref="K49:K1414"/>
  </sortState>
  <pageMargins left="0.7" right="0.7" top="0.75" bottom="0.75" header="0.3" footer="0.3"/>
  <pageSetup orientation="portrait" horizontalDpi="0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530"/>
  <sheetViews>
    <sheetView topLeftCell="A756" workbookViewId="0">
      <selection activeCell="T791" activeCellId="1" sqref="R791 T791"/>
    </sheetView>
  </sheetViews>
  <sheetFormatPr baseColWidth="10" defaultRowHeight="15"/>
  <cols>
    <col min="22" max="22" width="7.28515625" bestFit="1" customWidth="1"/>
    <col min="23" max="23" width="6.28515625" customWidth="1"/>
  </cols>
  <sheetData>
    <row r="1" spans="1:27">
      <c r="A1">
        <v>0</v>
      </c>
      <c r="B1">
        <v>22743</v>
      </c>
      <c r="C1">
        <f xml:space="preserve"> 0.00000002349111*A1*A1*A1*A1 - 0.0000664476*A1*A1*A1 + 0.03716061*A1*A1 + 10.57172*A1 + 22932.71</f>
        <v>22932.71</v>
      </c>
      <c r="D1">
        <f>B1/C1</f>
        <v>0.99172753678043291</v>
      </c>
    </row>
    <row r="2" spans="1:27">
      <c r="A2">
        <v>1</v>
      </c>
      <c r="B2">
        <v>22755</v>
      </c>
      <c r="C2">
        <f t="shared" ref="C2:C65" si="0" xml:space="preserve"> 0.00000002349111*A2*A2*A2*A2 - 0.0000664476*A2*A2*A2 + 0.03716061*A2*A2 + 10.57172*A2 + 22932.71</f>
        <v>22943.318814185892</v>
      </c>
      <c r="D2">
        <f t="shared" ref="D2:D65" si="1">B2/C2</f>
        <v>0.9917919976743097</v>
      </c>
      <c r="M2" s="3" t="s">
        <v>39</v>
      </c>
      <c r="N2" s="3" t="s">
        <v>40</v>
      </c>
      <c r="O2" s="3" t="s">
        <v>41</v>
      </c>
      <c r="P2" s="3" t="s">
        <v>42</v>
      </c>
      <c r="Q2" s="3" t="s">
        <v>43</v>
      </c>
      <c r="S2" s="3" t="s">
        <v>109</v>
      </c>
      <c r="T2" s="8" t="s">
        <v>110</v>
      </c>
      <c r="U2" s="3" t="s">
        <v>136</v>
      </c>
      <c r="X2" s="2" t="s">
        <v>4</v>
      </c>
      <c r="Z2" s="3" t="s">
        <v>116</v>
      </c>
      <c r="AA2" s="3" t="s">
        <v>190</v>
      </c>
    </row>
    <row r="3" spans="1:27">
      <c r="A3">
        <v>2</v>
      </c>
      <c r="B3">
        <v>22094</v>
      </c>
      <c r="C3">
        <f t="shared" si="0"/>
        <v>22954.001551235058</v>
      </c>
      <c r="D3">
        <f t="shared" si="1"/>
        <v>0.96253369813034695</v>
      </c>
    </row>
    <row r="4" spans="1:27">
      <c r="A4">
        <v>3</v>
      </c>
      <c r="B4">
        <v>20499</v>
      </c>
      <c r="C4">
        <f t="shared" si="0"/>
        <v>22964.75781330758</v>
      </c>
      <c r="D4">
        <f t="shared" si="1"/>
        <v>0.89262861671117966</v>
      </c>
      <c r="G4">
        <v>5</v>
      </c>
      <c r="M4">
        <v>5.5</v>
      </c>
      <c r="N4">
        <v>8.8000000000000005E-3</v>
      </c>
      <c r="O4">
        <v>-0.1072</v>
      </c>
      <c r="P4">
        <v>-8.8999999999999999E-3</v>
      </c>
      <c r="Q4">
        <v>-1.4455</v>
      </c>
      <c r="S4">
        <f t="shared" ref="S4:S37" si="2">M4+(-2*O4-SQRT(4*O4*O4-12*N4*P4))/(6*N4)</f>
        <v>5.4586988466930153</v>
      </c>
      <c r="T4">
        <f xml:space="preserve"> -1.179402526298E-13*S4*S4*S4*S4 + 4.020234124929E-10*S4*S4*S4 - 0.0000004743246209058*S4*S4 + 0.09282817058921*S4 + 6490.328062797</f>
        <v>6490.834769756385</v>
      </c>
      <c r="U4">
        <f>1-EXP(Q4)</f>
        <v>0.76437176701906562</v>
      </c>
      <c r="V4" s="9" t="s">
        <v>115</v>
      </c>
      <c r="W4" s="3">
        <v>1</v>
      </c>
      <c r="X4">
        <v>6490.1809999999996</v>
      </c>
      <c r="Z4">
        <f t="shared" ref="Z4:Z10" si="3">300000*(T4/X4-1)</f>
        <v>30.219639007844634</v>
      </c>
    </row>
    <row r="5" spans="1:27">
      <c r="A5">
        <v>4</v>
      </c>
      <c r="B5">
        <v>18788</v>
      </c>
      <c r="C5">
        <f t="shared" si="0"/>
        <v>22975.587203127325</v>
      </c>
      <c r="D5">
        <f t="shared" si="1"/>
        <v>0.81773753305607222</v>
      </c>
      <c r="G5">
        <v>44</v>
      </c>
      <c r="M5">
        <v>44.5</v>
      </c>
      <c r="N5">
        <v>7.0000000000000001E-3</v>
      </c>
      <c r="O5">
        <v>-5.28E-2</v>
      </c>
      <c r="P5">
        <v>-3.7100000000000001E-2</v>
      </c>
      <c r="Q5">
        <v>-1.0539000000000001</v>
      </c>
      <c r="S5">
        <f t="shared" si="2"/>
        <v>44.170292163004717</v>
      </c>
      <c r="T5">
        <f xml:space="preserve"> -1.179402526298E-13*S5*S5*S5*S5 + 4.020234124929E-10*S5*S5*S5 - 0.0000004743246209058*S5*S5 + 0.09282817058921*S5 + 6490.328062797</f>
        <v>6494.4274189947628</v>
      </c>
      <c r="U5">
        <f>1-EXP(Q5)</f>
        <v>0.65142435029008516</v>
      </c>
      <c r="V5" t="s">
        <v>111</v>
      </c>
      <c r="W5">
        <v>1</v>
      </c>
      <c r="X5">
        <v>6493.7809999999999</v>
      </c>
      <c r="Z5">
        <f t="shared" si="3"/>
        <v>29.863295117116273</v>
      </c>
    </row>
    <row r="6" spans="1:27">
      <c r="A6">
        <v>5</v>
      </c>
      <c r="B6">
        <v>17687</v>
      </c>
      <c r="C6">
        <f t="shared" si="0"/>
        <v>22986.489323981943</v>
      </c>
      <c r="D6">
        <f t="shared" si="1"/>
        <v>0.76945199202503034</v>
      </c>
      <c r="G6">
        <v>58</v>
      </c>
      <c r="M6">
        <v>57.5</v>
      </c>
      <c r="N6">
        <v>-8.0000000000000004E-4</v>
      </c>
      <c r="O6">
        <v>-2.5899999999999999E-2</v>
      </c>
      <c r="P6">
        <v>1.72E-2</v>
      </c>
      <c r="Q6">
        <v>-0.63849999999999996</v>
      </c>
      <c r="S6">
        <f t="shared" si="2"/>
        <v>57.827089383859452</v>
      </c>
      <c r="T6">
        <f xml:space="preserve"> -1.179402526298E-13*S6*S6*S6*S6 + 4.020234124929E-10*S6*S6*S6 - 0.0000004743246209058*S6*S6 + 0.09282817058921*S6 + 6490.328062797</f>
        <v>6495.6945360079435</v>
      </c>
      <c r="U6">
        <f>1-EXP(Q6)</f>
        <v>0.47191604382019658</v>
      </c>
      <c r="V6" t="s">
        <v>112</v>
      </c>
      <c r="W6">
        <v>1</v>
      </c>
      <c r="X6">
        <v>6494.98</v>
      </c>
      <c r="Y6" s="5" t="s">
        <v>124</v>
      </c>
    </row>
    <row r="7" spans="1:27">
      <c r="A7">
        <v>6</v>
      </c>
      <c r="B7">
        <v>17767</v>
      </c>
      <c r="C7">
        <f t="shared" si="0"/>
        <v>22997.463779722879</v>
      </c>
      <c r="D7">
        <f t="shared" si="1"/>
        <v>0.77256345178659935</v>
      </c>
      <c r="G7">
        <v>78</v>
      </c>
      <c r="M7">
        <v>77.5</v>
      </c>
      <c r="N7">
        <v>4.0000000000000002E-4</v>
      </c>
      <c r="O7">
        <v>-3.0300000000000001E-2</v>
      </c>
      <c r="P7">
        <v>2.5000000000000001E-3</v>
      </c>
      <c r="Q7">
        <v>-0.5131</v>
      </c>
      <c r="S7">
        <f t="shared" si="2"/>
        <v>77.541287881633721</v>
      </c>
      <c r="T7">
        <f xml:space="preserve"> -1.179402526298E-13*S7*S7*S7*S7 + 4.020234124929E-10*S7*S7*S7 - 0.0000004743246209058*S7*S7 + 0.09282817058921*S7 + 6490.328062797</f>
        <v>6497.5234099187128</v>
      </c>
      <c r="U7">
        <f>1-EXP(Q7)</f>
        <v>0.4013630750800472</v>
      </c>
      <c r="V7" t="s">
        <v>113</v>
      </c>
      <c r="W7">
        <v>2</v>
      </c>
      <c r="X7">
        <v>6496.8990000000003</v>
      </c>
      <c r="Y7" t="s">
        <v>114</v>
      </c>
      <c r="Z7">
        <f t="shared" si="3"/>
        <v>28.832674728951346</v>
      </c>
    </row>
    <row r="8" spans="1:27">
      <c r="A8">
        <v>7</v>
      </c>
      <c r="B8">
        <v>18660</v>
      </c>
      <c r="C8">
        <f t="shared" si="0"/>
        <v>23008.510174765353</v>
      </c>
      <c r="D8">
        <f t="shared" si="1"/>
        <v>0.8110042700837452</v>
      </c>
      <c r="G8">
        <v>100</v>
      </c>
      <c r="M8">
        <v>99.5</v>
      </c>
      <c r="N8">
        <v>1.5E-3</v>
      </c>
      <c r="O8">
        <v>-4.7399999999999998E-2</v>
      </c>
      <c r="P8">
        <v>1.0200000000000001E-2</v>
      </c>
      <c r="Q8">
        <v>-0.7177</v>
      </c>
      <c r="S8">
        <f t="shared" si="2"/>
        <v>99.60815014815887</v>
      </c>
      <c r="T8">
        <f xml:space="preserve"> -1.179402526298E-13*S8*S8*S8*S8 + 4.020234124929E-10*S8*S8*S8 - 0.0000004743246209058*S8*S8 + 0.09282817058921*S8 + 6490.328062797</f>
        <v>6499.5701847104683</v>
      </c>
      <c r="U8">
        <f>1-EXP(Q8)</f>
        <v>0.51212692540398308</v>
      </c>
      <c r="V8" t="s">
        <v>112</v>
      </c>
      <c r="W8">
        <v>1</v>
      </c>
      <c r="X8">
        <v>6498.9378999999999</v>
      </c>
      <c r="Z8">
        <f t="shared" si="3"/>
        <v>29.187140431141678</v>
      </c>
    </row>
    <row r="9" spans="1:27">
      <c r="A9">
        <v>8</v>
      </c>
      <c r="B9">
        <v>19909</v>
      </c>
      <c r="C9">
        <f t="shared" si="0"/>
        <v>23019.628114088384</v>
      </c>
      <c r="D9">
        <f t="shared" si="1"/>
        <v>0.8648706182970598</v>
      </c>
      <c r="G9">
        <v>156</v>
      </c>
      <c r="M9">
        <v>156</v>
      </c>
      <c r="N9">
        <v>3.3999999999999998E-3</v>
      </c>
      <c r="O9">
        <v>-8.3900000000000002E-2</v>
      </c>
      <c r="P9">
        <v>-2.6800000000000001E-2</v>
      </c>
      <c r="Q9">
        <v>-1.5365</v>
      </c>
      <c r="S9">
        <f t="shared" si="2"/>
        <v>155.84180723772567</v>
      </c>
      <c r="T9">
        <f xml:space="preserve"> -1.179402526298E-13*S9*S9*S9*S9 + 4.020234124929E-10*S9*S9*S9 - 0.0000004743246209058*S9*S9 + 0.09282817058921*S9 + 6490.328062797</f>
        <v>6504.7845049427533</v>
      </c>
      <c r="U9">
        <f>1-EXP(Q9)</f>
        <v>0.7848672501005084</v>
      </c>
      <c r="V9" t="s">
        <v>116</v>
      </c>
      <c r="W9">
        <v>1</v>
      </c>
      <c r="X9">
        <v>6504.1652999999997</v>
      </c>
      <c r="Z9">
        <f t="shared" si="3"/>
        <v>28.560387729736902</v>
      </c>
    </row>
    <row r="10" spans="1:27">
      <c r="A10">
        <v>9</v>
      </c>
      <c r="B10">
        <v>20764</v>
      </c>
      <c r="C10">
        <f t="shared" si="0"/>
        <v>23030.817203234772</v>
      </c>
      <c r="D10">
        <f t="shared" si="1"/>
        <v>0.90157460835057179</v>
      </c>
      <c r="G10">
        <v>283</v>
      </c>
      <c r="M10">
        <v>198</v>
      </c>
      <c r="N10">
        <v>6.7000000000000002E-3</v>
      </c>
      <c r="O10">
        <v>-8.5900000000000004E-2</v>
      </c>
      <c r="P10">
        <v>6.7100000000000007E-2</v>
      </c>
      <c r="Q10">
        <v>-1.2639</v>
      </c>
      <c r="S10">
        <f t="shared" ref="S10:S27" si="4">M10+(-2*O10-SQRT(4*O10*O10-12*N10*P10))/(6*N10)</f>
        <v>198.41026276019369</v>
      </c>
      <c r="T10">
        <f xml:space="preserve"> -1.179402526298E-13*S10*S10*S10*S10 + 4.020234124929E-10*S10*S10*S10 - 0.0000004743246209058*S10*S10 + 0.09282817058921*S10 + 6490.328062797</f>
        <v>6508.7304092783306</v>
      </c>
      <c r="U10">
        <f>1-EXP(Q10)</f>
        <v>0.71745006981632065</v>
      </c>
      <c r="V10" t="s">
        <v>117</v>
      </c>
      <c r="W10">
        <v>1</v>
      </c>
      <c r="X10">
        <v>6508.1205</v>
      </c>
      <c r="Z10">
        <f t="shared" si="3"/>
        <v>28.114535294698761</v>
      </c>
    </row>
    <row r="11" spans="1:27">
      <c r="A11">
        <v>10</v>
      </c>
      <c r="B11">
        <v>21646</v>
      </c>
      <c r="C11">
        <f t="shared" si="0"/>
        <v>23042.077048311097</v>
      </c>
      <c r="D11">
        <f t="shared" si="1"/>
        <v>0.93941184011389178</v>
      </c>
      <c r="G11">
        <v>403</v>
      </c>
      <c r="M11">
        <v>283</v>
      </c>
      <c r="N11">
        <v>4.0000000000000002E-4</v>
      </c>
      <c r="O11">
        <v>-8.6599999999999996E-2</v>
      </c>
      <c r="P11">
        <v>5.2900000000000003E-2</v>
      </c>
      <c r="Q11">
        <v>-1.0355000000000001</v>
      </c>
      <c r="S11">
        <f t="shared" si="4"/>
        <v>283.30607632366679</v>
      </c>
      <c r="T11">
        <f xml:space="preserve"> -1.179402526298E-13*S11*S11*S11*S11 + 4.020234124929E-10*S11*S11*S11 - 0.0000004743246209058*S11*S11 + 0.09282817058921*S11 + 6490.328062797</f>
        <v>6516.5971589348728</v>
      </c>
      <c r="U11">
        <f>1-EXP(Q11)</f>
        <v>0.64495118786961303</v>
      </c>
      <c r="V11" s="5" t="s">
        <v>141</v>
      </c>
      <c r="W11" s="5"/>
      <c r="X11" s="5"/>
      <c r="Y11" s="10" t="s">
        <v>142</v>
      </c>
      <c r="Z11" s="5"/>
    </row>
    <row r="12" spans="1:27">
      <c r="A12">
        <v>11</v>
      </c>
      <c r="B12">
        <v>22200</v>
      </c>
      <c r="C12">
        <f t="shared" si="0"/>
        <v>23053.407255987742</v>
      </c>
      <c r="D12">
        <f t="shared" si="1"/>
        <v>0.96298129614805272</v>
      </c>
      <c r="G12">
        <v>451</v>
      </c>
      <c r="M12">
        <v>402</v>
      </c>
      <c r="N12">
        <v>-3.0000000000000001E-3</v>
      </c>
      <c r="O12">
        <v>-4.2099999999999999E-2</v>
      </c>
      <c r="P12">
        <v>6.1400000000000003E-2</v>
      </c>
      <c r="Q12">
        <v>-1.2008000000000001</v>
      </c>
      <c r="S12">
        <f t="shared" si="4"/>
        <v>402.67981750000251</v>
      </c>
      <c r="T12">
        <f xml:space="preserve"> -1.179402526298E-13*S12*S12*S12*S12 + 4.020234124929E-10*S12*S12*S12 - 0.0000004743246209058*S12*S12 + 0.09282817058921*S12 + 6490.328062797</f>
        <v>6527.6543304605302</v>
      </c>
      <c r="U12">
        <f>1-EXP(Q12)</f>
        <v>0.69904664710087672</v>
      </c>
      <c r="V12" s="9" t="s">
        <v>140</v>
      </c>
      <c r="W12" s="3">
        <v>2</v>
      </c>
      <c r="X12">
        <v>6526.9840000000004</v>
      </c>
      <c r="Z12">
        <f>300000*(T12/X12-1)</f>
        <v>30.810423031346623</v>
      </c>
    </row>
    <row r="13" spans="1:27">
      <c r="A13">
        <v>12</v>
      </c>
      <c r="B13">
        <v>22669</v>
      </c>
      <c r="C13">
        <f t="shared" si="0"/>
        <v>23064.807433498856</v>
      </c>
      <c r="D13">
        <f t="shared" si="1"/>
        <v>0.98283933500680376</v>
      </c>
      <c r="G13">
        <v>520</v>
      </c>
      <c r="M13">
        <v>451</v>
      </c>
      <c r="N13">
        <v>8.6E-3</v>
      </c>
      <c r="O13">
        <v>-3.4700000000000002E-2</v>
      </c>
      <c r="P13">
        <v>-3.0800000000000001E-2</v>
      </c>
      <c r="Q13">
        <v>-1.1721999999999999</v>
      </c>
      <c r="S13">
        <f t="shared" si="4"/>
        <v>450.6121256487005</v>
      </c>
      <c r="T13">
        <f xml:space="preserve"> -1.179402526298E-13*S13*S13*S13*S13 + 4.020234124929E-10*S13*S13*S13 - 0.0000004743246209058*S13*S13 + 0.09282817058921*S13 + 6490.328062797</f>
        <v>6532.093171271038</v>
      </c>
      <c r="U13">
        <f>1-EXP(Q13)</f>
        <v>0.69031511546779623</v>
      </c>
      <c r="V13" t="s">
        <v>116</v>
      </c>
      <c r="W13">
        <v>1</v>
      </c>
      <c r="X13">
        <v>6531.4206999999997</v>
      </c>
      <c r="Z13">
        <f>300000*(T13/X13-1)</f>
        <v>30.887825264636071</v>
      </c>
    </row>
    <row r="14" spans="1:27">
      <c r="A14">
        <v>13</v>
      </c>
      <c r="B14">
        <v>23217</v>
      </c>
      <c r="C14">
        <f t="shared" si="0"/>
        <v>23076.277188642391</v>
      </c>
      <c r="D14">
        <f t="shared" si="1"/>
        <v>1.0060981591704432</v>
      </c>
      <c r="G14">
        <v>579</v>
      </c>
      <c r="M14">
        <v>466</v>
      </c>
      <c r="N14">
        <v>3.3999999999999998E-3</v>
      </c>
      <c r="O14">
        <v>-0.05</v>
      </c>
      <c r="P14">
        <v>-7.0000000000000001E-3</v>
      </c>
      <c r="Q14">
        <v>-1.3349</v>
      </c>
      <c r="S14">
        <f t="shared" si="4"/>
        <v>465.93049278776044</v>
      </c>
      <c r="T14">
        <f xml:space="preserve"> -1.179402526298E-13*S14*S14*S14*S14 + 4.020234124929E-10*S14*S14*S14 - 0.0000004743246209058*S14*S14 + 0.09282817058921*S14 + 6490.328062797</f>
        <v>6533.5116724281115</v>
      </c>
      <c r="U14">
        <f>1-EXP(Q14)</f>
        <v>0.73681550741059088</v>
      </c>
      <c r="V14" t="s">
        <v>118</v>
      </c>
      <c r="W14">
        <v>1</v>
      </c>
      <c r="X14">
        <v>6532.8730999999998</v>
      </c>
      <c r="Z14">
        <f>300000*(T14/X14-1)</f>
        <v>29.32426904687091</v>
      </c>
    </row>
    <row r="15" spans="1:27">
      <c r="A15">
        <v>14</v>
      </c>
      <c r="B15">
        <v>23656</v>
      </c>
      <c r="C15">
        <f t="shared" si="0"/>
        <v>23087.81612978008</v>
      </c>
      <c r="D15">
        <f t="shared" si="1"/>
        <v>1.0246096844771317</v>
      </c>
      <c r="G15">
        <v>610</v>
      </c>
      <c r="M15">
        <v>520.5</v>
      </c>
      <c r="N15">
        <v>4.7999999999999996E-3</v>
      </c>
      <c r="O15">
        <v>-6.6699999999999995E-2</v>
      </c>
      <c r="P15">
        <v>-1.6E-2</v>
      </c>
      <c r="Q15">
        <v>-1.3418000000000001</v>
      </c>
      <c r="S15">
        <f t="shared" si="4"/>
        <v>520.38157388547427</v>
      </c>
      <c r="T15">
        <f xml:space="preserve"> -1.179402526298E-13*S15*S15*S15*S15 + 4.020234124929E-10*S15*S15*S15 - 0.0000004743246209058*S15*S15 + 0.09282817058921*S15 + 6490.328062797</f>
        <v>6538.5536901944724</v>
      </c>
      <c r="U15">
        <f>1-EXP(Q15)</f>
        <v>0.73862522968753508</v>
      </c>
      <c r="V15" t="s">
        <v>115</v>
      </c>
      <c r="W15">
        <v>1</v>
      </c>
      <c r="X15">
        <v>6537.9210000000003</v>
      </c>
      <c r="Z15">
        <f>300000*(T15/X15-1)</f>
        <v>29.031714874117043</v>
      </c>
    </row>
    <row r="16" spans="1:27">
      <c r="A16">
        <v>15</v>
      </c>
      <c r="B16">
        <v>24137</v>
      </c>
      <c r="C16">
        <f t="shared" si="0"/>
        <v>23099.423865837442</v>
      </c>
      <c r="D16">
        <f t="shared" si="1"/>
        <v>1.0449178360546501</v>
      </c>
      <c r="G16">
        <v>669</v>
      </c>
      <c r="M16">
        <v>579</v>
      </c>
      <c r="N16">
        <v>5.7999999999999996E-3</v>
      </c>
      <c r="O16">
        <v>-4.7300000000000002E-2</v>
      </c>
      <c r="P16">
        <v>-1.8599999999999998E-2</v>
      </c>
      <c r="Q16">
        <v>-1.1102000000000001</v>
      </c>
      <c r="S16">
        <f t="shared" si="4"/>
        <v>578.81002114381477</v>
      </c>
      <c r="T16">
        <f xml:space="preserve"> -1.179402526298E-13*S16*S16*S16*S16 + 4.020234124929E-10*S16*S16*S16 - 0.0000004743246209058*S16*S16 + 0.09282817058921*S16 + 6490.328062797</f>
        <v>6543.9637497241883</v>
      </c>
      <c r="U16">
        <f>1-EXP(Q16)</f>
        <v>0.67050694412628609</v>
      </c>
      <c r="V16" t="s">
        <v>116</v>
      </c>
      <c r="W16">
        <v>1</v>
      </c>
      <c r="X16">
        <v>6543.5037000000002</v>
      </c>
      <c r="Y16" s="5" t="s">
        <v>139</v>
      </c>
      <c r="Z16" s="5"/>
    </row>
    <row r="17" spans="1:26">
      <c r="A17">
        <v>16</v>
      </c>
      <c r="B17">
        <v>24037</v>
      </c>
      <c r="C17">
        <f t="shared" si="0"/>
        <v>23111.100006303783</v>
      </c>
      <c r="D17">
        <f t="shared" si="1"/>
        <v>1.0400629997466009</v>
      </c>
      <c r="G17">
        <v>697</v>
      </c>
      <c r="M17">
        <v>610.5</v>
      </c>
      <c r="N17">
        <v>5.9999999999999995E-4</v>
      </c>
      <c r="O17">
        <v>-4.9500000000000002E-2</v>
      </c>
      <c r="P17">
        <v>-2.07E-2</v>
      </c>
      <c r="Q17">
        <v>-0.82399999999999995</v>
      </c>
      <c r="S17">
        <f t="shared" si="4"/>
        <v>610.29169799500517</v>
      </c>
      <c r="T17">
        <f xml:space="preserve"> -1.179402526298E-13*S17*S17*S17*S17 + 4.020234124929E-10*S17*S17*S17 - 0.0000004743246209058*S17*S17 + 0.09282817058921*S17 + 6490.328062797</f>
        <v>6546.878681186362</v>
      </c>
      <c r="U17">
        <f>1-EXP(Q17)</f>
        <v>0.56132655335203219</v>
      </c>
      <c r="V17" t="s">
        <v>119</v>
      </c>
      <c r="W17">
        <v>1</v>
      </c>
      <c r="X17">
        <v>6546.2529999999997</v>
      </c>
      <c r="Y17" t="s">
        <v>114</v>
      </c>
      <c r="Z17">
        <f t="shared" ref="Z17:Z24" si="5">300000*(T17/X17-1)</f>
        <v>28.67355659927906</v>
      </c>
    </row>
    <row r="18" spans="1:26">
      <c r="A18">
        <v>17</v>
      </c>
      <c r="B18">
        <v>23682</v>
      </c>
      <c r="C18">
        <f t="shared" si="0"/>
        <v>23122.844161232199</v>
      </c>
      <c r="D18">
        <f t="shared" si="1"/>
        <v>1.0241819663216554</v>
      </c>
      <c r="G18">
        <v>716</v>
      </c>
      <c r="M18">
        <v>669</v>
      </c>
      <c r="N18">
        <v>2.8999999999999998E-3</v>
      </c>
      <c r="O18">
        <v>-2.6800000000000001E-2</v>
      </c>
      <c r="P18">
        <v>-2.1399999999999999E-2</v>
      </c>
      <c r="Q18">
        <v>-0.96179999999999999</v>
      </c>
      <c r="S18">
        <f t="shared" si="4"/>
        <v>668.62372684577167</v>
      </c>
      <c r="T18">
        <f xml:space="preserve"> -1.179402526298E-13*S18*S18*S18*S18 + 4.020234124929E-10*S18*S18*S18 - 0.0000004743246209058*S18*S18 + 0.09282817058921*S18 + 6490.328062797</f>
        <v>6552.2797282733945</v>
      </c>
      <c r="U18">
        <f>1-EXP(Q18)</f>
        <v>0.61779570130517236</v>
      </c>
      <c r="V18" t="s">
        <v>112</v>
      </c>
      <c r="W18">
        <v>1</v>
      </c>
      <c r="X18">
        <v>6551.6767</v>
      </c>
      <c r="Z18">
        <f t="shared" si="5"/>
        <v>27.612547184818759</v>
      </c>
    </row>
    <row r="19" spans="1:26">
      <c r="A19">
        <v>18</v>
      </c>
      <c r="B19">
        <v>22461</v>
      </c>
      <c r="C19">
        <f t="shared" si="0"/>
        <v>23134.655941239562</v>
      </c>
      <c r="D19">
        <f t="shared" si="1"/>
        <v>0.9708810909939356</v>
      </c>
      <c r="G19">
        <v>859</v>
      </c>
      <c r="M19">
        <v>696.5</v>
      </c>
      <c r="N19">
        <v>-5.9999999999999995E-4</v>
      </c>
      <c r="O19">
        <v>-4.6100000000000002E-2</v>
      </c>
      <c r="P19">
        <v>5.7000000000000002E-3</v>
      </c>
      <c r="Q19">
        <v>-0.96160000000000001</v>
      </c>
      <c r="S19">
        <f t="shared" si="4"/>
        <v>696.56174768981612</v>
      </c>
      <c r="T19">
        <f xml:space="preserve"> -1.179402526298E-13*S19*S19*S19*S19 + 4.020234124929E-10*S19*S19*S19 - 0.0000004743246209058*S19*S19 + 0.09282817058921*S19 + 6490.328062797</f>
        <v>6554.8665809452568</v>
      </c>
      <c r="U19">
        <f>1-EXP(Q19)</f>
        <v>0.61771925280083773</v>
      </c>
      <c r="V19" t="s">
        <v>117</v>
      </c>
      <c r="W19">
        <v>1</v>
      </c>
      <c r="X19">
        <v>6554.223</v>
      </c>
      <c r="Z19">
        <f t="shared" si="5"/>
        <v>29.457997321258311</v>
      </c>
    </row>
    <row r="20" spans="1:26">
      <c r="A20">
        <v>19</v>
      </c>
      <c r="B20">
        <v>21199</v>
      </c>
      <c r="C20">
        <f t="shared" si="0"/>
        <v>23146.534957506545</v>
      </c>
      <c r="D20">
        <f t="shared" si="1"/>
        <v>0.91586062617657815</v>
      </c>
      <c r="G20">
        <v>897</v>
      </c>
      <c r="M20">
        <v>716</v>
      </c>
      <c r="N20">
        <v>-1.6999999999999999E-3</v>
      </c>
      <c r="O20">
        <v>-4.5100000000000001E-2</v>
      </c>
      <c r="P20">
        <v>1.7999999999999999E-2</v>
      </c>
      <c r="Q20">
        <v>-0.74409999999999998</v>
      </c>
      <c r="S20">
        <f t="shared" si="4"/>
        <v>716.19735433979247</v>
      </c>
      <c r="T20">
        <f xml:space="preserve"> -1.179402526298E-13*S20*S20*S20*S20 + 4.020234124929E-10*S20*S20*S20 - 0.0000004743246209058*S20*S20 + 0.09282817058921*S20 + 6490.328062797</f>
        <v>6556.6847122085201</v>
      </c>
      <c r="U20">
        <f>1-EXP(Q20)</f>
        <v>0.52483824686505698</v>
      </c>
      <c r="V20" t="s">
        <v>117</v>
      </c>
      <c r="W20">
        <v>1</v>
      </c>
      <c r="X20">
        <v>6556.0618000000004</v>
      </c>
      <c r="Z20">
        <f t="shared" si="5"/>
        <v>28.503950733926864</v>
      </c>
    </row>
    <row r="21" spans="1:26">
      <c r="A21">
        <v>20</v>
      </c>
      <c r="B21">
        <v>20274</v>
      </c>
      <c r="C21">
        <f t="shared" si="0"/>
        <v>23158.480821777601</v>
      </c>
      <c r="D21">
        <f t="shared" si="1"/>
        <v>0.87544602584358144</v>
      </c>
      <c r="G21">
        <v>913</v>
      </c>
      <c r="M21">
        <v>821</v>
      </c>
      <c r="N21">
        <v>-6.4999999999999997E-3</v>
      </c>
      <c r="O21">
        <v>-4.1799999999999997E-2</v>
      </c>
      <c r="P21">
        <v>3.8100000000000002E-2</v>
      </c>
      <c r="Q21">
        <v>-1.5858000000000001</v>
      </c>
      <c r="S21">
        <f t="shared" si="4"/>
        <v>821.41547710639077</v>
      </c>
      <c r="T21">
        <f xml:space="preserve"> -1.179402526298E-13*S21*S21*S21*S21 + 4.020234124929E-10*S21*S21*S21 - 0.0000004743246209058*S21*S21 + 0.09282817058921*S21 + 6490.328062797</f>
        <v>6566.4276411469682</v>
      </c>
      <c r="U21">
        <f>1-EXP(Q21)</f>
        <v>0.79521609955188777</v>
      </c>
      <c r="V21" t="s">
        <v>116</v>
      </c>
      <c r="W21">
        <v>1</v>
      </c>
      <c r="X21">
        <v>6565.8829999999998</v>
      </c>
      <c r="Z21">
        <f t="shared" si="5"/>
        <v>24.88505264113261</v>
      </c>
    </row>
    <row r="22" spans="1:26">
      <c r="A22">
        <v>21</v>
      </c>
      <c r="B22">
        <v>19984</v>
      </c>
      <c r="C22">
        <f t="shared" si="0"/>
        <v>23170.493146360965</v>
      </c>
      <c r="D22">
        <f t="shared" si="1"/>
        <v>0.86247624829420522</v>
      </c>
      <c r="G22">
        <v>987</v>
      </c>
      <c r="M22">
        <v>858.5</v>
      </c>
      <c r="N22">
        <v>-6.9999999999999999E-4</v>
      </c>
      <c r="O22">
        <v>-3.3599999999999998E-2</v>
      </c>
      <c r="P22">
        <v>1.14E-2</v>
      </c>
      <c r="Q22">
        <v>-1.2358</v>
      </c>
      <c r="S22">
        <f t="shared" si="4"/>
        <v>858.66875293362386</v>
      </c>
      <c r="T22">
        <f xml:space="preserve"> -1.179402526298E-13*S22*S22*S22*S22 + 4.020234124929E-10*S22*S22*S22 - 0.0000004743246209058*S22*S22 + 0.09282817058921*S22 + 6490.328062797</f>
        <v>6569.8773950373106</v>
      </c>
      <c r="U22">
        <f>1-EXP(Q22)</f>
        <v>0.70939781239973165</v>
      </c>
      <c r="V22" t="s">
        <v>120</v>
      </c>
      <c r="W22">
        <v>1</v>
      </c>
      <c r="X22">
        <v>6569.2145</v>
      </c>
      <c r="Y22" t="s">
        <v>114</v>
      </c>
      <c r="Z22">
        <f t="shared" si="5"/>
        <v>30.272799159325459</v>
      </c>
    </row>
    <row r="23" spans="1:26">
      <c r="A23">
        <v>22</v>
      </c>
      <c r="B23">
        <v>20525</v>
      </c>
      <c r="C23">
        <f t="shared" si="0"/>
        <v>23182.571544128663</v>
      </c>
      <c r="D23">
        <f t="shared" si="1"/>
        <v>0.88536338433939898</v>
      </c>
      <c r="G23">
        <v>1043</v>
      </c>
      <c r="M23">
        <v>897</v>
      </c>
      <c r="N23" s="7">
        <v>5.0000000000000002E-5</v>
      </c>
      <c r="O23">
        <v>-4.8500000000000001E-2</v>
      </c>
      <c r="P23">
        <v>9.4000000000000004E-3</v>
      </c>
      <c r="Q23">
        <v>-0.72319999999999995</v>
      </c>
      <c r="S23">
        <f t="shared" si="4"/>
        <v>897.09692174302722</v>
      </c>
      <c r="T23">
        <f xml:space="preserve"> -1.179402526298E-13*S23*S23*S23*S23 + 4.020234124929E-10*S23*S23*S23 - 0.0000004743246209058*S23*S23 + 0.09282817058921*S23 + 6490.328062797</f>
        <v>6573.4360616741187</v>
      </c>
      <c r="U23">
        <f>1-EXP(Q23)</f>
        <v>0.51480286174374079</v>
      </c>
      <c r="V23" t="s">
        <v>121</v>
      </c>
      <c r="W23">
        <v>1</v>
      </c>
      <c r="X23">
        <v>6572.826</v>
      </c>
      <c r="Y23" t="s">
        <v>114</v>
      </c>
      <c r="Z23">
        <f t="shared" si="5"/>
        <v>27.84472040420205</v>
      </c>
    </row>
    <row r="24" spans="1:26">
      <c r="A24">
        <v>23</v>
      </c>
      <c r="B24">
        <v>21133</v>
      </c>
      <c r="C24">
        <f t="shared" si="0"/>
        <v>23194.715628516511</v>
      </c>
      <c r="D24">
        <f t="shared" si="1"/>
        <v>0.91111270077475082</v>
      </c>
      <c r="G24">
        <v>1114</v>
      </c>
      <c r="M24">
        <v>912.5</v>
      </c>
      <c r="N24">
        <v>2.3999999999999998E-3</v>
      </c>
      <c r="O24">
        <v>-5.5800000000000002E-2</v>
      </c>
      <c r="P24">
        <v>1.26E-2</v>
      </c>
      <c r="Q24">
        <v>-0.76419999999999999</v>
      </c>
      <c r="S24">
        <f t="shared" si="4"/>
        <v>912.6137378253494</v>
      </c>
      <c r="T24">
        <f xml:space="preserve"> -1.179402526298E-13*S24*S24*S24*S24 + 4.020234124929E-10*S24*S24*S24 - 0.0000004743246209058*S24*S24 + 0.09282817058921*S24 + 6490.328062797</f>
        <v>6574.8730391723911</v>
      </c>
      <c r="U24">
        <f>1-EXP(Q24)</f>
        <v>0.53429365293433273</v>
      </c>
      <c r="V24" t="s">
        <v>112</v>
      </c>
      <c r="W24">
        <v>1</v>
      </c>
      <c r="X24">
        <v>6574.2262000000001</v>
      </c>
      <c r="Z24">
        <f t="shared" si="5"/>
        <v>29.517048214300345</v>
      </c>
    </row>
    <row r="25" spans="1:26">
      <c r="A25">
        <v>24</v>
      </c>
      <c r="B25">
        <v>21930</v>
      </c>
      <c r="C25">
        <f t="shared" si="0"/>
        <v>23206.925013524109</v>
      </c>
      <c r="D25">
        <f t="shared" si="1"/>
        <v>0.94497655278413806</v>
      </c>
      <c r="G25">
        <v>1125</v>
      </c>
      <c r="M25">
        <v>921</v>
      </c>
      <c r="N25">
        <v>-3.8999999999999998E-3</v>
      </c>
      <c r="O25">
        <v>-4.1399999999999999E-2</v>
      </c>
      <c r="P25">
        <v>2.9399999999999999E-2</v>
      </c>
      <c r="Q25">
        <v>-1.0648</v>
      </c>
      <c r="S25">
        <f t="shared" si="4"/>
        <v>921.33884816956959</v>
      </c>
      <c r="T25">
        <f xml:space="preserve"> -1.179402526298E-13*S25*S25*S25*S25 + 4.020234124929E-10*S25*S25*S25 - 0.0000004743246209058*S25*S25 + 0.09282817058921*S25 + 6490.328062797</f>
        <v>6575.6810599100791</v>
      </c>
      <c r="U25">
        <f>1-EXP(Q25)</f>
        <v>0.65520319276680961</v>
      </c>
      <c r="V25" t="s">
        <v>137</v>
      </c>
      <c r="Y25" s="5" t="s">
        <v>138</v>
      </c>
      <c r="Z25" s="5"/>
    </row>
    <row r="26" spans="1:26">
      <c r="A26">
        <v>25</v>
      </c>
      <c r="B26">
        <v>22235</v>
      </c>
      <c r="C26">
        <f t="shared" si="0"/>
        <v>23219.199313714842</v>
      </c>
      <c r="D26">
        <f t="shared" si="1"/>
        <v>0.95761269368433788</v>
      </c>
      <c r="G26">
        <v>1181</v>
      </c>
      <c r="M26">
        <v>937</v>
      </c>
      <c r="N26">
        <v>-3.0000000000000001E-3</v>
      </c>
      <c r="O26">
        <v>-4.7E-2</v>
      </c>
      <c r="P26">
        <v>2.64E-2</v>
      </c>
      <c r="Q26">
        <v>-1.6626000000000001</v>
      </c>
      <c r="S26">
        <f t="shared" si="4"/>
        <v>937.27367973028788</v>
      </c>
      <c r="T26">
        <f xml:space="preserve"> -1.179402526298E-13*S26*S26*S26*S26 + 4.020234124929E-10*S26*S26*S26 - 0.0000004743246209058*S26*S26 + 0.09282817058921*S26 + 6490.328062797</f>
        <v>6577.1567773525139</v>
      </c>
      <c r="U26">
        <f>1-EXP(Q26)</f>
        <v>0.81035473913360934</v>
      </c>
      <c r="V26" t="s">
        <v>122</v>
      </c>
      <c r="W26">
        <v>1</v>
      </c>
      <c r="X26">
        <v>6576.56</v>
      </c>
      <c r="Y26" t="s">
        <v>123</v>
      </c>
      <c r="Z26">
        <f t="shared" ref="Z26:Z37" si="6">300000*(T26/X26-1)</f>
        <v>27.222925929959452</v>
      </c>
    </row>
    <row r="27" spans="1:26">
      <c r="A27">
        <v>26</v>
      </c>
      <c r="B27">
        <v>21875</v>
      </c>
      <c r="C27">
        <f t="shared" si="0"/>
        <v>23231.538144215883</v>
      </c>
      <c r="D27">
        <f t="shared" si="1"/>
        <v>0.94160790663989546</v>
      </c>
      <c r="G27">
        <v>1240</v>
      </c>
      <c r="M27">
        <v>987</v>
      </c>
      <c r="N27">
        <v>-1.2999999999999999E-3</v>
      </c>
      <c r="O27">
        <v>-3.2899999999999999E-2</v>
      </c>
      <c r="P27">
        <v>1.95E-2</v>
      </c>
      <c r="Q27">
        <v>-0.93130000000000002</v>
      </c>
      <c r="S27">
        <f t="shared" si="4"/>
        <v>987.29132237048884</v>
      </c>
      <c r="T27">
        <f xml:space="preserve"> -1.179402526298E-13*S27*S27*S27*S27 + 4.020234124929E-10*S27*S27*S27 - 0.0000004743246209058*S27*S27 + 0.09282817058921*S27 + 6490.328062797</f>
        <v>6581.7889966414941</v>
      </c>
      <c r="U27">
        <f>1-EXP(Q27)</f>
        <v>0.60595887619842215</v>
      </c>
      <c r="V27" t="s">
        <v>112</v>
      </c>
      <c r="W27">
        <v>1</v>
      </c>
      <c r="X27">
        <v>6581.2088000000003</v>
      </c>
      <c r="Y27" t="s">
        <v>124</v>
      </c>
      <c r="Z27">
        <f t="shared" si="6"/>
        <v>26.447875722812597</v>
      </c>
    </row>
    <row r="28" spans="1:26">
      <c r="A28">
        <v>27</v>
      </c>
      <c r="B28">
        <v>21416</v>
      </c>
      <c r="C28">
        <f t="shared" si="0"/>
        <v>23243.941120718187</v>
      </c>
      <c r="D28">
        <f t="shared" si="1"/>
        <v>0.92135838276199744</v>
      </c>
      <c r="G28">
        <v>1255</v>
      </c>
      <c r="M28">
        <v>1043</v>
      </c>
      <c r="N28">
        <v>-4.0000000000000002E-4</v>
      </c>
      <c r="O28">
        <v>-6.6699999999999995E-2</v>
      </c>
      <c r="P28">
        <v>-2.5600000000000001E-2</v>
      </c>
      <c r="Q28">
        <v>-1.3067</v>
      </c>
      <c r="S28">
        <f t="shared" si="2"/>
        <v>1042.8077635244751</v>
      </c>
      <c r="T28">
        <f xml:space="preserve"> -1.179402526298E-13*S28*S28*S28*S28 + 4.020234124929E-10*S28*S28*S28 - 0.0000004743246209058*S28*S28 + 0.09282817058921*S28 + 6490.328062797</f>
        <v>6586.9306211877183</v>
      </c>
      <c r="U28">
        <f>1-EXP(Q28)</f>
        <v>0.72928806664161527</v>
      </c>
      <c r="V28" t="s">
        <v>118</v>
      </c>
      <c r="W28">
        <v>1</v>
      </c>
      <c r="X28">
        <v>6586.3099000000002</v>
      </c>
      <c r="Z28">
        <f t="shared" si="6"/>
        <v>28.273245435261884</v>
      </c>
    </row>
    <row r="29" spans="1:26">
      <c r="A29">
        <v>28</v>
      </c>
      <c r="B29">
        <v>20859</v>
      </c>
      <c r="C29">
        <f t="shared" si="0"/>
        <v>23256.407859476509</v>
      </c>
      <c r="D29">
        <f t="shared" si="1"/>
        <v>0.89691409464597882</v>
      </c>
      <c r="G29">
        <v>1277</v>
      </c>
      <c r="M29">
        <v>1114.5</v>
      </c>
      <c r="N29">
        <v>-2.0000000000000001E-4</v>
      </c>
      <c r="O29">
        <v>-3.9699999999999999E-2</v>
      </c>
      <c r="P29">
        <v>-2.1999999999999999E-2</v>
      </c>
      <c r="Q29">
        <v>-0.88300000000000001</v>
      </c>
      <c r="S29">
        <f t="shared" si="2"/>
        <v>1114.2223393291072</v>
      </c>
      <c r="T29">
        <f xml:space="preserve"> -1.179402526298E-13*S29*S29*S29*S29 + 4.020234124929E-10*S29*S29*S29 - 0.0000004743246209058*S29*S29 + 0.09282817058921*S29 + 6490.328062797</f>
        <v>6593.544750787084</v>
      </c>
      <c r="U29">
        <f>1-EXP(Q29)</f>
        <v>0.58645957239548485</v>
      </c>
      <c r="V29" t="s">
        <v>112</v>
      </c>
      <c r="W29">
        <v>1</v>
      </c>
      <c r="X29">
        <v>6592.9120000000003</v>
      </c>
      <c r="Z29">
        <f t="shared" si="6"/>
        <v>28.792320620230072</v>
      </c>
    </row>
    <row r="30" spans="1:26">
      <c r="A30">
        <v>29</v>
      </c>
      <c r="B30">
        <v>20955</v>
      </c>
      <c r="C30">
        <f t="shared" si="0"/>
        <v>23268.937977309371</v>
      </c>
      <c r="D30">
        <f t="shared" si="1"/>
        <v>0.90055678606536316</v>
      </c>
      <c r="G30">
        <v>1340</v>
      </c>
      <c r="M30">
        <v>1124.5</v>
      </c>
      <c r="N30">
        <v>5.0000000000000001E-4</v>
      </c>
      <c r="O30">
        <v>-4.8599999999999997E-2</v>
      </c>
      <c r="P30">
        <v>1.23E-2</v>
      </c>
      <c r="Q30">
        <v>-0.91169999999999995</v>
      </c>
      <c r="S30">
        <f t="shared" si="2"/>
        <v>1124.6267912968046</v>
      </c>
      <c r="T30">
        <f xml:space="preserve"> -1.179402526298E-13*S30*S30*S30*S30 + 4.020234124929E-10*S30*S30*S30 - 0.0000004743246209058*S30*S30 + 0.09282817058921*S30 + 6490.328062797</f>
        <v>6594.508367398772</v>
      </c>
      <c r="U30">
        <f>1-EXP(Q30)</f>
        <v>0.59815948582917766</v>
      </c>
      <c r="V30" t="s">
        <v>112</v>
      </c>
      <c r="W30">
        <v>1</v>
      </c>
      <c r="X30">
        <v>6593.8690999999999</v>
      </c>
      <c r="Z30">
        <f t="shared" si="6"/>
        <v>29.084626449704665</v>
      </c>
    </row>
    <row r="31" spans="1:26">
      <c r="A31">
        <v>30</v>
      </c>
      <c r="B31">
        <v>21590</v>
      </c>
      <c r="C31">
        <f t="shared" si="0"/>
        <v>23281.531091599099</v>
      </c>
      <c r="D31">
        <f t="shared" si="1"/>
        <v>0.92734450818788838</v>
      </c>
      <c r="G31">
        <v>1460</v>
      </c>
      <c r="M31">
        <v>1181</v>
      </c>
      <c r="N31">
        <v>-4.4000000000000003E-3</v>
      </c>
      <c r="O31">
        <v>-6.13E-2</v>
      </c>
      <c r="P31">
        <v>-4.2299999999999997E-2</v>
      </c>
      <c r="Q31">
        <v>-0.86270000000000002</v>
      </c>
      <c r="S31">
        <f t="shared" si="2"/>
        <v>1180.6411075883045</v>
      </c>
      <c r="T31">
        <f xml:space="preserve"> -1.179402526298E-13*S31*S31*S31*S31 + 4.020234124929E-10*S31*S31*S31 - 0.0000004743246209058*S31*S31 + 0.09282817058921*S31 + 6490.328062797</f>
        <v>6599.6961067508792</v>
      </c>
      <c r="U31">
        <f>1-EXP(Q31)</f>
        <v>0.5779789142659657</v>
      </c>
      <c r="V31" t="s">
        <v>117</v>
      </c>
      <c r="W31">
        <v>1</v>
      </c>
      <c r="X31">
        <v>6599.1048000000001</v>
      </c>
      <c r="Z31">
        <f t="shared" si="6"/>
        <v>26.88122565708273</v>
      </c>
    </row>
    <row r="32" spans="1:26">
      <c r="A32">
        <v>31</v>
      </c>
      <c r="B32">
        <v>22074</v>
      </c>
      <c r="C32">
        <f t="shared" si="0"/>
        <v>23294.186820291798</v>
      </c>
      <c r="D32">
        <f t="shared" si="1"/>
        <v>0.94761839811343485</v>
      </c>
      <c r="G32">
        <v>1515</v>
      </c>
      <c r="M32">
        <v>1240</v>
      </c>
      <c r="N32">
        <v>3.0000000000000001E-3</v>
      </c>
      <c r="O32">
        <v>-9.7799999999999998E-2</v>
      </c>
      <c r="P32">
        <v>5.1299999999999998E-2</v>
      </c>
      <c r="Q32">
        <v>-1.5780000000000001</v>
      </c>
      <c r="S32">
        <f t="shared" si="2"/>
        <v>1240.2655136895398</v>
      </c>
      <c r="T32">
        <f xml:space="preserve"> -1.179402526298E-13*S32*S32*S32*S32 + 4.020234124929E-10*S32*S32*S32 - 0.0000004743246209058*S32*S32 + 0.09282817058921*S32 + 6490.328062797</f>
        <v>6605.2179326851419</v>
      </c>
      <c r="U32">
        <f>1-EXP(Q32)</f>
        <v>0.79361253937373955</v>
      </c>
      <c r="V32" t="s">
        <v>125</v>
      </c>
      <c r="W32">
        <v>2</v>
      </c>
      <c r="X32">
        <v>6604.6009999999997</v>
      </c>
      <c r="Z32">
        <f t="shared" si="6"/>
        <v>28.022859449450266</v>
      </c>
    </row>
    <row r="33" spans="1:28">
      <c r="A33">
        <v>32</v>
      </c>
      <c r="B33">
        <v>22469</v>
      </c>
      <c r="C33">
        <f t="shared" si="0"/>
        <v>23306.904781897359</v>
      </c>
      <c r="D33">
        <f t="shared" si="1"/>
        <v>0.96404907516727978</v>
      </c>
      <c r="M33">
        <v>1255</v>
      </c>
      <c r="N33">
        <v>-3.0999999999999999E-3</v>
      </c>
      <c r="O33">
        <v>-6.7900000000000002E-2</v>
      </c>
      <c r="P33">
        <v>1.55E-2</v>
      </c>
      <c r="Q33">
        <v>-1.4067000000000001</v>
      </c>
      <c r="S33">
        <f t="shared" si="2"/>
        <v>1255.1132599507152</v>
      </c>
      <c r="T33">
        <f xml:space="preserve"> -1.179402526298E-13*S33*S33*S33*S33 + 4.020234124929E-10*S33*S33*S33 - 0.0000004743246209058*S33*S33 + 0.09282817058921*S33 + 6490.328062797</f>
        <v>6606.5929194670416</v>
      </c>
      <c r="U33">
        <f>1-EXP(Q33)</f>
        <v>0.75504971318847647</v>
      </c>
      <c r="V33" t="s">
        <v>116</v>
      </c>
      <c r="W33">
        <v>1</v>
      </c>
      <c r="X33">
        <v>6605.9736999999996</v>
      </c>
      <c r="Z33">
        <f t="shared" si="6"/>
        <v>28.120887025706587</v>
      </c>
    </row>
    <row r="34" spans="1:28">
      <c r="A34">
        <v>33</v>
      </c>
      <c r="B34">
        <v>23200</v>
      </c>
      <c r="C34">
        <f t="shared" si="0"/>
        <v>23319.68459548946</v>
      </c>
      <c r="D34">
        <f t="shared" si="1"/>
        <v>0.99486765805088939</v>
      </c>
      <c r="M34">
        <v>1276.5</v>
      </c>
      <c r="N34" s="7">
        <v>-6.9999999999999994E-5</v>
      </c>
      <c r="O34">
        <v>-6.5000000000000002E-2</v>
      </c>
      <c r="P34">
        <v>1.34E-2</v>
      </c>
      <c r="Q34">
        <v>-1.3129999999999999</v>
      </c>
      <c r="S34">
        <f t="shared" si="2"/>
        <v>1276.6030597655677</v>
      </c>
      <c r="T34">
        <f xml:space="preserve"> -1.179402526298E-13*S34*S34*S34*S34 + 4.020234124929E-10*S34*S34*S34 - 0.0000004743246209058*S34*S34 + 0.09282817058921*S34 + 6490.328062797</f>
        <v>6608.5829388071606</v>
      </c>
      <c r="U34">
        <f>1-EXP(Q34)</f>
        <v>0.73098819080749355</v>
      </c>
      <c r="V34" t="s">
        <v>112</v>
      </c>
      <c r="W34">
        <v>1</v>
      </c>
      <c r="X34">
        <v>6608.0245999999997</v>
      </c>
      <c r="Y34" t="s">
        <v>124</v>
      </c>
      <c r="Z34">
        <f t="shared" si="6"/>
        <v>25.348217097787007</v>
      </c>
      <c r="AB34" s="1" t="s">
        <v>191</v>
      </c>
    </row>
    <row r="35" spans="1:28">
      <c r="A35">
        <v>34</v>
      </c>
      <c r="B35">
        <v>23628</v>
      </c>
      <c r="C35">
        <f t="shared" si="0"/>
        <v>23332.525880705572</v>
      </c>
      <c r="D35">
        <f t="shared" si="1"/>
        <v>1.0126636147670049</v>
      </c>
      <c r="M35">
        <v>1339.5</v>
      </c>
      <c r="N35">
        <v>-1.2999999999999999E-3</v>
      </c>
      <c r="O35">
        <v>-6.8599999999999994E-2</v>
      </c>
      <c r="P35">
        <v>4.1999999999999997E-3</v>
      </c>
      <c r="Q35">
        <v>-1.0470999999999999</v>
      </c>
      <c r="S35">
        <f t="shared" si="2"/>
        <v>1339.5305856532034</v>
      </c>
      <c r="T35">
        <f xml:space="preserve"> -1.179402526298E-13*S35*S35*S35*S35 + 4.020234124929E-10*S35*S35*S35 - 0.0000004743246209058*S35*S35 + 0.09282817058921*S35 + 6490.328062797</f>
        <v>6614.4097017833856</v>
      </c>
      <c r="U35">
        <f>1-EXP(Q35)</f>
        <v>0.6490459585047168</v>
      </c>
      <c r="V35" t="s">
        <v>112</v>
      </c>
      <c r="W35">
        <v>1</v>
      </c>
      <c r="X35">
        <v>6613.8244999999997</v>
      </c>
      <c r="Z35">
        <f t="shared" si="6"/>
        <v>26.544480431245354</v>
      </c>
      <c r="AB35" s="1">
        <f>AVERAGE(Z4:Z37)</f>
        <v>28.408507101096436</v>
      </c>
    </row>
    <row r="36" spans="1:28">
      <c r="A36">
        <v>35</v>
      </c>
      <c r="B36">
        <v>23649</v>
      </c>
      <c r="C36">
        <f t="shared" si="0"/>
        <v>23345.428257746942</v>
      </c>
      <c r="D36">
        <f t="shared" si="1"/>
        <v>1.0130034771220067</v>
      </c>
      <c r="M36">
        <v>1460.5</v>
      </c>
      <c r="N36">
        <v>-2.9999999999999997E-4</v>
      </c>
      <c r="O36">
        <v>-6.6500000000000004E-2</v>
      </c>
      <c r="P36">
        <v>7.4000000000000003E-3</v>
      </c>
      <c r="Q36">
        <v>-0.89449999999999996</v>
      </c>
      <c r="S36">
        <f t="shared" si="2"/>
        <v>1460.5556181650959</v>
      </c>
      <c r="T36">
        <f xml:space="preserve"> -1.179402526298E-13*S36*S36*S36*S36 + 4.020234124929E-10*S36*S36*S36 - 0.0000004743246209058*S36*S36 + 0.09282817058921*S36 + 6490.328062797</f>
        <v>6625.6128057841543</v>
      </c>
      <c r="U36">
        <f>1-EXP(Q36)</f>
        <v>0.5911880464753676</v>
      </c>
      <c r="V36" s="9" t="s">
        <v>112</v>
      </c>
      <c r="W36" s="3">
        <v>1</v>
      </c>
      <c r="X36">
        <v>6625.0210999999999</v>
      </c>
      <c r="Z36">
        <f t="shared" si="6"/>
        <v>26.794138851315985</v>
      </c>
    </row>
    <row r="37" spans="1:28">
      <c r="A37">
        <v>36</v>
      </c>
      <c r="B37">
        <v>23494</v>
      </c>
      <c r="C37">
        <f t="shared" si="0"/>
        <v>23358.391347378612</v>
      </c>
      <c r="D37">
        <f t="shared" si="1"/>
        <v>1.0058055647156801</v>
      </c>
      <c r="M37">
        <v>1515</v>
      </c>
      <c r="N37">
        <v>2.3999999999999998E-3</v>
      </c>
      <c r="O37">
        <v>-0.10589999999999999</v>
      </c>
      <c r="P37">
        <v>6.7000000000000002E-3</v>
      </c>
      <c r="Q37">
        <v>-1.2782</v>
      </c>
      <c r="S37">
        <f t="shared" si="2"/>
        <v>1515.0316677076237</v>
      </c>
      <c r="T37">
        <f xml:space="preserve"> -1.179402526298E-13*S37*S37*S37*S37 + 4.020234124929E-10*S37*S37*S37 - 0.0000004743246209058*S37*S37 + 0.09282817058921*S37 + 6490.328062797</f>
        <v>6630.653615592827</v>
      </c>
      <c r="U37">
        <f>1-EXP(Q37)</f>
        <v>0.72146178171518949</v>
      </c>
      <c r="V37" t="s">
        <v>115</v>
      </c>
      <c r="W37">
        <v>1</v>
      </c>
      <c r="X37">
        <v>6630.01</v>
      </c>
      <c r="Z37">
        <f t="shared" si="6"/>
        <v>29.12283357763279</v>
      </c>
    </row>
    <row r="38" spans="1:28">
      <c r="A38">
        <v>37</v>
      </c>
      <c r="B38">
        <v>23116</v>
      </c>
      <c r="C38">
        <f t="shared" si="0"/>
        <v>23371.414770929408</v>
      </c>
      <c r="D38">
        <f t="shared" si="1"/>
        <v>0.98907148867825034</v>
      </c>
    </row>
    <row r="39" spans="1:28">
      <c r="A39">
        <v>38</v>
      </c>
      <c r="B39">
        <v>22648</v>
      </c>
      <c r="C39">
        <f t="shared" si="0"/>
        <v>23384.49815029194</v>
      </c>
      <c r="D39">
        <f t="shared" si="1"/>
        <v>0.96850485541496445</v>
      </c>
    </row>
    <row r="40" spans="1:28">
      <c r="A40">
        <v>39</v>
      </c>
      <c r="B40">
        <v>22119</v>
      </c>
      <c r="C40">
        <f t="shared" si="0"/>
        <v>23397.641107922609</v>
      </c>
      <c r="D40">
        <f t="shared" si="1"/>
        <v>0.94535170866050888</v>
      </c>
      <c r="M40">
        <v>5.5</v>
      </c>
      <c r="O40">
        <v>-0.1072</v>
      </c>
      <c r="P40">
        <v>3.56E-2</v>
      </c>
      <c r="Q40">
        <v>-1.4455</v>
      </c>
      <c r="S40">
        <f>M40-P40/(2*O40)</f>
        <v>5.6660447761194028</v>
      </c>
      <c r="T40">
        <f t="shared" ref="T40:T73" si="7" xml:space="preserve"> -1.179402526298E-13*S40*S40*S40*S40 + 4.020234124929E-10*S40*S40*S40 - 0.0000004743246209058*S40*S40 + 0.09282817058921*S40 + 6490.328062797</f>
        <v>6490.8540162133031</v>
      </c>
    </row>
    <row r="41" spans="1:28" ht="17.25">
      <c r="A41">
        <v>40</v>
      </c>
      <c r="B41">
        <v>21111</v>
      </c>
      <c r="C41">
        <f t="shared" si="0"/>
        <v>23410.843266841599</v>
      </c>
      <c r="D41">
        <f t="shared" si="1"/>
        <v>0.90176162214117994</v>
      </c>
      <c r="F41">
        <v>5.5</v>
      </c>
      <c r="G41" t="s">
        <v>51</v>
      </c>
      <c r="M41">
        <v>44.5</v>
      </c>
      <c r="O41">
        <v>-5.28E-2</v>
      </c>
      <c r="P41">
        <v>-1.6000000000000001E-3</v>
      </c>
      <c r="Q41">
        <v>-1.0539000000000001</v>
      </c>
      <c r="S41">
        <f t="shared" ref="S41:S73" si="8">M41-P41/(2*O41)</f>
        <v>44.484848484848484</v>
      </c>
      <c r="T41">
        <f t="shared" si="7"/>
        <v>6494.4566061876876</v>
      </c>
      <c r="V41" t="s">
        <v>111</v>
      </c>
      <c r="W41">
        <v>1</v>
      </c>
      <c r="X41">
        <v>6493.7809999999999</v>
      </c>
      <c r="Z41">
        <f t="shared" ref="Z41:Z46" si="9">300000*(T41/X41-1)</f>
        <v>31.211686428322949</v>
      </c>
    </row>
    <row r="42" spans="1:28" ht="17.25">
      <c r="A42">
        <v>41</v>
      </c>
      <c r="B42">
        <v>19586</v>
      </c>
      <c r="C42">
        <f t="shared" si="0"/>
        <v>23424.104250632885</v>
      </c>
      <c r="D42">
        <f t="shared" si="1"/>
        <v>0.8361472349351764</v>
      </c>
      <c r="F42">
        <v>5.5</v>
      </c>
      <c r="G42" t="s">
        <v>52</v>
      </c>
      <c r="M42">
        <v>57.5</v>
      </c>
      <c r="O42">
        <v>-2.5899999999999999E-2</v>
      </c>
      <c r="P42">
        <v>1.3100000000000001E-2</v>
      </c>
      <c r="Q42">
        <v>-0.63849999999999996</v>
      </c>
      <c r="S42">
        <f t="shared" si="8"/>
        <v>57.752895752895753</v>
      </c>
      <c r="T42">
        <f t="shared" si="7"/>
        <v>6495.6876525242988</v>
      </c>
      <c r="V42" t="s">
        <v>112</v>
      </c>
      <c r="W42">
        <v>1</v>
      </c>
      <c r="X42">
        <v>6494.98</v>
      </c>
    </row>
    <row r="43" spans="1:28">
      <c r="A43">
        <v>42</v>
      </c>
      <c r="B43">
        <v>17657</v>
      </c>
      <c r="C43">
        <f t="shared" si="0"/>
        <v>23437.42368344422</v>
      </c>
      <c r="D43">
        <f t="shared" si="1"/>
        <v>0.75336778642921365</v>
      </c>
      <c r="M43">
        <v>77.5</v>
      </c>
      <c r="O43">
        <v>-3.0300000000000001E-2</v>
      </c>
      <c r="P43">
        <v>4.5999999999999999E-3</v>
      </c>
      <c r="Q43">
        <v>-0.5131</v>
      </c>
      <c r="S43">
        <f t="shared" si="8"/>
        <v>77.575907590759073</v>
      </c>
      <c r="T43">
        <f t="shared" si="7"/>
        <v>6497.5266212993447</v>
      </c>
      <c r="V43" t="s">
        <v>113</v>
      </c>
      <c r="W43">
        <v>2</v>
      </c>
      <c r="X43">
        <v>6496.8990000000003</v>
      </c>
      <c r="Y43" t="s">
        <v>114</v>
      </c>
      <c r="Z43">
        <f t="shared" si="9"/>
        <v>28.980963041513874</v>
      </c>
    </row>
    <row r="44" spans="1:28">
      <c r="A44">
        <v>43</v>
      </c>
      <c r="B44">
        <v>15986</v>
      </c>
      <c r="C44">
        <f t="shared" si="0"/>
        <v>23450.80118998716</v>
      </c>
      <c r="D44">
        <f t="shared" si="1"/>
        <v>0.68168246664534338</v>
      </c>
      <c r="M44">
        <v>99.5</v>
      </c>
      <c r="O44">
        <v>-4.7399999999999998E-2</v>
      </c>
      <c r="P44">
        <v>1.7600000000000001E-2</v>
      </c>
      <c r="Q44">
        <v>-0.7177</v>
      </c>
      <c r="S44">
        <f t="shared" si="8"/>
        <v>99.685654008438817</v>
      </c>
      <c r="T44">
        <f t="shared" si="7"/>
        <v>6499.5773728175791</v>
      </c>
      <c r="V44" t="s">
        <v>112</v>
      </c>
      <c r="W44">
        <v>1</v>
      </c>
      <c r="X44">
        <v>6498.9378999999999</v>
      </c>
      <c r="Z44">
        <f t="shared" si="9"/>
        <v>29.518953439078288</v>
      </c>
    </row>
    <row r="45" spans="1:28" ht="17.25">
      <c r="A45">
        <v>44</v>
      </c>
      <c r="B45">
        <v>15230</v>
      </c>
      <c r="C45">
        <f t="shared" si="0"/>
        <v>23464.236395537024</v>
      </c>
      <c r="D45">
        <f t="shared" si="1"/>
        <v>0.649072901553992</v>
      </c>
      <c r="F45">
        <v>44.5</v>
      </c>
      <c r="G45" t="s">
        <v>53</v>
      </c>
      <c r="M45">
        <v>156</v>
      </c>
      <c r="O45">
        <v>-8.3900000000000002E-2</v>
      </c>
      <c r="P45">
        <v>-1.54E-2</v>
      </c>
      <c r="Q45">
        <v>-1.5365</v>
      </c>
      <c r="S45">
        <f t="shared" si="8"/>
        <v>155.9082240762813</v>
      </c>
      <c r="T45">
        <f t="shared" si="7"/>
        <v>6504.7906623028739</v>
      </c>
      <c r="V45" t="s">
        <v>116</v>
      </c>
      <c r="W45">
        <v>1</v>
      </c>
      <c r="X45">
        <v>6504.1652999999997</v>
      </c>
      <c r="Z45">
        <f t="shared" si="9"/>
        <v>28.844391587368179</v>
      </c>
    </row>
    <row r="46" spans="1:28" ht="17.25">
      <c r="A46">
        <v>45</v>
      </c>
      <c r="B46">
        <v>15517</v>
      </c>
      <c r="C46">
        <f t="shared" si="0"/>
        <v>23477.728925932945</v>
      </c>
      <c r="D46">
        <f t="shared" si="1"/>
        <v>0.66092423372604359</v>
      </c>
      <c r="F46">
        <v>44.5</v>
      </c>
      <c r="G46" t="s">
        <v>54</v>
      </c>
      <c r="M46">
        <v>198</v>
      </c>
      <c r="O46">
        <v>-8.5900000000000004E-2</v>
      </c>
      <c r="P46">
        <v>8.9800000000000005E-2</v>
      </c>
      <c r="Q46">
        <v>-1.2639</v>
      </c>
      <c r="S46">
        <f t="shared" ref="S46:S63" si="10">M46-P46/(2*O46)</f>
        <v>198.52270081490104</v>
      </c>
      <c r="T46">
        <f t="shared" si="7"/>
        <v>6508.7408304547698</v>
      </c>
      <c r="V46" t="s">
        <v>117</v>
      </c>
      <c r="W46">
        <v>1</v>
      </c>
      <c r="X46">
        <v>6508.1205</v>
      </c>
      <c r="Z46">
        <f t="shared" si="9"/>
        <v>28.594912529822381</v>
      </c>
    </row>
    <row r="47" spans="1:28">
      <c r="A47">
        <v>46</v>
      </c>
      <c r="B47">
        <v>16480</v>
      </c>
      <c r="C47">
        <f t="shared" si="0"/>
        <v>23491.278407577815</v>
      </c>
      <c r="D47">
        <f t="shared" si="1"/>
        <v>0.70153695827315565</v>
      </c>
      <c r="M47">
        <v>283</v>
      </c>
      <c r="O47">
        <v>-8.6599999999999996E-2</v>
      </c>
      <c r="P47">
        <v>5.4199999999999998E-2</v>
      </c>
      <c r="Q47">
        <v>-1.0355000000000001</v>
      </c>
      <c r="S47">
        <f t="shared" si="10"/>
        <v>283.31293302540416</v>
      </c>
      <c r="T47">
        <f t="shared" si="7"/>
        <v>6516.5977941773372</v>
      </c>
    </row>
    <row r="48" spans="1:28">
      <c r="A48">
        <v>47</v>
      </c>
      <c r="B48">
        <v>17506</v>
      </c>
      <c r="C48">
        <f t="shared" si="0"/>
        <v>23504.884467438336</v>
      </c>
      <c r="D48">
        <f t="shared" si="1"/>
        <v>0.74478136764515135</v>
      </c>
      <c r="M48">
        <v>402</v>
      </c>
      <c r="O48">
        <v>-4.2099999999999999E-2</v>
      </c>
      <c r="P48">
        <v>5.1299999999999998E-2</v>
      </c>
      <c r="Q48">
        <v>-1.2008000000000001</v>
      </c>
      <c r="S48">
        <f t="shared" si="10"/>
        <v>402.60926365795723</v>
      </c>
      <c r="T48">
        <f t="shared" si="7"/>
        <v>6527.6477964030446</v>
      </c>
    </row>
    <row r="49" spans="1:26">
      <c r="A49">
        <v>48</v>
      </c>
      <c r="B49">
        <v>18210</v>
      </c>
      <c r="C49">
        <f t="shared" si="0"/>
        <v>23518.546733044979</v>
      </c>
      <c r="D49">
        <f t="shared" si="1"/>
        <v>0.77428253568124805</v>
      </c>
      <c r="M49">
        <v>451</v>
      </c>
      <c r="O49">
        <v>-3.4700000000000002E-2</v>
      </c>
      <c r="P49">
        <v>-1.5E-3</v>
      </c>
      <c r="Q49">
        <v>-1.1721999999999999</v>
      </c>
      <c r="S49">
        <f t="shared" si="10"/>
        <v>450.97838616714699</v>
      </c>
      <c r="T49">
        <f t="shared" si="7"/>
        <v>6532.127087873956</v>
      </c>
      <c r="V49" t="s">
        <v>116</v>
      </c>
      <c r="W49">
        <v>1</v>
      </c>
      <c r="X49">
        <v>6531.4206999999997</v>
      </c>
      <c r="Z49">
        <f>300000*(T49/X49-1)</f>
        <v>32.445676357495401</v>
      </c>
    </row>
    <row r="50" spans="1:26">
      <c r="A50">
        <v>49</v>
      </c>
      <c r="B50">
        <v>18928</v>
      </c>
      <c r="C50">
        <f t="shared" si="0"/>
        <v>23532.264832492019</v>
      </c>
      <c r="D50">
        <f t="shared" si="1"/>
        <v>0.80434246914752072</v>
      </c>
      <c r="M50">
        <v>466</v>
      </c>
      <c r="O50">
        <v>-0.05</v>
      </c>
      <c r="P50">
        <v>4.5999999999999999E-3</v>
      </c>
      <c r="Q50">
        <v>-1.3349</v>
      </c>
      <c r="S50">
        <f t="shared" si="10"/>
        <v>466.04599999999999</v>
      </c>
      <c r="T50">
        <f t="shared" si="7"/>
        <v>6533.5223684268367</v>
      </c>
      <c r="V50" t="s">
        <v>118</v>
      </c>
      <c r="W50">
        <v>1</v>
      </c>
      <c r="X50">
        <v>6532.8730999999998</v>
      </c>
      <c r="Z50">
        <f>300000*(T50/X50-1)</f>
        <v>29.81544644589107</v>
      </c>
    </row>
    <row r="51" spans="1:26">
      <c r="A51">
        <v>50</v>
      </c>
      <c r="B51">
        <v>18957</v>
      </c>
      <c r="C51">
        <f t="shared" si="0"/>
        <v>23546.038394437499</v>
      </c>
      <c r="D51">
        <f t="shared" si="1"/>
        <v>0.80510358823157235</v>
      </c>
      <c r="M51">
        <v>520.5</v>
      </c>
      <c r="O51">
        <v>-6.6699999999999995E-2</v>
      </c>
      <c r="P51">
        <v>8.3999999999999995E-3</v>
      </c>
      <c r="Q51">
        <v>-1.3418000000000001</v>
      </c>
      <c r="S51">
        <f t="shared" si="10"/>
        <v>520.56296851574211</v>
      </c>
      <c r="T51">
        <f t="shared" si="7"/>
        <v>6538.5704863621904</v>
      </c>
      <c r="V51" t="s">
        <v>115</v>
      </c>
      <c r="W51">
        <v>1</v>
      </c>
      <c r="X51">
        <v>6537.9210000000003</v>
      </c>
      <c r="Z51">
        <f>300000*(T51/X51-1)</f>
        <v>29.802426284608607</v>
      </c>
    </row>
    <row r="52" spans="1:26">
      <c r="A52">
        <v>51</v>
      </c>
      <c r="B52">
        <v>18505</v>
      </c>
      <c r="C52">
        <f t="shared" si="0"/>
        <v>23559.86704810326</v>
      </c>
      <c r="D52">
        <f t="shared" si="1"/>
        <v>0.78544585851089455</v>
      </c>
      <c r="M52">
        <v>579</v>
      </c>
      <c r="O52">
        <v>-4.7300000000000002E-2</v>
      </c>
      <c r="P52">
        <v>1.1999999999999999E-3</v>
      </c>
      <c r="Q52">
        <v>-1.1102000000000001</v>
      </c>
      <c r="S52">
        <f t="shared" si="10"/>
        <v>579.0126849894292</v>
      </c>
      <c r="T52">
        <f t="shared" si="7"/>
        <v>6543.9825147057245</v>
      </c>
      <c r="V52" t="s">
        <v>116</v>
      </c>
      <c r="W52">
        <v>1</v>
      </c>
      <c r="X52">
        <v>6543.5037000000002</v>
      </c>
      <c r="Z52" s="5"/>
    </row>
    <row r="53" spans="1:26">
      <c r="A53">
        <v>52</v>
      </c>
      <c r="B53">
        <v>17856</v>
      </c>
      <c r="C53">
        <f t="shared" si="0"/>
        <v>23573.750423274934</v>
      </c>
      <c r="D53">
        <f t="shared" si="1"/>
        <v>0.75745266151500179</v>
      </c>
      <c r="M53">
        <v>610.5</v>
      </c>
      <c r="O53">
        <v>-4.9500000000000002E-2</v>
      </c>
      <c r="P53">
        <v>-1.78E-2</v>
      </c>
      <c r="Q53">
        <v>-0.82399999999999995</v>
      </c>
      <c r="S53">
        <f t="shared" si="10"/>
        <v>610.32020202020203</v>
      </c>
      <c r="T53">
        <f t="shared" si="7"/>
        <v>6546.8813204080125</v>
      </c>
      <c r="V53" t="s">
        <v>119</v>
      </c>
      <c r="W53">
        <v>1</v>
      </c>
      <c r="X53">
        <v>6546.2529999999997</v>
      </c>
      <c r="Y53" t="s">
        <v>114</v>
      </c>
      <c r="Z53">
        <f t="shared" ref="Z53:Z60" si="11">300000*(T53/X53-1)</f>
        <v>28.794506170770617</v>
      </c>
    </row>
    <row r="54" spans="1:26">
      <c r="A54">
        <v>53</v>
      </c>
      <c r="B54">
        <v>16438</v>
      </c>
      <c r="C54">
        <f t="shared" si="0"/>
        <v>23587.688150301921</v>
      </c>
      <c r="D54">
        <f t="shared" si="1"/>
        <v>0.69688898272930555</v>
      </c>
      <c r="M54">
        <v>669</v>
      </c>
      <c r="O54">
        <v>-2.6800000000000001E-2</v>
      </c>
      <c r="P54">
        <v>-1.1599999999999999E-2</v>
      </c>
      <c r="Q54">
        <v>-0.96179999999999999</v>
      </c>
      <c r="S54">
        <f t="shared" si="10"/>
        <v>668.78358208955228</v>
      </c>
      <c r="T54">
        <f t="shared" si="7"/>
        <v>6552.2945295982809</v>
      </c>
      <c r="V54" t="s">
        <v>112</v>
      </c>
      <c r="W54">
        <v>1</v>
      </c>
      <c r="X54">
        <v>6551.6767</v>
      </c>
      <c r="Z54">
        <f t="shared" si="11"/>
        <v>28.290296968447315</v>
      </c>
    </row>
    <row r="55" spans="1:26">
      <c r="A55">
        <v>54</v>
      </c>
      <c r="B55">
        <v>14951</v>
      </c>
      <c r="C55">
        <f t="shared" si="0"/>
        <v>23601.679860097433</v>
      </c>
      <c r="D55">
        <f t="shared" si="1"/>
        <v>0.63347185830094888</v>
      </c>
      <c r="M55">
        <v>696.5</v>
      </c>
      <c r="O55">
        <v>-4.6100000000000002E-2</v>
      </c>
      <c r="P55">
        <v>2.5999999999999999E-3</v>
      </c>
      <c r="Q55">
        <v>-0.96160000000000001</v>
      </c>
      <c r="S55">
        <f t="shared" si="10"/>
        <v>696.52819956616054</v>
      </c>
      <c r="T55">
        <f t="shared" si="7"/>
        <v>6554.8634746198532</v>
      </c>
      <c r="V55" t="s">
        <v>117</v>
      </c>
      <c r="W55">
        <v>1</v>
      </c>
      <c r="X55">
        <v>6554.223</v>
      </c>
      <c r="Z55">
        <f t="shared" si="11"/>
        <v>29.315814545238794</v>
      </c>
    </row>
    <row r="56" spans="1:26">
      <c r="A56">
        <v>55</v>
      </c>
      <c r="B56">
        <v>13337</v>
      </c>
      <c r="C56">
        <f t="shared" si="0"/>
        <v>23615.725184138442</v>
      </c>
      <c r="D56">
        <f t="shared" si="1"/>
        <v>0.56475081311319741</v>
      </c>
      <c r="M56">
        <v>716</v>
      </c>
      <c r="O56">
        <v>-4.5100000000000001E-2</v>
      </c>
      <c r="P56">
        <v>1.24E-2</v>
      </c>
      <c r="Q56">
        <v>-0.74409999999999998</v>
      </c>
      <c r="S56">
        <f t="shared" si="10"/>
        <v>716.13747228381374</v>
      </c>
      <c r="T56">
        <f t="shared" si="7"/>
        <v>6556.6791674846181</v>
      </c>
      <c r="V56" t="s">
        <v>117</v>
      </c>
      <c r="W56">
        <v>1</v>
      </c>
      <c r="X56">
        <v>6556.0618000000004</v>
      </c>
      <c r="Z56">
        <f t="shared" si="11"/>
        <v>28.250228724990833</v>
      </c>
    </row>
    <row r="57" spans="1:26">
      <c r="A57">
        <v>56</v>
      </c>
      <c r="B57">
        <v>12084</v>
      </c>
      <c r="C57">
        <f t="shared" si="0"/>
        <v>23629.823754465731</v>
      </c>
      <c r="D57">
        <f t="shared" si="1"/>
        <v>0.51138764831947936</v>
      </c>
      <c r="M57">
        <v>821</v>
      </c>
      <c r="O57">
        <v>-4.1799999999999997E-2</v>
      </c>
      <c r="P57">
        <v>1.5900000000000001E-2</v>
      </c>
      <c r="Q57">
        <v>-1.5858000000000001</v>
      </c>
      <c r="S57">
        <f t="shared" si="10"/>
        <v>821.19019138755982</v>
      </c>
      <c r="T57">
        <f t="shared" si="7"/>
        <v>6566.4067794129387</v>
      </c>
      <c r="V57" t="s">
        <v>116</v>
      </c>
      <c r="W57">
        <v>1</v>
      </c>
      <c r="X57">
        <v>6565.8829999999998</v>
      </c>
      <c r="Z57">
        <f t="shared" si="11"/>
        <v>23.931864744120013</v>
      </c>
    </row>
    <row r="58" spans="1:26" ht="17.25">
      <c r="A58">
        <v>57</v>
      </c>
      <c r="B58">
        <v>11385</v>
      </c>
      <c r="C58">
        <f t="shared" si="0"/>
        <v>23643.975203683851</v>
      </c>
      <c r="D58">
        <f t="shared" si="1"/>
        <v>0.48151801471294725</v>
      </c>
      <c r="F58">
        <v>57.5</v>
      </c>
      <c r="G58" t="s">
        <v>55</v>
      </c>
      <c r="M58">
        <v>858.5</v>
      </c>
      <c r="O58">
        <v>-3.3599999999999998E-2</v>
      </c>
      <c r="P58">
        <v>7.9000000000000008E-3</v>
      </c>
      <c r="Q58">
        <v>-1.2358</v>
      </c>
      <c r="S58">
        <f t="shared" si="10"/>
        <v>858.61755952380952</v>
      </c>
      <c r="T58">
        <f t="shared" si="7"/>
        <v>6569.8726543141829</v>
      </c>
      <c r="V58" t="s">
        <v>120</v>
      </c>
      <c r="W58">
        <v>1</v>
      </c>
      <c r="X58">
        <v>6569.2145</v>
      </c>
      <c r="Y58" t="s">
        <v>114</v>
      </c>
      <c r="Z58">
        <f t="shared" si="11"/>
        <v>30.056301899539228</v>
      </c>
    </row>
    <row r="59" spans="1:26" ht="17.25">
      <c r="A59">
        <v>58</v>
      </c>
      <c r="B59">
        <v>11144</v>
      </c>
      <c r="C59">
        <f t="shared" si="0"/>
        <v>23658.179164961151</v>
      </c>
      <c r="D59">
        <f t="shared" si="1"/>
        <v>0.4710421677972908</v>
      </c>
      <c r="F59">
        <v>57.5</v>
      </c>
      <c r="G59" t="s">
        <v>56</v>
      </c>
      <c r="M59">
        <v>897</v>
      </c>
      <c r="O59">
        <v>-4.8500000000000001E-2</v>
      </c>
      <c r="P59">
        <v>9.5999999999999992E-3</v>
      </c>
      <c r="Q59">
        <v>-0.72319999999999995</v>
      </c>
      <c r="S59">
        <f t="shared" si="10"/>
        <v>897.098969072165</v>
      </c>
      <c r="T59">
        <f t="shared" si="7"/>
        <v>6573.4362512714733</v>
      </c>
      <c r="V59" t="s">
        <v>121</v>
      </c>
      <c r="W59">
        <v>1</v>
      </c>
      <c r="X59">
        <v>6572.826</v>
      </c>
      <c r="Y59" t="s">
        <v>114</v>
      </c>
      <c r="Z59">
        <f t="shared" si="11"/>
        <v>27.853374095432315</v>
      </c>
    </row>
    <row r="60" spans="1:26">
      <c r="A60">
        <v>59</v>
      </c>
      <c r="B60">
        <v>11577</v>
      </c>
      <c r="C60">
        <f t="shared" si="0"/>
        <v>23672.435272029761</v>
      </c>
      <c r="D60">
        <f t="shared" si="1"/>
        <v>0.48904981118181956</v>
      </c>
      <c r="M60">
        <v>912.5</v>
      </c>
      <c r="O60">
        <v>-5.5800000000000002E-2</v>
      </c>
      <c r="P60">
        <v>2.47E-2</v>
      </c>
      <c r="Q60">
        <v>-0.76419999999999999</v>
      </c>
      <c r="S60">
        <f t="shared" si="10"/>
        <v>912.72132616487454</v>
      </c>
      <c r="T60">
        <f t="shared" si="7"/>
        <v>6574.8830027498107</v>
      </c>
      <c r="V60" t="s">
        <v>112</v>
      </c>
      <c r="W60">
        <v>1</v>
      </c>
      <c r="X60">
        <v>6574.2262000000001</v>
      </c>
      <c r="Z60">
        <f t="shared" si="11"/>
        <v>29.971713620557949</v>
      </c>
    </row>
    <row r="61" spans="1:26">
      <c r="A61">
        <v>60</v>
      </c>
      <c r="B61">
        <v>12727</v>
      </c>
      <c r="C61">
        <f t="shared" si="0"/>
        <v>23686.7431591856</v>
      </c>
      <c r="D61">
        <f t="shared" si="1"/>
        <v>0.53730476640325009</v>
      </c>
      <c r="M61">
        <v>921</v>
      </c>
      <c r="O61">
        <v>-4.1399999999999999E-2</v>
      </c>
      <c r="P61">
        <v>1.6199999999999999E-2</v>
      </c>
      <c r="Q61">
        <v>-1.0648</v>
      </c>
      <c r="S61">
        <f t="shared" si="10"/>
        <v>921.195652173913</v>
      </c>
      <c r="T61">
        <f t="shared" si="7"/>
        <v>6575.6677986766463</v>
      </c>
    </row>
    <row r="62" spans="1:26">
      <c r="A62">
        <v>61</v>
      </c>
      <c r="B62">
        <v>14413</v>
      </c>
      <c r="C62">
        <f t="shared" si="0"/>
        <v>23701.102461288374</v>
      </c>
      <c r="D62">
        <f t="shared" si="1"/>
        <v>0.60811517200691934</v>
      </c>
      <c r="M62">
        <v>937</v>
      </c>
      <c r="O62">
        <v>-4.7E-2</v>
      </c>
      <c r="P62">
        <v>1.6299999999999999E-2</v>
      </c>
      <c r="Q62">
        <v>-1.6626000000000001</v>
      </c>
      <c r="S62">
        <f t="shared" si="10"/>
        <v>937.17340425531916</v>
      </c>
      <c r="T62">
        <f t="shared" si="7"/>
        <v>6577.1474908311047</v>
      </c>
      <c r="V62" t="s">
        <v>122</v>
      </c>
      <c r="W62">
        <v>1</v>
      </c>
      <c r="X62">
        <v>6576.56</v>
      </c>
      <c r="Y62" t="s">
        <v>123</v>
      </c>
      <c r="Z62">
        <f t="shared" ref="Z62:Z71" si="12">300000*(T62/X62-1)</f>
        <v>26.799306830826986</v>
      </c>
    </row>
    <row r="63" spans="1:26">
      <c r="A63">
        <v>62</v>
      </c>
      <c r="B63">
        <v>15990</v>
      </c>
      <c r="C63">
        <f t="shared" si="0"/>
        <v>23715.512813761572</v>
      </c>
      <c r="D63">
        <f t="shared" si="1"/>
        <v>0.6742422196631298</v>
      </c>
      <c r="M63">
        <v>987</v>
      </c>
      <c r="O63">
        <v>-3.2899999999999999E-2</v>
      </c>
      <c r="P63">
        <v>1.4999999999999999E-2</v>
      </c>
      <c r="Q63">
        <v>-0.93130000000000002</v>
      </c>
      <c r="S63">
        <f t="shared" si="10"/>
        <v>987.22796352583589</v>
      </c>
      <c r="T63">
        <f t="shared" si="7"/>
        <v>6581.7831287771942</v>
      </c>
      <c r="V63" t="s">
        <v>112</v>
      </c>
      <c r="W63">
        <v>1</v>
      </c>
      <c r="X63">
        <v>6581.2088000000003</v>
      </c>
      <c r="Y63" t="s">
        <v>124</v>
      </c>
      <c r="Z63">
        <f t="shared" si="12"/>
        <v>26.180393054531237</v>
      </c>
    </row>
    <row r="64" spans="1:26">
      <c r="A64">
        <v>63</v>
      </c>
      <c r="B64">
        <v>17124</v>
      </c>
      <c r="C64">
        <f t="shared" si="0"/>
        <v>23729.973852592477</v>
      </c>
      <c r="D64">
        <f t="shared" si="1"/>
        <v>0.72161899993535894</v>
      </c>
      <c r="M64">
        <v>1043</v>
      </c>
      <c r="O64">
        <v>-6.6699999999999995E-2</v>
      </c>
      <c r="P64">
        <v>-2.69E-2</v>
      </c>
      <c r="Q64">
        <v>-1.3067</v>
      </c>
      <c r="S64">
        <f t="shared" si="8"/>
        <v>1042.7983508245877</v>
      </c>
      <c r="T64">
        <f t="shared" si="7"/>
        <v>6586.9297494260591</v>
      </c>
      <c r="V64" t="s">
        <v>118</v>
      </c>
      <c r="W64">
        <v>1</v>
      </c>
      <c r="X64">
        <v>6586.3099000000002</v>
      </c>
      <c r="Z64">
        <f t="shared" si="12"/>
        <v>28.233537540889309</v>
      </c>
    </row>
    <row r="65" spans="1:26">
      <c r="A65">
        <v>64</v>
      </c>
      <c r="B65">
        <v>17824</v>
      </c>
      <c r="C65">
        <f t="shared" si="0"/>
        <v>23744.485214332148</v>
      </c>
      <c r="D65">
        <f t="shared" si="1"/>
        <v>0.75065851456073895</v>
      </c>
      <c r="M65">
        <v>1114.5</v>
      </c>
      <c r="O65">
        <v>-3.9699999999999999E-2</v>
      </c>
      <c r="P65">
        <v>-2.29E-2</v>
      </c>
      <c r="Q65">
        <v>-0.88300000000000001</v>
      </c>
      <c r="S65">
        <f t="shared" si="8"/>
        <v>1114.2115869017632</v>
      </c>
      <c r="T65">
        <f t="shared" si="7"/>
        <v>6593.5437549412991</v>
      </c>
      <c r="V65" t="s">
        <v>112</v>
      </c>
      <c r="W65">
        <v>1</v>
      </c>
      <c r="X65">
        <v>6592.9120000000003</v>
      </c>
      <c r="Z65">
        <f t="shared" si="12"/>
        <v>28.747006237850314</v>
      </c>
    </row>
    <row r="66" spans="1:26">
      <c r="A66">
        <v>65</v>
      </c>
      <c r="B66">
        <v>18705</v>
      </c>
      <c r="C66">
        <f t="shared" ref="C66:C129" si="13" xml:space="preserve"> 0.00000002349111*A66*A66*A66*A66 - 0.0000664476*A66*A66*A66 + 0.03716061*A66*A66 + 10.57172*A66 + 22932.71</f>
        <v>23759.046536095444</v>
      </c>
      <c r="D66">
        <f t="shared" ref="D66:D129" si="14">B66/C66</f>
        <v>0.78727906743154918</v>
      </c>
      <c r="M66">
        <v>1124.5</v>
      </c>
      <c r="O66">
        <v>-4.8599999999999997E-2</v>
      </c>
      <c r="P66">
        <v>1.47E-2</v>
      </c>
      <c r="Q66">
        <v>-0.91169999999999995</v>
      </c>
      <c r="S66">
        <f t="shared" si="8"/>
        <v>1124.6512345679012</v>
      </c>
      <c r="T66">
        <f t="shared" si="7"/>
        <v>6594.510631228839</v>
      </c>
      <c r="V66" t="s">
        <v>112</v>
      </c>
      <c r="W66">
        <v>1</v>
      </c>
      <c r="X66">
        <v>6593.8690999999999</v>
      </c>
      <c r="Z66">
        <f t="shared" si="12"/>
        <v>29.18762349279902</v>
      </c>
    </row>
    <row r="67" spans="1:26">
      <c r="A67">
        <v>66</v>
      </c>
      <c r="B67">
        <v>19915</v>
      </c>
      <c r="C67">
        <f t="shared" si="13"/>
        <v>23773.657455560995</v>
      </c>
      <c r="D67">
        <f t="shared" si="14"/>
        <v>0.83769188805829287</v>
      </c>
      <c r="M67">
        <v>1181</v>
      </c>
      <c r="O67">
        <v>-6.13E-2</v>
      </c>
      <c r="P67">
        <v>-5.7099999999999998E-2</v>
      </c>
      <c r="Q67">
        <v>-0.86270000000000002</v>
      </c>
      <c r="S67">
        <f t="shared" si="8"/>
        <v>1180.5342577487766</v>
      </c>
      <c r="T67">
        <f t="shared" si="7"/>
        <v>6599.6862110736147</v>
      </c>
      <c r="V67" t="s">
        <v>117</v>
      </c>
      <c r="W67">
        <v>1</v>
      </c>
      <c r="X67">
        <v>6599.1048000000001</v>
      </c>
      <c r="Z67">
        <f t="shared" si="12"/>
        <v>26.431361127121633</v>
      </c>
    </row>
    <row r="68" spans="1:26">
      <c r="A68">
        <v>67</v>
      </c>
      <c r="B68">
        <v>20784</v>
      </c>
      <c r="C68">
        <f t="shared" si="13"/>
        <v>23788.317610971233</v>
      </c>
      <c r="D68">
        <f t="shared" si="14"/>
        <v>0.87370617543858442</v>
      </c>
      <c r="M68">
        <v>1240</v>
      </c>
      <c r="O68">
        <v>-9.7799999999999998E-2</v>
      </c>
      <c r="P68">
        <v>6.1499999999999999E-2</v>
      </c>
      <c r="Q68">
        <v>-1.5780000000000001</v>
      </c>
      <c r="S68">
        <f t="shared" si="8"/>
        <v>1240.314417177914</v>
      </c>
      <c r="T68">
        <f t="shared" si="7"/>
        <v>6605.2224614801926</v>
      </c>
      <c r="V68" t="s">
        <v>125</v>
      </c>
      <c r="W68">
        <v>2</v>
      </c>
      <c r="X68">
        <v>6604.6009999999997</v>
      </c>
      <c r="Z68">
        <f t="shared" si="12"/>
        <v>28.228570364485783</v>
      </c>
    </row>
    <row r="69" spans="1:26">
      <c r="A69">
        <v>68</v>
      </c>
      <c r="B69">
        <v>21354</v>
      </c>
      <c r="C69">
        <f t="shared" si="13"/>
        <v>23803.026641132368</v>
      </c>
      <c r="D69">
        <f t="shared" si="14"/>
        <v>0.89711280510435698</v>
      </c>
      <c r="M69">
        <v>1255</v>
      </c>
      <c r="O69">
        <v>-6.7900000000000002E-2</v>
      </c>
      <c r="P69">
        <v>4.8999999999999998E-3</v>
      </c>
      <c r="Q69">
        <v>-1.4067000000000001</v>
      </c>
      <c r="S69">
        <f t="shared" si="8"/>
        <v>1255.0360824742268</v>
      </c>
      <c r="T69">
        <f t="shared" si="7"/>
        <v>6606.5857724710713</v>
      </c>
      <c r="V69" t="s">
        <v>116</v>
      </c>
      <c r="W69">
        <v>1</v>
      </c>
      <c r="X69">
        <v>6605.9736999999996</v>
      </c>
      <c r="Z69">
        <f t="shared" si="12"/>
        <v>27.79631734250998</v>
      </c>
    </row>
    <row r="70" spans="1:26">
      <c r="A70">
        <v>69</v>
      </c>
      <c r="B70">
        <v>21250</v>
      </c>
      <c r="C70">
        <f t="shared" si="13"/>
        <v>23817.784185414392</v>
      </c>
      <c r="D70">
        <f t="shared" si="14"/>
        <v>0.89219046719774797</v>
      </c>
      <c r="M70">
        <v>1276.5</v>
      </c>
      <c r="O70">
        <v>-6.5000000000000002E-2</v>
      </c>
      <c r="P70">
        <v>1.2999999999999999E-2</v>
      </c>
      <c r="Q70">
        <v>-1.3129999999999999</v>
      </c>
      <c r="S70">
        <f t="shared" si="8"/>
        <v>1276.5999999999999</v>
      </c>
      <c r="T70">
        <f t="shared" si="7"/>
        <v>6608.5826554692749</v>
      </c>
      <c r="V70" t="s">
        <v>112</v>
      </c>
      <c r="W70">
        <v>1</v>
      </c>
      <c r="X70">
        <v>6608.0245999999997</v>
      </c>
      <c r="Y70" t="s">
        <v>124</v>
      </c>
      <c r="Z70">
        <f t="shared" si="12"/>
        <v>25.335353742872435</v>
      </c>
    </row>
    <row r="71" spans="1:26">
      <c r="A71">
        <v>70</v>
      </c>
      <c r="B71">
        <v>20602</v>
      </c>
      <c r="C71">
        <f t="shared" si="13"/>
        <v>23832.589883751098</v>
      </c>
      <c r="D71">
        <f t="shared" si="14"/>
        <v>0.86444654569608093</v>
      </c>
      <c r="M71">
        <v>1339.5</v>
      </c>
      <c r="O71">
        <v>-6.8599999999999994E-2</v>
      </c>
      <c r="P71">
        <v>-2.5999999999999999E-3</v>
      </c>
      <c r="Q71">
        <v>-1.0470999999999999</v>
      </c>
      <c r="S71">
        <f t="shared" si="8"/>
        <v>1339.4810495626823</v>
      </c>
      <c r="T71">
        <f t="shared" si="7"/>
        <v>6614.4051153545888</v>
      </c>
      <c r="V71" t="s">
        <v>112</v>
      </c>
      <c r="W71">
        <v>1</v>
      </c>
      <c r="X71">
        <v>6613.8244999999997</v>
      </c>
      <c r="Z71">
        <f t="shared" si="12"/>
        <v>26.336442156371653</v>
      </c>
    </row>
    <row r="72" spans="1:26">
      <c r="A72">
        <v>71</v>
      </c>
      <c r="B72">
        <v>19127</v>
      </c>
      <c r="C72">
        <f t="shared" si="13"/>
        <v>23847.443376640054</v>
      </c>
      <c r="D72">
        <f t="shared" si="14"/>
        <v>0.80205662711567649</v>
      </c>
      <c r="M72">
        <v>1460.5</v>
      </c>
      <c r="O72">
        <v>-6.6500000000000004E-2</v>
      </c>
      <c r="P72">
        <v>5.5999999999999999E-3</v>
      </c>
      <c r="Q72">
        <v>-0.89449999999999996</v>
      </c>
      <c r="S72">
        <f t="shared" si="8"/>
        <v>1460.542105263158</v>
      </c>
      <c r="T72">
        <f t="shared" si="7"/>
        <v>6625.6115552248903</v>
      </c>
    </row>
    <row r="73" spans="1:26">
      <c r="A73">
        <v>72</v>
      </c>
      <c r="B73">
        <v>17575</v>
      </c>
      <c r="C73">
        <f t="shared" si="13"/>
        <v>23862.344305142618</v>
      </c>
      <c r="D73">
        <f t="shared" si="14"/>
        <v>0.73651606796287739</v>
      </c>
      <c r="M73">
        <v>1515</v>
      </c>
      <c r="O73">
        <v>-0.10589999999999999</v>
      </c>
      <c r="P73">
        <v>1.49E-2</v>
      </c>
      <c r="Q73">
        <v>-1.2782</v>
      </c>
      <c r="S73">
        <f t="shared" si="8"/>
        <v>1515.0703493862134</v>
      </c>
      <c r="T73">
        <f t="shared" si="7"/>
        <v>6630.6571943715753</v>
      </c>
      <c r="V73" t="s">
        <v>115</v>
      </c>
      <c r="W73">
        <v>1</v>
      </c>
      <c r="X73">
        <v>6630.01</v>
      </c>
      <c r="Z73">
        <f>300000*(T73/X73-1)</f>
        <v>29.284769023352197</v>
      </c>
    </row>
    <row r="74" spans="1:26">
      <c r="A74">
        <v>73</v>
      </c>
      <c r="B74">
        <v>16048</v>
      </c>
      <c r="C74">
        <f t="shared" si="13"/>
        <v>23877.292310883935</v>
      </c>
      <c r="D74">
        <f t="shared" si="14"/>
        <v>0.6721030086265215</v>
      </c>
    </row>
    <row r="75" spans="1:26">
      <c r="A75">
        <v>74</v>
      </c>
      <c r="B75">
        <v>14097</v>
      </c>
      <c r="C75">
        <f t="shared" si="13"/>
        <v>23892.287036052938</v>
      </c>
      <c r="D75">
        <f t="shared" si="14"/>
        <v>0.59002304713349274</v>
      </c>
    </row>
    <row r="76" spans="1:26">
      <c r="A76">
        <v>75</v>
      </c>
      <c r="B76">
        <v>12214</v>
      </c>
      <c r="C76">
        <f t="shared" si="13"/>
        <v>23907.328123402342</v>
      </c>
      <c r="D76">
        <f t="shared" si="14"/>
        <v>0.51088937822558234</v>
      </c>
    </row>
    <row r="77" spans="1:26">
      <c r="A77">
        <v>76</v>
      </c>
      <c r="B77">
        <v>10611</v>
      </c>
      <c r="C77">
        <f t="shared" si="13"/>
        <v>23922.415216248653</v>
      </c>
      <c r="D77">
        <f t="shared" si="14"/>
        <v>0.44355889253158542</v>
      </c>
    </row>
    <row r="78" spans="1:26" ht="17.25">
      <c r="A78">
        <v>77</v>
      </c>
      <c r="B78">
        <v>9757</v>
      </c>
      <c r="C78">
        <f t="shared" si="13"/>
        <v>23937.547958472165</v>
      </c>
      <c r="D78">
        <f t="shared" si="14"/>
        <v>0.40760231653329076</v>
      </c>
      <c r="F78">
        <v>77.5</v>
      </c>
      <c r="G78" t="s">
        <v>57</v>
      </c>
    </row>
    <row r="79" spans="1:26" ht="17.25">
      <c r="A79">
        <v>78</v>
      </c>
      <c r="B79">
        <v>9665</v>
      </c>
      <c r="C79">
        <f t="shared" si="13"/>
        <v>23952.72599451695</v>
      </c>
      <c r="D79">
        <f t="shared" si="14"/>
        <v>0.40350313372316904</v>
      </c>
      <c r="F79">
        <v>77.5</v>
      </c>
      <c r="G79" t="s">
        <v>58</v>
      </c>
    </row>
    <row r="80" spans="1:26">
      <c r="A80">
        <v>79</v>
      </c>
      <c r="B80">
        <v>10521</v>
      </c>
      <c r="C80">
        <f t="shared" si="13"/>
        <v>23967.94896939088</v>
      </c>
      <c r="D80">
        <f t="shared" si="14"/>
        <v>0.43896121497238738</v>
      </c>
    </row>
    <row r="81" spans="1:4">
      <c r="A81">
        <v>80</v>
      </c>
      <c r="B81">
        <v>11943</v>
      </c>
      <c r="C81">
        <f t="shared" si="13"/>
        <v>23983.216528665598</v>
      </c>
      <c r="D81">
        <f t="shared" si="14"/>
        <v>0.49797323831544027</v>
      </c>
    </row>
    <row r="82" spans="1:4">
      <c r="A82">
        <v>81</v>
      </c>
      <c r="B82">
        <v>13649</v>
      </c>
      <c r="C82">
        <f t="shared" si="13"/>
        <v>23998.52831847655</v>
      </c>
      <c r="D82">
        <f t="shared" si="14"/>
        <v>0.56874320870299311</v>
      </c>
    </row>
    <row r="83" spans="1:4">
      <c r="A83">
        <v>82</v>
      </c>
      <c r="B83">
        <v>15087</v>
      </c>
      <c r="C83">
        <f t="shared" si="13"/>
        <v>24013.883985522953</v>
      </c>
      <c r="D83">
        <f t="shared" si="14"/>
        <v>0.62826155107167891</v>
      </c>
    </row>
    <row r="84" spans="1:4">
      <c r="A84">
        <v>83</v>
      </c>
      <c r="B84">
        <v>15960</v>
      </c>
      <c r="C84">
        <f t="shared" si="13"/>
        <v>24029.283177067824</v>
      </c>
      <c r="D84">
        <f t="shared" si="14"/>
        <v>0.66418960076309363</v>
      </c>
    </row>
    <row r="85" spans="1:4">
      <c r="A85">
        <v>84</v>
      </c>
      <c r="B85">
        <v>16155</v>
      </c>
      <c r="C85">
        <f t="shared" si="13"/>
        <v>24044.725540937961</v>
      </c>
      <c r="D85">
        <f t="shared" si="14"/>
        <v>0.67187292167235979</v>
      </c>
    </row>
    <row r="86" spans="1:4">
      <c r="A86">
        <v>85</v>
      </c>
      <c r="B86">
        <v>16137</v>
      </c>
      <c r="C86">
        <f t="shared" si="13"/>
        <v>24060.210725523943</v>
      </c>
      <c r="D86">
        <f t="shared" si="14"/>
        <v>0.67069238021599231</v>
      </c>
    </row>
    <row r="87" spans="1:4">
      <c r="A87">
        <v>86</v>
      </c>
      <c r="B87">
        <v>16586</v>
      </c>
      <c r="C87">
        <f t="shared" si="13"/>
        <v>24075.738379780145</v>
      </c>
      <c r="D87">
        <f t="shared" si="14"/>
        <v>0.68890929691816416</v>
      </c>
    </row>
    <row r="88" spans="1:4">
      <c r="A88">
        <v>87</v>
      </c>
      <c r="B88">
        <v>18024</v>
      </c>
      <c r="C88">
        <f t="shared" si="13"/>
        <v>24091.308153224723</v>
      </c>
      <c r="D88">
        <f t="shared" si="14"/>
        <v>0.74815364468232126</v>
      </c>
    </row>
    <row r="89" spans="1:4">
      <c r="A89">
        <v>88</v>
      </c>
      <c r="B89">
        <v>19682</v>
      </c>
      <c r="C89">
        <f t="shared" si="13"/>
        <v>24106.919695939625</v>
      </c>
      <c r="D89">
        <f t="shared" si="14"/>
        <v>0.8164460764066459</v>
      </c>
    </row>
    <row r="90" spans="1:4">
      <c r="A90">
        <v>89</v>
      </c>
      <c r="B90">
        <v>21103</v>
      </c>
      <c r="C90">
        <f t="shared" si="13"/>
        <v>24122.572658570578</v>
      </c>
      <c r="D90">
        <f t="shared" si="14"/>
        <v>0.87482377185429494</v>
      </c>
    </row>
    <row r="91" spans="1:4">
      <c r="A91">
        <v>90</v>
      </c>
      <c r="B91">
        <v>22061</v>
      </c>
      <c r="C91">
        <f t="shared" si="13"/>
        <v>24138.266692327099</v>
      </c>
      <c r="D91">
        <f t="shared" si="14"/>
        <v>0.91394300515424309</v>
      </c>
    </row>
    <row r="92" spans="1:4">
      <c r="A92">
        <v>91</v>
      </c>
      <c r="B92">
        <v>22250</v>
      </c>
      <c r="C92">
        <f t="shared" si="13"/>
        <v>24154.001448982497</v>
      </c>
      <c r="D92">
        <f t="shared" si="14"/>
        <v>0.92117242134790445</v>
      </c>
    </row>
    <row r="93" spans="1:4">
      <c r="A93">
        <v>92</v>
      </c>
      <c r="B93">
        <v>21925</v>
      </c>
      <c r="C93">
        <f t="shared" si="13"/>
        <v>24169.776580873859</v>
      </c>
      <c r="D93">
        <f t="shared" si="14"/>
        <v>0.90712464497292022</v>
      </c>
    </row>
    <row r="94" spans="1:4">
      <c r="A94">
        <v>93</v>
      </c>
      <c r="B94">
        <v>21356</v>
      </c>
      <c r="C94">
        <f t="shared" si="13"/>
        <v>24185.591740902062</v>
      </c>
      <c r="D94">
        <f t="shared" si="14"/>
        <v>0.88300506470070239</v>
      </c>
    </row>
    <row r="95" spans="1:4">
      <c r="A95">
        <v>94</v>
      </c>
      <c r="B95">
        <v>20590</v>
      </c>
      <c r="C95">
        <f t="shared" si="13"/>
        <v>24201.446582531775</v>
      </c>
      <c r="D95">
        <f t="shared" si="14"/>
        <v>0.85077559020217985</v>
      </c>
    </row>
    <row r="96" spans="1:4">
      <c r="A96">
        <v>95</v>
      </c>
      <c r="B96">
        <v>19763</v>
      </c>
      <c r="C96">
        <f t="shared" si="13"/>
        <v>24217.340759791441</v>
      </c>
      <c r="D96">
        <f t="shared" si="14"/>
        <v>0.81606813051963667</v>
      </c>
    </row>
    <row r="97" spans="1:7">
      <c r="A97">
        <v>96</v>
      </c>
      <c r="B97">
        <v>18046</v>
      </c>
      <c r="C97">
        <f t="shared" si="13"/>
        <v>24233.273927273309</v>
      </c>
      <c r="D97">
        <f t="shared" si="14"/>
        <v>0.74467857930207904</v>
      </c>
    </row>
    <row r="98" spans="1:7">
      <c r="A98">
        <v>97</v>
      </c>
      <c r="B98">
        <v>15853</v>
      </c>
      <c r="C98">
        <f t="shared" si="13"/>
        <v>24249.245740133392</v>
      </c>
      <c r="D98">
        <f t="shared" si="14"/>
        <v>0.65375229274709779</v>
      </c>
    </row>
    <row r="99" spans="1:7">
      <c r="A99">
        <v>98</v>
      </c>
      <c r="B99">
        <v>13899</v>
      </c>
      <c r="C99">
        <f t="shared" si="13"/>
        <v>24265.255854091505</v>
      </c>
      <c r="D99">
        <f t="shared" si="14"/>
        <v>0.57279429005717275</v>
      </c>
    </row>
    <row r="100" spans="1:7" ht="17.25">
      <c r="A100">
        <v>99</v>
      </c>
      <c r="B100">
        <v>12592</v>
      </c>
      <c r="C100">
        <f t="shared" si="13"/>
        <v>24281.303925431246</v>
      </c>
      <c r="D100">
        <f t="shared" si="14"/>
        <v>0.51858829487372193</v>
      </c>
      <c r="F100">
        <v>99.5</v>
      </c>
      <c r="G100" t="s">
        <v>59</v>
      </c>
    </row>
    <row r="101" spans="1:7" ht="17.25">
      <c r="A101">
        <v>100</v>
      </c>
      <c r="B101">
        <v>12470</v>
      </c>
      <c r="C101">
        <f t="shared" si="13"/>
        <v>24297.389610999999</v>
      </c>
      <c r="D101">
        <f t="shared" si="14"/>
        <v>0.51322385653949176</v>
      </c>
      <c r="F101">
        <v>99.5</v>
      </c>
      <c r="G101" t="s">
        <v>60</v>
      </c>
    </row>
    <row r="102" spans="1:7">
      <c r="A102">
        <v>101</v>
      </c>
      <c r="B102">
        <v>13501</v>
      </c>
      <c r="C102">
        <f t="shared" si="13"/>
        <v>24313.512568208935</v>
      </c>
      <c r="D102">
        <f t="shared" si="14"/>
        <v>0.55528792732536703</v>
      </c>
    </row>
    <row r="103" spans="1:7">
      <c r="A103">
        <v>102</v>
      </c>
      <c r="B103">
        <v>15047</v>
      </c>
      <c r="C103">
        <f t="shared" si="13"/>
        <v>24329.672455033007</v>
      </c>
      <c r="D103">
        <f t="shared" si="14"/>
        <v>0.61846290893600875</v>
      </c>
    </row>
    <row r="104" spans="1:7">
      <c r="A104">
        <v>103</v>
      </c>
      <c r="B104">
        <v>16444</v>
      </c>
      <c r="C104">
        <f t="shared" si="13"/>
        <v>24345.868930010965</v>
      </c>
      <c r="D104">
        <f t="shared" si="14"/>
        <v>0.67543286490504384</v>
      </c>
    </row>
    <row r="105" spans="1:7">
      <c r="A105">
        <v>104</v>
      </c>
      <c r="B105">
        <v>17057</v>
      </c>
      <c r="C105">
        <f t="shared" si="13"/>
        <v>24362.101652245339</v>
      </c>
      <c r="D105">
        <f t="shared" si="14"/>
        <v>0.70014484971282998</v>
      </c>
    </row>
    <row r="106" spans="1:7">
      <c r="A106">
        <v>105</v>
      </c>
      <c r="B106">
        <v>16978</v>
      </c>
      <c r="C106">
        <f t="shared" si="13"/>
        <v>24378.370281402444</v>
      </c>
      <c r="D106">
        <f t="shared" si="14"/>
        <v>0.69643703840826587</v>
      </c>
    </row>
    <row r="107" spans="1:7">
      <c r="A107">
        <v>106</v>
      </c>
      <c r="B107">
        <v>16459</v>
      </c>
      <c r="C107">
        <f t="shared" si="13"/>
        <v>24394.674477712382</v>
      </c>
      <c r="D107">
        <f t="shared" si="14"/>
        <v>0.67469643897225917</v>
      </c>
    </row>
    <row r="108" spans="1:7">
      <c r="A108">
        <v>107</v>
      </c>
      <c r="B108">
        <v>16643</v>
      </c>
      <c r="C108">
        <f t="shared" si="13"/>
        <v>24411.013901969047</v>
      </c>
      <c r="D108">
        <f t="shared" si="14"/>
        <v>0.68178241456236843</v>
      </c>
    </row>
    <row r="109" spans="1:7">
      <c r="A109">
        <v>108</v>
      </c>
      <c r="B109">
        <v>17366</v>
      </c>
      <c r="C109">
        <f t="shared" si="13"/>
        <v>24427.388215530114</v>
      </c>
      <c r="D109">
        <f t="shared" si="14"/>
        <v>0.71092332290192528</v>
      </c>
    </row>
    <row r="110" spans="1:7">
      <c r="A110">
        <v>109</v>
      </c>
      <c r="B110">
        <v>18913</v>
      </c>
      <c r="C110">
        <f t="shared" si="13"/>
        <v>24443.797080317046</v>
      </c>
      <c r="D110">
        <f t="shared" si="14"/>
        <v>0.7737341272248317</v>
      </c>
    </row>
    <row r="111" spans="1:7">
      <c r="A111">
        <v>110</v>
      </c>
      <c r="B111">
        <v>20719</v>
      </c>
      <c r="C111">
        <f t="shared" si="13"/>
        <v>24460.240158815101</v>
      </c>
      <c r="D111">
        <f t="shared" si="14"/>
        <v>0.84704810195958713</v>
      </c>
    </row>
    <row r="112" spans="1:7">
      <c r="A112">
        <v>111</v>
      </c>
      <c r="B112">
        <v>22100</v>
      </c>
      <c r="C112">
        <f t="shared" si="13"/>
        <v>24476.717114073304</v>
      </c>
      <c r="D112">
        <f t="shared" si="14"/>
        <v>0.90289886086452453</v>
      </c>
    </row>
    <row r="113" spans="1:4">
      <c r="A113">
        <v>112</v>
      </c>
      <c r="B113">
        <v>23097</v>
      </c>
      <c r="C113">
        <f t="shared" si="13"/>
        <v>24493.227609704489</v>
      </c>
      <c r="D113">
        <f t="shared" si="14"/>
        <v>0.94299536051543942</v>
      </c>
    </row>
    <row r="114" spans="1:4">
      <c r="A114">
        <v>113</v>
      </c>
      <c r="B114">
        <v>23311</v>
      </c>
      <c r="C114">
        <f t="shared" si="13"/>
        <v>24509.771309885258</v>
      </c>
      <c r="D114">
        <f t="shared" si="14"/>
        <v>0.95109006547924124</v>
      </c>
    </row>
    <row r="115" spans="1:4">
      <c r="A115">
        <v>114</v>
      </c>
      <c r="B115">
        <v>23281</v>
      </c>
      <c r="C115">
        <f t="shared" si="13"/>
        <v>24526.347879356017</v>
      </c>
      <c r="D115">
        <f t="shared" si="14"/>
        <v>0.94922407993714242</v>
      </c>
    </row>
    <row r="116" spans="1:4">
      <c r="A116">
        <v>115</v>
      </c>
      <c r="B116">
        <v>23439</v>
      </c>
      <c r="C116">
        <f t="shared" si="13"/>
        <v>24542.956983420943</v>
      </c>
      <c r="D116">
        <f t="shared" si="14"/>
        <v>0.95501939785957013</v>
      </c>
    </row>
    <row r="117" spans="1:4">
      <c r="A117">
        <v>116</v>
      </c>
      <c r="B117">
        <v>23744</v>
      </c>
      <c r="C117">
        <f t="shared" si="13"/>
        <v>24559.598287948007</v>
      </c>
      <c r="D117">
        <f t="shared" si="14"/>
        <v>0.96679105747636596</v>
      </c>
    </row>
    <row r="118" spans="1:4">
      <c r="A118">
        <v>117</v>
      </c>
      <c r="B118">
        <v>23865</v>
      </c>
      <c r="C118">
        <f t="shared" si="13"/>
        <v>24576.271459368971</v>
      </c>
      <c r="D118">
        <f t="shared" si="14"/>
        <v>0.97105860990570159</v>
      </c>
    </row>
    <row r="119" spans="1:4">
      <c r="A119">
        <v>118</v>
      </c>
      <c r="B119">
        <v>23439</v>
      </c>
      <c r="C119">
        <f t="shared" si="13"/>
        <v>24592.97616467937</v>
      </c>
      <c r="D119">
        <f t="shared" si="14"/>
        <v>0.9530770022728392</v>
      </c>
    </row>
    <row r="120" spans="1:4">
      <c r="A120">
        <v>119</v>
      </c>
      <c r="B120">
        <v>22993</v>
      </c>
      <c r="C120">
        <f t="shared" si="13"/>
        <v>24609.712071438542</v>
      </c>
      <c r="D120">
        <f t="shared" si="14"/>
        <v>0.93430593309074672</v>
      </c>
    </row>
    <row r="121" spans="1:4">
      <c r="A121">
        <v>120</v>
      </c>
      <c r="B121">
        <v>22107</v>
      </c>
      <c r="C121">
        <f t="shared" si="13"/>
        <v>24626.478847769598</v>
      </c>
      <c r="D121">
        <f t="shared" si="14"/>
        <v>0.89769228222418873</v>
      </c>
    </row>
    <row r="122" spans="1:4">
      <c r="A122">
        <v>121</v>
      </c>
      <c r="B122">
        <v>20886</v>
      </c>
      <c r="C122">
        <f t="shared" si="13"/>
        <v>24643.276162359445</v>
      </c>
      <c r="D122">
        <f t="shared" si="14"/>
        <v>0.84753341489154876</v>
      </c>
    </row>
    <row r="123" spans="1:4">
      <c r="A123">
        <v>122</v>
      </c>
      <c r="B123">
        <v>19598</v>
      </c>
      <c r="C123">
        <f t="shared" si="13"/>
        <v>24660.103684458776</v>
      </c>
      <c r="D123">
        <f t="shared" si="14"/>
        <v>0.79472496347819488</v>
      </c>
    </row>
    <row r="124" spans="1:4">
      <c r="A124">
        <v>123</v>
      </c>
      <c r="B124">
        <v>18623</v>
      </c>
      <c r="C124">
        <f t="shared" si="13"/>
        <v>24676.961083882059</v>
      </c>
      <c r="D124">
        <f t="shared" si="14"/>
        <v>0.75467153093513406</v>
      </c>
    </row>
    <row r="125" spans="1:4">
      <c r="A125">
        <v>124</v>
      </c>
      <c r="B125">
        <v>18197</v>
      </c>
      <c r="C125">
        <f t="shared" si="13"/>
        <v>24693.848031007565</v>
      </c>
      <c r="D125">
        <f t="shared" si="14"/>
        <v>0.73690418670878655</v>
      </c>
    </row>
    <row r="126" spans="1:4">
      <c r="A126">
        <v>125</v>
      </c>
      <c r="B126">
        <v>18700</v>
      </c>
      <c r="C126">
        <f t="shared" si="13"/>
        <v>24710.764196777342</v>
      </c>
      <c r="D126">
        <f t="shared" si="14"/>
        <v>0.75675522825145014</v>
      </c>
    </row>
    <row r="127" spans="1:4">
      <c r="A127">
        <v>126</v>
      </c>
      <c r="B127">
        <v>19478</v>
      </c>
      <c r="C127">
        <f t="shared" si="13"/>
        <v>24727.709252697226</v>
      </c>
      <c r="D127">
        <f t="shared" si="14"/>
        <v>0.78769932956387367</v>
      </c>
    </row>
    <row r="128" spans="1:4">
      <c r="A128">
        <v>127</v>
      </c>
      <c r="B128">
        <v>19954</v>
      </c>
      <c r="C128">
        <f t="shared" si="13"/>
        <v>24744.682870836841</v>
      </c>
      <c r="D128">
        <f t="shared" si="14"/>
        <v>0.80639546298316234</v>
      </c>
    </row>
    <row r="129" spans="1:4">
      <c r="A129">
        <v>128</v>
      </c>
      <c r="B129">
        <v>20313</v>
      </c>
      <c r="C129">
        <f t="shared" si="13"/>
        <v>24761.684723829596</v>
      </c>
      <c r="D129">
        <f t="shared" si="14"/>
        <v>0.82033998197431335</v>
      </c>
    </row>
    <row r="130" spans="1:4">
      <c r="A130">
        <v>129</v>
      </c>
      <c r="B130">
        <v>20660</v>
      </c>
      <c r="C130">
        <f t="shared" ref="C130:C193" si="15" xml:space="preserve"> 0.00000002349111*A130*A130*A130*A130 - 0.0000664476*A130*A130*A130 + 0.03716061*A130*A130 + 10.57172*A130 + 22932.71</f>
        <v>24778.714484872686</v>
      </c>
      <c r="D130">
        <f t="shared" ref="D130:D193" si="16">B130/C130</f>
        <v>0.83378013869980439</v>
      </c>
    </row>
    <row r="131" spans="1:4">
      <c r="A131">
        <v>130</v>
      </c>
      <c r="B131">
        <v>21250</v>
      </c>
      <c r="C131">
        <f t="shared" si="15"/>
        <v>24795.771827727098</v>
      </c>
      <c r="D131">
        <f t="shared" si="16"/>
        <v>0.85700094950211836</v>
      </c>
    </row>
    <row r="132" spans="1:4">
      <c r="A132">
        <v>131</v>
      </c>
      <c r="B132">
        <v>22145</v>
      </c>
      <c r="C132">
        <f t="shared" si="15"/>
        <v>24812.856426717601</v>
      </c>
      <c r="D132">
        <f t="shared" si="16"/>
        <v>0.89248088245717061</v>
      </c>
    </row>
    <row r="133" spans="1:4">
      <c r="A133">
        <v>132</v>
      </c>
      <c r="B133">
        <v>22508</v>
      </c>
      <c r="C133">
        <f t="shared" si="15"/>
        <v>24829.967956732751</v>
      </c>
      <c r="D133">
        <f t="shared" si="16"/>
        <v>0.90648526164919441</v>
      </c>
    </row>
    <row r="134" spans="1:4">
      <c r="A134">
        <v>133</v>
      </c>
      <c r="B134">
        <v>22439</v>
      </c>
      <c r="C134">
        <f t="shared" si="15"/>
        <v>24847.106093224887</v>
      </c>
      <c r="D134">
        <f t="shared" si="16"/>
        <v>0.9030830357390589</v>
      </c>
    </row>
    <row r="135" spans="1:4">
      <c r="A135">
        <v>134</v>
      </c>
      <c r="B135">
        <v>22374</v>
      </c>
      <c r="C135">
        <f t="shared" si="15"/>
        <v>24864.270512210147</v>
      </c>
      <c r="D135">
        <f t="shared" si="16"/>
        <v>0.89984542233051856</v>
      </c>
    </row>
    <row r="136" spans="1:4">
      <c r="A136">
        <v>135</v>
      </c>
      <c r="B136">
        <v>22191</v>
      </c>
      <c r="C136">
        <f t="shared" si="15"/>
        <v>24881.460890268441</v>
      </c>
      <c r="D136">
        <f t="shared" si="16"/>
        <v>0.89186885359610357</v>
      </c>
    </row>
    <row r="137" spans="1:4">
      <c r="A137">
        <v>136</v>
      </c>
      <c r="B137">
        <v>22344</v>
      </c>
      <c r="C137">
        <f t="shared" si="15"/>
        <v>24898.676904543478</v>
      </c>
      <c r="D137">
        <f t="shared" si="16"/>
        <v>0.89739708200810853</v>
      </c>
    </row>
    <row r="138" spans="1:4">
      <c r="A138">
        <v>137</v>
      </c>
      <c r="B138">
        <v>22543</v>
      </c>
      <c r="C138">
        <f t="shared" si="15"/>
        <v>24915.918232742741</v>
      </c>
      <c r="D138">
        <f t="shared" si="16"/>
        <v>0.9047629627542918</v>
      </c>
    </row>
    <row r="139" spans="1:4">
      <c r="A139">
        <v>138</v>
      </c>
      <c r="B139">
        <v>23068</v>
      </c>
      <c r="C139">
        <f t="shared" si="15"/>
        <v>24933.184553137507</v>
      </c>
      <c r="D139">
        <f t="shared" si="16"/>
        <v>0.92519268651132658</v>
      </c>
    </row>
    <row r="140" spans="1:4">
      <c r="A140">
        <v>139</v>
      </c>
      <c r="B140">
        <v>23154</v>
      </c>
      <c r="C140">
        <f t="shared" si="15"/>
        <v>24950.475544562843</v>
      </c>
      <c r="D140">
        <f t="shared" si="16"/>
        <v>0.92799834450633034</v>
      </c>
    </row>
    <row r="141" spans="1:4">
      <c r="A141">
        <v>140</v>
      </c>
      <c r="B141">
        <v>23144</v>
      </c>
      <c r="C141">
        <f t="shared" si="15"/>
        <v>24967.790886417599</v>
      </c>
      <c r="D141">
        <f t="shared" si="16"/>
        <v>0.92695425499539352</v>
      </c>
    </row>
    <row r="142" spans="1:4">
      <c r="A142">
        <v>141</v>
      </c>
      <c r="B142">
        <v>23139</v>
      </c>
      <c r="C142">
        <f t="shared" si="15"/>
        <v>24985.130258664409</v>
      </c>
      <c r="D142">
        <f t="shared" si="16"/>
        <v>0.92611084114623721</v>
      </c>
    </row>
    <row r="143" spans="1:4">
      <c r="A143">
        <v>142</v>
      </c>
      <c r="B143">
        <v>23154</v>
      </c>
      <c r="C143">
        <f t="shared" si="15"/>
        <v>25002.493341829693</v>
      </c>
      <c r="D143">
        <f t="shared" si="16"/>
        <v>0.92606763987265517</v>
      </c>
    </row>
    <row r="144" spans="1:4">
      <c r="A144">
        <v>143</v>
      </c>
      <c r="B144">
        <v>23100</v>
      </c>
      <c r="C144">
        <f t="shared" si="15"/>
        <v>25019.879817003668</v>
      </c>
      <c r="D144">
        <f t="shared" si="16"/>
        <v>0.92326582577351524</v>
      </c>
    </row>
    <row r="145" spans="1:7">
      <c r="A145">
        <v>144</v>
      </c>
      <c r="B145">
        <v>23022</v>
      </c>
      <c r="C145">
        <f t="shared" si="15"/>
        <v>25037.289365840323</v>
      </c>
      <c r="D145">
        <f t="shared" si="16"/>
        <v>0.91950848446917388</v>
      </c>
    </row>
    <row r="146" spans="1:7">
      <c r="A146">
        <v>145</v>
      </c>
      <c r="B146">
        <v>22788</v>
      </c>
      <c r="C146">
        <f t="shared" si="15"/>
        <v>25054.721670557443</v>
      </c>
      <c r="D146">
        <f t="shared" si="16"/>
        <v>0.90952916179383725</v>
      </c>
    </row>
    <row r="147" spans="1:7">
      <c r="A147">
        <v>146</v>
      </c>
      <c r="B147">
        <v>22893</v>
      </c>
      <c r="C147">
        <f t="shared" si="15"/>
        <v>25072.176413936599</v>
      </c>
      <c r="D147">
        <f t="shared" si="16"/>
        <v>0.91308387521055878</v>
      </c>
    </row>
    <row r="148" spans="1:7">
      <c r="A148">
        <v>147</v>
      </c>
      <c r="B148">
        <v>22914</v>
      </c>
      <c r="C148">
        <f t="shared" si="15"/>
        <v>25089.653279323145</v>
      </c>
      <c r="D148">
        <f t="shared" si="16"/>
        <v>0.91328484076278005</v>
      </c>
    </row>
    <row r="149" spans="1:7">
      <c r="A149">
        <v>148</v>
      </c>
      <c r="B149">
        <v>22904</v>
      </c>
      <c r="C149">
        <f t="shared" si="15"/>
        <v>25107.15195062623</v>
      </c>
      <c r="D149">
        <f t="shared" si="16"/>
        <v>0.91225002521358145</v>
      </c>
    </row>
    <row r="150" spans="1:7">
      <c r="A150">
        <v>149</v>
      </c>
      <c r="B150">
        <v>23050</v>
      </c>
      <c r="C150">
        <f t="shared" si="15"/>
        <v>25124.672112318774</v>
      </c>
      <c r="D150">
        <f t="shared" si="16"/>
        <v>0.91742490795326437</v>
      </c>
    </row>
    <row r="151" spans="1:7">
      <c r="A151">
        <v>150</v>
      </c>
      <c r="B151">
        <v>23452</v>
      </c>
      <c r="C151">
        <f t="shared" si="15"/>
        <v>25142.213449437499</v>
      </c>
      <c r="D151">
        <f t="shared" si="16"/>
        <v>0.93277388035716824</v>
      </c>
    </row>
    <row r="152" spans="1:7">
      <c r="A152">
        <v>151</v>
      </c>
      <c r="B152">
        <v>23827</v>
      </c>
      <c r="C152">
        <f t="shared" si="15"/>
        <v>25159.775647582905</v>
      </c>
      <c r="D152">
        <f t="shared" si="16"/>
        <v>0.94702752257208844</v>
      </c>
    </row>
    <row r="153" spans="1:7">
      <c r="A153">
        <v>152</v>
      </c>
      <c r="B153">
        <v>23509</v>
      </c>
      <c r="C153">
        <f t="shared" si="15"/>
        <v>25177.358392919283</v>
      </c>
      <c r="D153">
        <f t="shared" si="16"/>
        <v>0.93373576501224687</v>
      </c>
    </row>
    <row r="154" spans="1:7">
      <c r="A154">
        <v>153</v>
      </c>
      <c r="B154">
        <v>22686</v>
      </c>
      <c r="C154">
        <f t="shared" si="15"/>
        <v>25194.961372174712</v>
      </c>
      <c r="D154">
        <f t="shared" si="16"/>
        <v>0.90041812983505476</v>
      </c>
    </row>
    <row r="155" spans="1:7">
      <c r="A155">
        <v>154</v>
      </c>
      <c r="B155">
        <v>21232</v>
      </c>
      <c r="C155">
        <f t="shared" si="15"/>
        <v>25212.584272641048</v>
      </c>
      <c r="D155">
        <f t="shared" si="16"/>
        <v>0.84211914853327818</v>
      </c>
    </row>
    <row r="156" spans="1:7">
      <c r="A156">
        <v>155</v>
      </c>
      <c r="B156">
        <v>20107</v>
      </c>
      <c r="C156">
        <f t="shared" si="15"/>
        <v>25230.226782173944</v>
      </c>
      <c r="D156">
        <f t="shared" si="16"/>
        <v>0.79694091430863845</v>
      </c>
    </row>
    <row r="157" spans="1:7" ht="17.25">
      <c r="A157">
        <v>156</v>
      </c>
      <c r="B157">
        <v>19838</v>
      </c>
      <c r="C157">
        <f t="shared" si="15"/>
        <v>25247.888589192833</v>
      </c>
      <c r="D157">
        <f t="shared" si="16"/>
        <v>0.78572906918210594</v>
      </c>
      <c r="F157">
        <v>156</v>
      </c>
      <c r="G157" t="s">
        <v>61</v>
      </c>
    </row>
    <row r="158" spans="1:7" ht="17.25">
      <c r="A158">
        <v>157</v>
      </c>
      <c r="B158">
        <v>20370</v>
      </c>
      <c r="C158">
        <f t="shared" si="15"/>
        <v>25265.569382680944</v>
      </c>
      <c r="D158">
        <f t="shared" si="16"/>
        <v>0.8062355410032136</v>
      </c>
      <c r="F158">
        <v>156</v>
      </c>
      <c r="G158" t="s">
        <v>62</v>
      </c>
    </row>
    <row r="159" spans="1:7">
      <c r="A159">
        <v>158</v>
      </c>
      <c r="B159">
        <v>21499</v>
      </c>
      <c r="C159">
        <f t="shared" si="15"/>
        <v>25283.268852185276</v>
      </c>
      <c r="D159">
        <f t="shared" si="16"/>
        <v>0.85032517455280732</v>
      </c>
    </row>
    <row r="160" spans="1:7">
      <c r="A160">
        <v>159</v>
      </c>
      <c r="B160">
        <v>22501</v>
      </c>
      <c r="C160">
        <f t="shared" si="15"/>
        <v>25300.986687816636</v>
      </c>
      <c r="D160">
        <f t="shared" si="16"/>
        <v>0.88933290537776011</v>
      </c>
    </row>
    <row r="161" spans="1:4">
      <c r="A161">
        <v>160</v>
      </c>
      <c r="B161">
        <v>23583</v>
      </c>
      <c r="C161">
        <f t="shared" si="15"/>
        <v>25318.7225802496</v>
      </c>
      <c r="D161">
        <f t="shared" si="16"/>
        <v>0.93144509661780539</v>
      </c>
    </row>
    <row r="162" spans="1:4">
      <c r="A162">
        <v>161</v>
      </c>
      <c r="B162">
        <v>24295</v>
      </c>
      <c r="C162">
        <f t="shared" si="15"/>
        <v>25336.476220722536</v>
      </c>
      <c r="D162">
        <f t="shared" si="16"/>
        <v>0.95889419619170568</v>
      </c>
    </row>
    <row r="163" spans="1:4">
      <c r="A163">
        <v>162</v>
      </c>
      <c r="B163">
        <v>24801</v>
      </c>
      <c r="C163">
        <f t="shared" si="15"/>
        <v>25354.247301037605</v>
      </c>
      <c r="D163">
        <f t="shared" si="16"/>
        <v>0.97817930485299942</v>
      </c>
    </row>
    <row r="164" spans="1:4">
      <c r="A164">
        <v>163</v>
      </c>
      <c r="B164">
        <v>25026</v>
      </c>
      <c r="C164">
        <f t="shared" si="15"/>
        <v>25372.035513560742</v>
      </c>
      <c r="D164">
        <f t="shared" si="16"/>
        <v>0.98636153912933811</v>
      </c>
    </row>
    <row r="165" spans="1:4">
      <c r="A165">
        <v>164</v>
      </c>
      <c r="B165">
        <v>25422</v>
      </c>
      <c r="C165">
        <f t="shared" si="15"/>
        <v>25389.840551221685</v>
      </c>
      <c r="D165">
        <f t="shared" si="16"/>
        <v>1.0012666266538159</v>
      </c>
    </row>
    <row r="166" spans="1:4">
      <c r="A166">
        <v>165</v>
      </c>
      <c r="B166">
        <v>25697</v>
      </c>
      <c r="C166">
        <f t="shared" si="15"/>
        <v>25407.662107513941</v>
      </c>
      <c r="D166">
        <f t="shared" si="16"/>
        <v>1.011387820385115</v>
      </c>
    </row>
    <row r="167" spans="1:4">
      <c r="A167">
        <v>166</v>
      </c>
      <c r="B167">
        <v>25708</v>
      </c>
      <c r="C167">
        <f t="shared" si="15"/>
        <v>25425.499876494818</v>
      </c>
      <c r="D167">
        <f t="shared" si="16"/>
        <v>1.0111108975193186</v>
      </c>
    </row>
    <row r="168" spans="1:4">
      <c r="A168">
        <v>167</v>
      </c>
      <c r="B168">
        <v>25031</v>
      </c>
      <c r="C168">
        <f t="shared" si="15"/>
        <v>25443.353552785404</v>
      </c>
      <c r="D168">
        <f t="shared" si="16"/>
        <v>0.98379327033561337</v>
      </c>
    </row>
    <row r="169" spans="1:4">
      <c r="A169">
        <v>168</v>
      </c>
      <c r="B169">
        <v>24271</v>
      </c>
      <c r="C169">
        <f t="shared" si="15"/>
        <v>25461.222831570572</v>
      </c>
      <c r="D169">
        <f t="shared" si="16"/>
        <v>0.95325350870050285</v>
      </c>
    </row>
    <row r="170" spans="1:4">
      <c r="A170">
        <v>169</v>
      </c>
      <c r="B170">
        <v>23738</v>
      </c>
      <c r="C170">
        <f t="shared" si="15"/>
        <v>25479.107408598989</v>
      </c>
      <c r="D170">
        <f t="shared" si="16"/>
        <v>0.93166529028362355</v>
      </c>
    </row>
    <row r="171" spans="1:4">
      <c r="A171">
        <v>170</v>
      </c>
      <c r="B171">
        <v>23918</v>
      </c>
      <c r="C171">
        <f t="shared" si="15"/>
        <v>25497.006980183098</v>
      </c>
      <c r="D171">
        <f t="shared" si="16"/>
        <v>0.93807088881411294</v>
      </c>
    </row>
    <row r="172" spans="1:4">
      <c r="A172">
        <v>171</v>
      </c>
      <c r="B172">
        <v>24612</v>
      </c>
      <c r="C172">
        <f t="shared" si="15"/>
        <v>25514.92124319914</v>
      </c>
      <c r="D172">
        <f t="shared" si="16"/>
        <v>0.96461203095268</v>
      </c>
    </row>
    <row r="173" spans="1:4">
      <c r="A173">
        <v>172</v>
      </c>
      <c r="B173">
        <v>25380</v>
      </c>
      <c r="C173">
        <f t="shared" si="15"/>
        <v>25532.849895087129</v>
      </c>
      <c r="D173">
        <f t="shared" si="16"/>
        <v>0.99401359833644976</v>
      </c>
    </row>
    <row r="174" spans="1:4">
      <c r="A174">
        <v>173</v>
      </c>
      <c r="B174">
        <v>25994</v>
      </c>
      <c r="C174">
        <f t="shared" si="15"/>
        <v>25550.792633850884</v>
      </c>
      <c r="D174">
        <f t="shared" si="16"/>
        <v>1.0173461298246353</v>
      </c>
    </row>
    <row r="175" spans="1:4">
      <c r="A175">
        <v>174</v>
      </c>
      <c r="B175">
        <v>26302</v>
      </c>
      <c r="C175">
        <f t="shared" si="15"/>
        <v>25568.749158057995</v>
      </c>
      <c r="D175">
        <f t="shared" si="16"/>
        <v>1.028677618815425</v>
      </c>
    </row>
    <row r="176" spans="1:4">
      <c r="A176">
        <v>175</v>
      </c>
      <c r="B176">
        <v>26443</v>
      </c>
      <c r="C176">
        <f t="shared" si="15"/>
        <v>25586.719166839845</v>
      </c>
      <c r="D176">
        <f t="shared" si="16"/>
        <v>1.0334658315345833</v>
      </c>
    </row>
    <row r="177" spans="1:4">
      <c r="A177">
        <v>176</v>
      </c>
      <c r="B177">
        <v>26138</v>
      </c>
      <c r="C177">
        <f t="shared" si="15"/>
        <v>25604.702359891598</v>
      </c>
      <c r="D177">
        <f t="shared" si="16"/>
        <v>1.0208281132353167</v>
      </c>
    </row>
    <row r="178" spans="1:4">
      <c r="A178">
        <v>177</v>
      </c>
      <c r="B178">
        <v>25450</v>
      </c>
      <c r="C178">
        <f t="shared" si="15"/>
        <v>25622.698437472216</v>
      </c>
      <c r="D178">
        <f t="shared" si="16"/>
        <v>0.99325994340940882</v>
      </c>
    </row>
    <row r="179" spans="1:4">
      <c r="A179">
        <v>178</v>
      </c>
      <c r="B179">
        <v>24576</v>
      </c>
      <c r="C179">
        <f t="shared" si="15"/>
        <v>25640.707100404441</v>
      </c>
      <c r="D179">
        <f t="shared" si="16"/>
        <v>0.95847590722692488</v>
      </c>
    </row>
    <row r="180" spans="1:4">
      <c r="A180">
        <v>179</v>
      </c>
      <c r="B180">
        <v>23886</v>
      </c>
      <c r="C180">
        <f t="shared" si="15"/>
        <v>25658.728050074795</v>
      </c>
      <c r="D180">
        <f t="shared" si="16"/>
        <v>0.9309113044646955</v>
      </c>
    </row>
    <row r="181" spans="1:4">
      <c r="A181">
        <v>180</v>
      </c>
      <c r="B181">
        <v>23758</v>
      </c>
      <c r="C181">
        <f t="shared" si="15"/>
        <v>25676.760988433598</v>
      </c>
      <c r="D181">
        <f t="shared" si="16"/>
        <v>0.9252724676099946</v>
      </c>
    </row>
    <row r="182" spans="1:4">
      <c r="A182">
        <v>181</v>
      </c>
      <c r="B182">
        <v>24184</v>
      </c>
      <c r="C182">
        <f t="shared" si="15"/>
        <v>25694.805617994953</v>
      </c>
      <c r="D182">
        <f t="shared" si="16"/>
        <v>0.94120190514549429</v>
      </c>
    </row>
    <row r="183" spans="1:4">
      <c r="A183">
        <v>182</v>
      </c>
      <c r="B183">
        <v>24990</v>
      </c>
      <c r="C183">
        <f t="shared" si="15"/>
        <v>25712.861641836746</v>
      </c>
      <c r="D183">
        <f t="shared" si="16"/>
        <v>0.9718871570225931</v>
      </c>
    </row>
    <row r="184" spans="1:4">
      <c r="A184">
        <v>183</v>
      </c>
      <c r="B184">
        <v>25565</v>
      </c>
      <c r="C184">
        <f t="shared" si="15"/>
        <v>25730.928763600652</v>
      </c>
      <c r="D184">
        <f t="shared" si="16"/>
        <v>0.99355138848173341</v>
      </c>
    </row>
    <row r="185" spans="1:4">
      <c r="A185">
        <v>184</v>
      </c>
      <c r="B185">
        <v>25404</v>
      </c>
      <c r="C185">
        <f t="shared" si="15"/>
        <v>25749.006687492136</v>
      </c>
      <c r="D185">
        <f t="shared" si="16"/>
        <v>0.98660116517583074</v>
      </c>
    </row>
    <row r="186" spans="1:4">
      <c r="A186">
        <v>185</v>
      </c>
      <c r="B186">
        <v>25056</v>
      </c>
      <c r="C186">
        <f t="shared" si="15"/>
        <v>25767.095118280442</v>
      </c>
      <c r="D186">
        <f t="shared" si="16"/>
        <v>0.9724029769356517</v>
      </c>
    </row>
    <row r="187" spans="1:4">
      <c r="A187">
        <v>186</v>
      </c>
      <c r="B187">
        <v>24703</v>
      </c>
      <c r="C187">
        <f t="shared" si="15"/>
        <v>25785.193761298608</v>
      </c>
      <c r="D187">
        <f t="shared" si="16"/>
        <v>0.9580304196541316</v>
      </c>
    </row>
    <row r="188" spans="1:4">
      <c r="A188">
        <v>187</v>
      </c>
      <c r="B188">
        <v>24313</v>
      </c>
      <c r="C188">
        <f t="shared" si="15"/>
        <v>25803.302322443455</v>
      </c>
      <c r="D188">
        <f t="shared" si="16"/>
        <v>0.94224373671941963</v>
      </c>
    </row>
    <row r="189" spans="1:4">
      <c r="A189">
        <v>188</v>
      </c>
      <c r="B189">
        <v>24273</v>
      </c>
      <c r="C189">
        <f t="shared" si="15"/>
        <v>25821.420508175594</v>
      </c>
      <c r="D189">
        <f t="shared" si="16"/>
        <v>0.9400334885648397</v>
      </c>
    </row>
    <row r="190" spans="1:4">
      <c r="A190">
        <v>189</v>
      </c>
      <c r="B190">
        <v>24414</v>
      </c>
      <c r="C190">
        <f t="shared" si="15"/>
        <v>25839.548025519412</v>
      </c>
      <c r="D190">
        <f t="shared" si="16"/>
        <v>0.94483076777846398</v>
      </c>
    </row>
    <row r="191" spans="1:4">
      <c r="A191">
        <v>190</v>
      </c>
      <c r="B191">
        <v>24634</v>
      </c>
      <c r="C191">
        <f t="shared" si="15"/>
        <v>25857.684582063099</v>
      </c>
      <c r="D191">
        <f t="shared" si="16"/>
        <v>0.95267617337586596</v>
      </c>
    </row>
    <row r="192" spans="1:4">
      <c r="A192">
        <v>191</v>
      </c>
      <c r="B192">
        <v>24554</v>
      </c>
      <c r="C192">
        <f t="shared" si="15"/>
        <v>25875.829885958621</v>
      </c>
      <c r="D192">
        <f t="shared" si="16"/>
        <v>0.94891642541382204</v>
      </c>
    </row>
    <row r="193" spans="1:7">
      <c r="A193">
        <v>192</v>
      </c>
      <c r="B193">
        <v>24697</v>
      </c>
      <c r="C193">
        <f t="shared" si="15"/>
        <v>25893.983645921729</v>
      </c>
      <c r="D193">
        <f t="shared" si="16"/>
        <v>0.95377367722597395</v>
      </c>
    </row>
    <row r="194" spans="1:7">
      <c r="A194">
        <v>193</v>
      </c>
      <c r="B194">
        <v>24829</v>
      </c>
      <c r="C194">
        <f t="shared" ref="C194:C257" si="17" xml:space="preserve"> 0.00000002349111*A194*A194*A194*A194 - 0.0000664476*A194*A194*A194 + 0.03716061*A194*A194 + 10.57172*A194 + 22932.71</f>
        <v>25912.145571231969</v>
      </c>
      <c r="D194">
        <f t="shared" ref="D194:D257" si="18">B194/C194</f>
        <v>0.95819930973085865</v>
      </c>
    </row>
    <row r="195" spans="1:7">
      <c r="A195">
        <v>194</v>
      </c>
      <c r="B195">
        <v>24666</v>
      </c>
      <c r="C195">
        <f t="shared" si="17"/>
        <v>25930.315371732671</v>
      </c>
      <c r="D195">
        <f t="shared" si="18"/>
        <v>0.95124180506069222</v>
      </c>
    </row>
    <row r="196" spans="1:7">
      <c r="A196">
        <v>195</v>
      </c>
      <c r="B196">
        <v>23563</v>
      </c>
      <c r="C196">
        <f t="shared" si="17"/>
        <v>25948.492757830943</v>
      </c>
      <c r="D196">
        <f t="shared" si="18"/>
        <v>0.90806815717221068</v>
      </c>
    </row>
    <row r="197" spans="1:7">
      <c r="A197">
        <v>196</v>
      </c>
      <c r="B197">
        <v>21651</v>
      </c>
      <c r="C197">
        <f t="shared" si="17"/>
        <v>25966.67744049769</v>
      </c>
      <c r="D197">
        <f t="shared" si="18"/>
        <v>0.83379939730883901</v>
      </c>
    </row>
    <row r="198" spans="1:7">
      <c r="A198">
        <v>197</v>
      </c>
      <c r="B198">
        <v>19741</v>
      </c>
      <c r="C198">
        <f t="shared" si="17"/>
        <v>25984.869131267602</v>
      </c>
      <c r="D198">
        <f t="shared" si="18"/>
        <v>0.7597113497195046</v>
      </c>
    </row>
    <row r="199" spans="1:7" ht="17.25">
      <c r="A199">
        <v>198</v>
      </c>
      <c r="B199">
        <v>18631</v>
      </c>
      <c r="C199">
        <f t="shared" si="17"/>
        <v>26003.06754223915</v>
      </c>
      <c r="D199">
        <f t="shared" si="18"/>
        <v>0.71649238958965011</v>
      </c>
      <c r="F199">
        <v>198</v>
      </c>
      <c r="G199" t="s">
        <v>126</v>
      </c>
    </row>
    <row r="200" spans="1:7" ht="17.25">
      <c r="A200">
        <v>199</v>
      </c>
      <c r="B200">
        <v>18774</v>
      </c>
      <c r="C200">
        <f t="shared" si="17"/>
        <v>26021.272386074601</v>
      </c>
      <c r="D200">
        <f t="shared" si="18"/>
        <v>0.72148662530610874</v>
      </c>
      <c r="F200">
        <v>198</v>
      </c>
      <c r="G200" t="s">
        <v>127</v>
      </c>
    </row>
    <row r="201" spans="1:7">
      <c r="A201">
        <v>200</v>
      </c>
      <c r="B201">
        <v>19740</v>
      </c>
      <c r="C201">
        <f t="shared" si="17"/>
        <v>26039.483376</v>
      </c>
      <c r="D201">
        <f t="shared" si="18"/>
        <v>0.75807955614794986</v>
      </c>
    </row>
    <row r="202" spans="1:7">
      <c r="A202">
        <v>201</v>
      </c>
      <c r="B202">
        <v>20777</v>
      </c>
      <c r="C202">
        <f t="shared" si="17"/>
        <v>26057.70022580518</v>
      </c>
      <c r="D202">
        <f t="shared" si="18"/>
        <v>0.79734588317292665</v>
      </c>
    </row>
    <row r="203" spans="1:7">
      <c r="A203">
        <v>202</v>
      </c>
      <c r="B203">
        <v>21655</v>
      </c>
      <c r="C203">
        <f t="shared" si="17"/>
        <v>26075.92264984376</v>
      </c>
      <c r="D203">
        <f t="shared" si="18"/>
        <v>0.83045958874746661</v>
      </c>
    </row>
    <row r="204" spans="1:7">
      <c r="A204">
        <v>203</v>
      </c>
      <c r="B204">
        <v>21975</v>
      </c>
      <c r="C204">
        <f t="shared" si="17"/>
        <v>26094.150363033154</v>
      </c>
      <c r="D204">
        <f t="shared" si="18"/>
        <v>0.84214276741239913</v>
      </c>
    </row>
    <row r="205" spans="1:7">
      <c r="A205">
        <v>204</v>
      </c>
      <c r="B205">
        <v>21832</v>
      </c>
      <c r="C205">
        <f t="shared" si="17"/>
        <v>26112.383080854554</v>
      </c>
      <c r="D205">
        <f t="shared" si="18"/>
        <v>0.83607842043367897</v>
      </c>
    </row>
    <row r="206" spans="1:7">
      <c r="A206">
        <v>205</v>
      </c>
      <c r="B206">
        <v>21351</v>
      </c>
      <c r="C206">
        <f t="shared" si="17"/>
        <v>26130.620519352942</v>
      </c>
      <c r="D206">
        <f t="shared" si="18"/>
        <v>0.81708737012911559</v>
      </c>
    </row>
    <row r="207" spans="1:7">
      <c r="A207">
        <v>206</v>
      </c>
      <c r="B207">
        <v>20995</v>
      </c>
      <c r="C207">
        <f t="shared" si="17"/>
        <v>26148.862395137086</v>
      </c>
      <c r="D207">
        <f t="shared" si="18"/>
        <v>0.80290299756613692</v>
      </c>
    </row>
    <row r="208" spans="1:7">
      <c r="A208">
        <v>207</v>
      </c>
      <c r="B208">
        <v>21222</v>
      </c>
      <c r="C208">
        <f t="shared" si="17"/>
        <v>26167.108425379538</v>
      </c>
      <c r="D208">
        <f t="shared" si="18"/>
        <v>0.81101815512090492</v>
      </c>
    </row>
    <row r="209" spans="1:4">
      <c r="A209">
        <v>208</v>
      </c>
      <c r="B209">
        <v>21821</v>
      </c>
      <c r="C209">
        <f t="shared" si="17"/>
        <v>26185.358327816641</v>
      </c>
      <c r="D209">
        <f t="shared" si="18"/>
        <v>0.83332829464547009</v>
      </c>
    </row>
    <row r="210" spans="1:4">
      <c r="A210">
        <v>209</v>
      </c>
      <c r="B210">
        <v>22393</v>
      </c>
      <c r="C210">
        <f t="shared" si="17"/>
        <v>26203.611820748523</v>
      </c>
      <c r="D210">
        <f t="shared" si="18"/>
        <v>0.85457684815300128</v>
      </c>
    </row>
    <row r="211" spans="1:4">
      <c r="A211">
        <v>210</v>
      </c>
      <c r="B211">
        <v>22783</v>
      </c>
      <c r="C211">
        <f t="shared" si="17"/>
        <v>26221.868623039099</v>
      </c>
      <c r="D211">
        <f t="shared" si="18"/>
        <v>0.86885493659984114</v>
      </c>
    </row>
    <row r="212" spans="1:4">
      <c r="A212">
        <v>211</v>
      </c>
      <c r="B212">
        <v>23285</v>
      </c>
      <c r="C212">
        <f t="shared" si="17"/>
        <v>26240.128454116068</v>
      </c>
      <c r="D212">
        <f t="shared" si="18"/>
        <v>0.88738132668506353</v>
      </c>
    </row>
    <row r="213" spans="1:4">
      <c r="A213">
        <v>212</v>
      </c>
      <c r="B213">
        <v>23740</v>
      </c>
      <c r="C213">
        <f t="shared" si="17"/>
        <v>26258.391033970918</v>
      </c>
      <c r="D213">
        <f t="shared" si="18"/>
        <v>0.90409195176075974</v>
      </c>
    </row>
    <row r="214" spans="1:4">
      <c r="A214">
        <v>213</v>
      </c>
      <c r="B214">
        <v>23804</v>
      </c>
      <c r="C214">
        <f t="shared" si="17"/>
        <v>26276.656083158927</v>
      </c>
      <c r="D214">
        <f t="shared" si="18"/>
        <v>0.90589913437487635</v>
      </c>
    </row>
    <row r="215" spans="1:4">
      <c r="A215">
        <v>214</v>
      </c>
      <c r="B215">
        <v>23803</v>
      </c>
      <c r="C215">
        <f t="shared" si="17"/>
        <v>26294.923322799154</v>
      </c>
      <c r="D215">
        <f t="shared" si="18"/>
        <v>0.90523177070311067</v>
      </c>
    </row>
    <row r="216" spans="1:4">
      <c r="A216">
        <v>215</v>
      </c>
      <c r="B216">
        <v>23618</v>
      </c>
      <c r="C216">
        <f t="shared" si="17"/>
        <v>26313.192474574444</v>
      </c>
      <c r="D216">
        <f t="shared" si="18"/>
        <v>0.89757257781705058</v>
      </c>
    </row>
    <row r="217" spans="1:4">
      <c r="A217">
        <v>216</v>
      </c>
      <c r="B217">
        <v>23652</v>
      </c>
      <c r="C217">
        <f t="shared" si="17"/>
        <v>26331.463260731431</v>
      </c>
      <c r="D217">
        <f t="shared" si="18"/>
        <v>0.8982410041477884</v>
      </c>
    </row>
    <row r="218" spans="1:4">
      <c r="A218">
        <v>217</v>
      </c>
      <c r="B218">
        <v>23875</v>
      </c>
      <c r="C218">
        <f t="shared" si="17"/>
        <v>26349.73540408054</v>
      </c>
      <c r="D218">
        <f t="shared" si="18"/>
        <v>0.90608120475861398</v>
      </c>
    </row>
    <row r="219" spans="1:4">
      <c r="A219">
        <v>218</v>
      </c>
      <c r="B219">
        <v>24080</v>
      </c>
      <c r="C219">
        <f t="shared" si="17"/>
        <v>26368.00862799598</v>
      </c>
      <c r="D219">
        <f t="shared" si="18"/>
        <v>0.91322785651826932</v>
      </c>
    </row>
    <row r="220" spans="1:4">
      <c r="A220">
        <v>219</v>
      </c>
      <c r="B220">
        <v>24655</v>
      </c>
      <c r="C220">
        <f t="shared" si="17"/>
        <v>26386.282656415737</v>
      </c>
      <c r="D220">
        <f t="shared" si="18"/>
        <v>0.93438701923422396</v>
      </c>
    </row>
    <row r="221" spans="1:4">
      <c r="A221">
        <v>220</v>
      </c>
      <c r="B221">
        <v>25011</v>
      </c>
      <c r="C221">
        <f t="shared" si="17"/>
        <v>26404.557213841599</v>
      </c>
      <c r="D221">
        <f t="shared" si="18"/>
        <v>0.94722285238280457</v>
      </c>
    </row>
    <row r="222" spans="1:4">
      <c r="A222">
        <v>221</v>
      </c>
      <c r="B222">
        <v>25327</v>
      </c>
      <c r="C222">
        <f t="shared" si="17"/>
        <v>26422.832025339132</v>
      </c>
      <c r="D222">
        <f t="shared" si="18"/>
        <v>0.95852707899409706</v>
      </c>
    </row>
    <row r="223" spans="1:4">
      <c r="A223">
        <v>222</v>
      </c>
      <c r="B223">
        <v>25073</v>
      </c>
      <c r="C223">
        <f t="shared" si="17"/>
        <v>26441.106816537686</v>
      </c>
      <c r="D223">
        <f t="shared" si="18"/>
        <v>0.94825833782109314</v>
      </c>
    </row>
    <row r="224" spans="1:4">
      <c r="A224">
        <v>223</v>
      </c>
      <c r="B224">
        <v>24919</v>
      </c>
      <c r="C224">
        <f t="shared" si="17"/>
        <v>26459.381313630409</v>
      </c>
      <c r="D224">
        <f t="shared" si="18"/>
        <v>0.94178316963001363</v>
      </c>
    </row>
    <row r="225" spans="1:4">
      <c r="A225">
        <v>224</v>
      </c>
      <c r="B225">
        <v>24907</v>
      </c>
      <c r="C225">
        <f t="shared" si="17"/>
        <v>26477.655243374222</v>
      </c>
      <c r="D225">
        <f t="shared" si="18"/>
        <v>0.94067997226577449</v>
      </c>
    </row>
    <row r="226" spans="1:4">
      <c r="A226">
        <v>225</v>
      </c>
      <c r="B226">
        <v>25353</v>
      </c>
      <c r="C226">
        <f t="shared" si="17"/>
        <v>26495.928333089843</v>
      </c>
      <c r="D226">
        <f t="shared" si="18"/>
        <v>0.95686400118834558</v>
      </c>
    </row>
    <row r="227" spans="1:4">
      <c r="A227">
        <v>226</v>
      </c>
      <c r="B227">
        <v>25833</v>
      </c>
      <c r="C227">
        <f t="shared" si="17"/>
        <v>26514.20031066177</v>
      </c>
      <c r="D227">
        <f t="shared" si="18"/>
        <v>0.97430809518370243</v>
      </c>
    </row>
    <row r="228" spans="1:4">
      <c r="A228">
        <v>227</v>
      </c>
      <c r="B228">
        <v>26193</v>
      </c>
      <c r="C228">
        <f t="shared" si="17"/>
        <v>26532.470904538292</v>
      </c>
      <c r="D228">
        <f t="shared" si="18"/>
        <v>0.98720545456321496</v>
      </c>
    </row>
    <row r="229" spans="1:4">
      <c r="A229">
        <v>228</v>
      </c>
      <c r="B229">
        <v>26226</v>
      </c>
      <c r="C229">
        <f t="shared" si="17"/>
        <v>26550.739843731484</v>
      </c>
      <c r="D229">
        <f t="shared" si="18"/>
        <v>0.98776908494291338</v>
      </c>
    </row>
    <row r="230" spans="1:4">
      <c r="A230">
        <v>229</v>
      </c>
      <c r="B230">
        <v>26052</v>
      </c>
      <c r="C230">
        <f t="shared" si="17"/>
        <v>26569.006857817203</v>
      </c>
      <c r="D230">
        <f t="shared" si="18"/>
        <v>0.98054097917231375</v>
      </c>
    </row>
    <row r="231" spans="1:4">
      <c r="A231">
        <v>230</v>
      </c>
      <c r="B231">
        <v>25539</v>
      </c>
      <c r="C231">
        <f t="shared" si="17"/>
        <v>26587.271676935099</v>
      </c>
      <c r="D231">
        <f t="shared" si="18"/>
        <v>0.96057242391499342</v>
      </c>
    </row>
    <row r="232" spans="1:4">
      <c r="A232">
        <v>231</v>
      </c>
      <c r="B232">
        <v>25175</v>
      </c>
      <c r="C232">
        <f t="shared" si="17"/>
        <v>26605.534031788604</v>
      </c>
      <c r="D232">
        <f t="shared" si="18"/>
        <v>0.94623171141464835</v>
      </c>
    </row>
    <row r="233" spans="1:4">
      <c r="A233">
        <v>232</v>
      </c>
      <c r="B233">
        <v>25095</v>
      </c>
      <c r="C233">
        <f t="shared" si="17"/>
        <v>26623.793653644942</v>
      </c>
      <c r="D233">
        <f t="shared" si="18"/>
        <v>0.94257791832623972</v>
      </c>
    </row>
    <row r="234" spans="1:4">
      <c r="A234">
        <v>233</v>
      </c>
      <c r="B234">
        <v>25131</v>
      </c>
      <c r="C234">
        <f t="shared" si="17"/>
        <v>26642.050274335117</v>
      </c>
      <c r="D234">
        <f t="shared" si="18"/>
        <v>0.94328325865405538</v>
      </c>
    </row>
    <row r="235" spans="1:4">
      <c r="A235">
        <v>234</v>
      </c>
      <c r="B235">
        <v>25157</v>
      </c>
      <c r="C235">
        <f t="shared" si="17"/>
        <v>26660.303626253924</v>
      </c>
      <c r="D235">
        <f t="shared" si="18"/>
        <v>0.94361265920566884</v>
      </c>
    </row>
    <row r="236" spans="1:4">
      <c r="A236">
        <v>235</v>
      </c>
      <c r="B236">
        <v>25262</v>
      </c>
      <c r="C236">
        <f t="shared" si="17"/>
        <v>26678.553442359942</v>
      </c>
      <c r="D236">
        <f t="shared" si="18"/>
        <v>0.94690291415460504</v>
      </c>
    </row>
    <row r="237" spans="1:4">
      <c r="A237">
        <v>236</v>
      </c>
      <c r="B237">
        <v>25412</v>
      </c>
      <c r="C237">
        <f t="shared" si="17"/>
        <v>26696.79945617554</v>
      </c>
      <c r="D237">
        <f t="shared" si="18"/>
        <v>0.95187440133845935</v>
      </c>
    </row>
    <row r="238" spans="1:4">
      <c r="A238">
        <v>237</v>
      </c>
      <c r="B238">
        <v>24954</v>
      </c>
      <c r="C238">
        <f t="shared" si="17"/>
        <v>26715.041401786872</v>
      </c>
      <c r="D238">
        <f t="shared" si="18"/>
        <v>0.93408052881890413</v>
      </c>
    </row>
    <row r="239" spans="1:4">
      <c r="A239">
        <v>238</v>
      </c>
      <c r="B239">
        <v>24822</v>
      </c>
      <c r="C239">
        <f t="shared" si="17"/>
        <v>26733.279013843876</v>
      </c>
      <c r="D239">
        <f t="shared" si="18"/>
        <v>0.9285056272799862</v>
      </c>
    </row>
    <row r="240" spans="1:4">
      <c r="A240">
        <v>239</v>
      </c>
      <c r="B240">
        <v>24793</v>
      </c>
      <c r="C240">
        <f t="shared" si="17"/>
        <v>26751.512027560282</v>
      </c>
      <c r="D240">
        <f t="shared" si="18"/>
        <v>0.9267887353229769</v>
      </c>
    </row>
    <row r="241" spans="1:4">
      <c r="A241">
        <v>240</v>
      </c>
      <c r="B241">
        <v>24588</v>
      </c>
      <c r="C241">
        <f t="shared" si="17"/>
        <v>26769.740178713597</v>
      </c>
      <c r="D241">
        <f t="shared" si="18"/>
        <v>0.91849976263690281</v>
      </c>
    </row>
    <row r="242" spans="1:4">
      <c r="A242">
        <v>241</v>
      </c>
      <c r="B242">
        <v>24524</v>
      </c>
      <c r="C242">
        <f t="shared" si="17"/>
        <v>26787.963203645129</v>
      </c>
      <c r="D242">
        <f t="shared" si="18"/>
        <v>0.91548580284233538</v>
      </c>
    </row>
    <row r="243" spans="1:4">
      <c r="A243">
        <v>242</v>
      </c>
      <c r="B243">
        <v>24494</v>
      </c>
      <c r="C243">
        <f t="shared" si="17"/>
        <v>26806.180839259963</v>
      </c>
      <c r="D243">
        <f t="shared" si="18"/>
        <v>0.91374448851461987</v>
      </c>
    </row>
    <row r="244" spans="1:4">
      <c r="A244">
        <v>243</v>
      </c>
      <c r="B244">
        <v>24767</v>
      </c>
      <c r="C244">
        <f t="shared" si="17"/>
        <v>26824.392823026974</v>
      </c>
      <c r="D244">
        <f t="shared" si="18"/>
        <v>0.9233014205913046</v>
      </c>
    </row>
    <row r="245" spans="1:4">
      <c r="A245">
        <v>244</v>
      </c>
      <c r="B245">
        <v>24501</v>
      </c>
      <c r="C245">
        <f t="shared" si="17"/>
        <v>26842.598892978818</v>
      </c>
      <c r="D245">
        <f t="shared" si="18"/>
        <v>0.91276556706320611</v>
      </c>
    </row>
    <row r="246" spans="1:4">
      <c r="A246">
        <v>245</v>
      </c>
      <c r="B246">
        <v>24338</v>
      </c>
      <c r="C246">
        <f t="shared" si="17"/>
        <v>26860.798787711941</v>
      </c>
      <c r="D246">
        <f t="shared" si="18"/>
        <v>0.90607878761721516</v>
      </c>
    </row>
    <row r="247" spans="1:4">
      <c r="A247">
        <v>246</v>
      </c>
      <c r="B247">
        <v>23927</v>
      </c>
      <c r="C247">
        <f t="shared" si="17"/>
        <v>26878.992246386584</v>
      </c>
      <c r="D247">
        <f t="shared" si="18"/>
        <v>0.89017474244096972</v>
      </c>
    </row>
    <row r="248" spans="1:4">
      <c r="A248">
        <v>247</v>
      </c>
      <c r="B248">
        <v>23891</v>
      </c>
      <c r="C248">
        <f t="shared" si="17"/>
        <v>26897.179008726758</v>
      </c>
      <c r="D248">
        <f t="shared" si="18"/>
        <v>0.88823441269616388</v>
      </c>
    </row>
    <row r="249" spans="1:4">
      <c r="A249">
        <v>248</v>
      </c>
      <c r="B249">
        <v>24373</v>
      </c>
      <c r="C249">
        <f t="shared" si="17"/>
        <v>26915.358815020278</v>
      </c>
      <c r="D249">
        <f t="shared" si="18"/>
        <v>0.90554245133817424</v>
      </c>
    </row>
    <row r="250" spans="1:4">
      <c r="A250">
        <v>249</v>
      </c>
      <c r="B250">
        <v>24788</v>
      </c>
      <c r="C250">
        <f t="shared" si="17"/>
        <v>26933.531406118731</v>
      </c>
      <c r="D250">
        <f t="shared" si="18"/>
        <v>0.92033976630218972</v>
      </c>
    </row>
    <row r="251" spans="1:4">
      <c r="A251">
        <v>250</v>
      </c>
      <c r="B251">
        <v>25023</v>
      </c>
      <c r="C251">
        <f t="shared" si="17"/>
        <v>26951.696523437498</v>
      </c>
      <c r="D251">
        <f t="shared" si="18"/>
        <v>0.92843877112669759</v>
      </c>
    </row>
    <row r="252" spans="1:4">
      <c r="A252">
        <v>251</v>
      </c>
      <c r="B252">
        <v>25199</v>
      </c>
      <c r="C252">
        <f t="shared" si="17"/>
        <v>26969.853908955749</v>
      </c>
      <c r="D252">
        <f t="shared" si="18"/>
        <v>0.93433950680883338</v>
      </c>
    </row>
    <row r="253" spans="1:4">
      <c r="A253">
        <v>252</v>
      </c>
      <c r="B253">
        <v>25345</v>
      </c>
      <c r="C253">
        <f t="shared" si="17"/>
        <v>26988.003305216436</v>
      </c>
      <c r="D253">
        <f t="shared" si="18"/>
        <v>0.93912097584118548</v>
      </c>
    </row>
    <row r="254" spans="1:4">
      <c r="A254">
        <v>253</v>
      </c>
      <c r="B254">
        <v>25542</v>
      </c>
      <c r="C254">
        <f t="shared" si="17"/>
        <v>27006.144455326299</v>
      </c>
      <c r="D254">
        <f t="shared" si="18"/>
        <v>0.94578476547260215</v>
      </c>
    </row>
    <row r="255" spans="1:4">
      <c r="A255">
        <v>254</v>
      </c>
      <c r="B255">
        <v>25891</v>
      </c>
      <c r="C255">
        <f t="shared" si="17"/>
        <v>27024.277102955864</v>
      </c>
      <c r="D255">
        <f t="shared" si="18"/>
        <v>0.9580644803693229</v>
      </c>
    </row>
    <row r="256" spans="1:4">
      <c r="A256">
        <v>255</v>
      </c>
      <c r="B256">
        <v>26118</v>
      </c>
      <c r="C256">
        <f t="shared" si="17"/>
        <v>27042.400992339441</v>
      </c>
      <c r="D256">
        <f t="shared" si="18"/>
        <v>0.9658166080518773</v>
      </c>
    </row>
    <row r="257" spans="1:4">
      <c r="A257">
        <v>256</v>
      </c>
      <c r="B257">
        <v>26361</v>
      </c>
      <c r="C257">
        <f t="shared" si="17"/>
        <v>27060.515868275135</v>
      </c>
      <c r="D257">
        <f t="shared" si="18"/>
        <v>0.97414994334623073</v>
      </c>
    </row>
    <row r="258" spans="1:4">
      <c r="A258">
        <v>257</v>
      </c>
      <c r="B258">
        <v>26300</v>
      </c>
      <c r="C258">
        <f t="shared" ref="C258:C321" si="19" xml:space="preserve"> 0.00000002349111*A258*A258*A258*A258 - 0.0000664476*A258*A258*A258 + 0.03716061*A258*A258 + 10.57172*A258 + 22932.71</f>
        <v>27078.621476124834</v>
      </c>
      <c r="D258">
        <f t="shared" ref="D258:D321" si="20">B258/C258</f>
        <v>0.97124589681157358</v>
      </c>
    </row>
    <row r="259" spans="1:4">
      <c r="A259">
        <v>258</v>
      </c>
      <c r="B259">
        <v>26275</v>
      </c>
      <c r="C259">
        <f t="shared" si="19"/>
        <v>27096.717561814206</v>
      </c>
      <c r="D259">
        <f t="shared" si="20"/>
        <v>0.96967464564888095</v>
      </c>
    </row>
    <row r="260" spans="1:4">
      <c r="A260">
        <v>259</v>
      </c>
      <c r="B260">
        <v>26109</v>
      </c>
      <c r="C260">
        <f t="shared" si="19"/>
        <v>27114.803871832712</v>
      </c>
      <c r="D260">
        <f t="shared" si="20"/>
        <v>0.96290572940940367</v>
      </c>
    </row>
    <row r="261" spans="1:4">
      <c r="A261">
        <v>260</v>
      </c>
      <c r="B261">
        <v>25810</v>
      </c>
      <c r="C261">
        <f t="shared" si="19"/>
        <v>27132.8801532336</v>
      </c>
      <c r="D261">
        <f t="shared" si="20"/>
        <v>0.95124438888305984</v>
      </c>
    </row>
    <row r="262" spans="1:4">
      <c r="A262">
        <v>261</v>
      </c>
      <c r="B262">
        <v>24741</v>
      </c>
      <c r="C262">
        <f t="shared" si="19"/>
        <v>27150.9461536339</v>
      </c>
      <c r="D262">
        <f t="shared" si="20"/>
        <v>0.91123896235522706</v>
      </c>
    </row>
    <row r="263" spans="1:4">
      <c r="A263">
        <v>262</v>
      </c>
      <c r="B263">
        <v>23086</v>
      </c>
      <c r="C263">
        <f t="shared" si="19"/>
        <v>27169.001621214436</v>
      </c>
      <c r="D263">
        <f t="shared" si="20"/>
        <v>0.84971837838802677</v>
      </c>
    </row>
    <row r="264" spans="1:4">
      <c r="A264">
        <v>263</v>
      </c>
      <c r="B264">
        <v>22171</v>
      </c>
      <c r="C264">
        <f t="shared" si="19"/>
        <v>27187.046304719814</v>
      </c>
      <c r="D264">
        <f t="shared" si="20"/>
        <v>0.81549866622145706</v>
      </c>
    </row>
    <row r="265" spans="1:4">
      <c r="A265">
        <v>264</v>
      </c>
      <c r="B265">
        <v>22514</v>
      </c>
      <c r="C265">
        <f t="shared" si="19"/>
        <v>27205.079953458422</v>
      </c>
      <c r="D265">
        <f t="shared" si="20"/>
        <v>0.8275660295252294</v>
      </c>
    </row>
    <row r="266" spans="1:4">
      <c r="A266">
        <v>265</v>
      </c>
      <c r="B266">
        <v>23794</v>
      </c>
      <c r="C266">
        <f t="shared" si="19"/>
        <v>27223.102317302444</v>
      </c>
      <c r="D266">
        <f t="shared" si="20"/>
        <v>0.87403704848425823</v>
      </c>
    </row>
    <row r="267" spans="1:4">
      <c r="A267">
        <v>266</v>
      </c>
      <c r="B267">
        <v>24193</v>
      </c>
      <c r="C267">
        <f t="shared" si="19"/>
        <v>27241.113146687843</v>
      </c>
      <c r="D267">
        <f t="shared" si="20"/>
        <v>0.88810614565291901</v>
      </c>
    </row>
    <row r="268" spans="1:4">
      <c r="A268">
        <v>267</v>
      </c>
      <c r="B268">
        <v>24136</v>
      </c>
      <c r="C268">
        <f t="shared" si="19"/>
        <v>27259.112192614375</v>
      </c>
      <c r="D268">
        <f t="shared" si="20"/>
        <v>0.8854286900267957</v>
      </c>
    </row>
    <row r="269" spans="1:4">
      <c r="A269">
        <v>268</v>
      </c>
      <c r="B269">
        <v>23864</v>
      </c>
      <c r="C269">
        <f t="shared" si="19"/>
        <v>27277.09920664558</v>
      </c>
      <c r="D269">
        <f t="shared" si="20"/>
        <v>0.87487308746473891</v>
      </c>
    </row>
    <row r="270" spans="1:4">
      <c r="A270">
        <v>269</v>
      </c>
      <c r="B270">
        <v>23154</v>
      </c>
      <c r="C270">
        <f t="shared" si="19"/>
        <v>27295.073940908784</v>
      </c>
      <c r="D270">
        <f t="shared" si="20"/>
        <v>0.84828493412863393</v>
      </c>
    </row>
    <row r="271" spans="1:4">
      <c r="A271">
        <v>270</v>
      </c>
      <c r="B271">
        <v>22522</v>
      </c>
      <c r="C271">
        <f t="shared" si="19"/>
        <v>27313.0361480951</v>
      </c>
      <c r="D271">
        <f t="shared" si="20"/>
        <v>0.82458793221971249</v>
      </c>
    </row>
    <row r="272" spans="1:4">
      <c r="A272">
        <v>271</v>
      </c>
      <c r="B272">
        <v>21920</v>
      </c>
      <c r="C272">
        <f t="shared" si="19"/>
        <v>27330.985581459423</v>
      </c>
      <c r="D272">
        <f t="shared" si="20"/>
        <v>0.8020201077150293</v>
      </c>
    </row>
    <row r="273" spans="1:7">
      <c r="A273">
        <v>272</v>
      </c>
      <c r="B273">
        <v>21753</v>
      </c>
      <c r="C273">
        <f t="shared" si="19"/>
        <v>27348.921994820441</v>
      </c>
      <c r="D273">
        <f t="shared" si="20"/>
        <v>0.79538784030024134</v>
      </c>
    </row>
    <row r="274" spans="1:7">
      <c r="A274">
        <v>273</v>
      </c>
      <c r="B274">
        <v>21779</v>
      </c>
      <c r="C274">
        <f t="shared" si="19"/>
        <v>27366.845142560633</v>
      </c>
      <c r="D274">
        <f t="shared" si="20"/>
        <v>0.79581697804580065</v>
      </c>
    </row>
    <row r="275" spans="1:7">
      <c r="A275">
        <v>274</v>
      </c>
      <c r="B275">
        <v>21941</v>
      </c>
      <c r="C275">
        <f t="shared" si="19"/>
        <v>27384.754779626252</v>
      </c>
      <c r="D275">
        <f t="shared" si="20"/>
        <v>0.80121221375053886</v>
      </c>
    </row>
    <row r="276" spans="1:7">
      <c r="A276">
        <v>275</v>
      </c>
      <c r="B276">
        <v>22462</v>
      </c>
      <c r="C276">
        <f t="shared" si="19"/>
        <v>27402.650661527343</v>
      </c>
      <c r="D276">
        <f t="shared" si="20"/>
        <v>0.8197017243859589</v>
      </c>
    </row>
    <row r="277" spans="1:7">
      <c r="A277">
        <v>276</v>
      </c>
      <c r="B277">
        <v>23406</v>
      </c>
      <c r="C277">
        <f t="shared" si="19"/>
        <v>27420.532544337744</v>
      </c>
      <c r="D277">
        <f t="shared" si="20"/>
        <v>0.85359392499593401</v>
      </c>
    </row>
    <row r="278" spans="1:7">
      <c r="A278">
        <v>277</v>
      </c>
      <c r="B278">
        <v>24352</v>
      </c>
      <c r="C278">
        <f t="shared" si="19"/>
        <v>27438.400184695067</v>
      </c>
      <c r="D278">
        <f t="shared" si="20"/>
        <v>0.88751530104088805</v>
      </c>
    </row>
    <row r="279" spans="1:7">
      <c r="A279">
        <v>278</v>
      </c>
      <c r="B279">
        <v>24682</v>
      </c>
      <c r="C279">
        <f t="shared" si="19"/>
        <v>27456.253339800729</v>
      </c>
      <c r="D279">
        <f t="shared" si="20"/>
        <v>0.89895732292872033</v>
      </c>
    </row>
    <row r="280" spans="1:7">
      <c r="A280">
        <v>279</v>
      </c>
      <c r="B280">
        <v>24339</v>
      </c>
      <c r="C280">
        <f t="shared" si="19"/>
        <v>27474.091767419908</v>
      </c>
      <c r="D280">
        <f t="shared" si="20"/>
        <v>0.88588915717542849</v>
      </c>
    </row>
    <row r="281" spans="1:7">
      <c r="A281">
        <v>280</v>
      </c>
      <c r="B281">
        <v>23233</v>
      </c>
      <c r="C281">
        <f t="shared" si="19"/>
        <v>27491.915225881599</v>
      </c>
      <c r="D281">
        <f t="shared" si="20"/>
        <v>0.84508481162956062</v>
      </c>
    </row>
    <row r="282" spans="1:7">
      <c r="A282">
        <v>281</v>
      </c>
      <c r="B282">
        <v>21310</v>
      </c>
      <c r="C282">
        <f t="shared" si="19"/>
        <v>27509.723474078557</v>
      </c>
      <c r="D282">
        <f t="shared" si="20"/>
        <v>0.77463519471868414</v>
      </c>
    </row>
    <row r="283" spans="1:7" ht="17.25">
      <c r="A283">
        <v>282</v>
      </c>
      <c r="B283">
        <v>19061</v>
      </c>
      <c r="C283">
        <f t="shared" si="19"/>
        <v>27527.516271467339</v>
      </c>
      <c r="D283">
        <f t="shared" si="20"/>
        <v>0.69243442859234627</v>
      </c>
      <c r="F283">
        <v>283</v>
      </c>
      <c r="G283" t="s">
        <v>63</v>
      </c>
    </row>
    <row r="284" spans="1:7" ht="17.25">
      <c r="A284">
        <v>283</v>
      </c>
      <c r="B284">
        <v>17712</v>
      </c>
      <c r="C284">
        <f t="shared" si="19"/>
        <v>27545.29337806828</v>
      </c>
      <c r="D284">
        <f t="shared" si="20"/>
        <v>0.64301366323810494</v>
      </c>
      <c r="F284">
        <v>283</v>
      </c>
      <c r="G284" t="s">
        <v>64</v>
      </c>
    </row>
    <row r="285" spans="1:7">
      <c r="A285">
        <v>284</v>
      </c>
      <c r="B285">
        <v>18133</v>
      </c>
      <c r="C285">
        <f t="shared" si="19"/>
        <v>27563.054554465511</v>
      </c>
      <c r="D285">
        <f t="shared" si="20"/>
        <v>0.65787338497511549</v>
      </c>
    </row>
    <row r="286" spans="1:7">
      <c r="A286">
        <v>285</v>
      </c>
      <c r="B286">
        <v>19853</v>
      </c>
      <c r="C286">
        <f t="shared" si="19"/>
        <v>27580.799561806944</v>
      </c>
      <c r="D286">
        <f t="shared" si="20"/>
        <v>0.71981234465341004</v>
      </c>
    </row>
    <row r="287" spans="1:7">
      <c r="A287">
        <v>286</v>
      </c>
      <c r="B287">
        <v>21654</v>
      </c>
      <c r="C287">
        <f t="shared" si="19"/>
        <v>27598.528161804272</v>
      </c>
      <c r="D287">
        <f t="shared" si="20"/>
        <v>0.78460705850135293</v>
      </c>
    </row>
    <row r="288" spans="1:7">
      <c r="A288">
        <v>287</v>
      </c>
      <c r="B288">
        <v>22725</v>
      </c>
      <c r="C288">
        <f t="shared" si="19"/>
        <v>27616.240116732988</v>
      </c>
      <c r="D288">
        <f t="shared" si="20"/>
        <v>0.82288537121426131</v>
      </c>
    </row>
    <row r="289" spans="1:4">
      <c r="A289">
        <v>288</v>
      </c>
      <c r="B289">
        <v>23306</v>
      </c>
      <c r="C289">
        <f t="shared" si="19"/>
        <v>27633.935189432359</v>
      </c>
      <c r="D289">
        <f t="shared" si="20"/>
        <v>0.84338331982889547</v>
      </c>
    </row>
    <row r="290" spans="1:4">
      <c r="A290">
        <v>289</v>
      </c>
      <c r="B290">
        <v>24002</v>
      </c>
      <c r="C290">
        <f t="shared" si="19"/>
        <v>27651.613143305447</v>
      </c>
      <c r="D290">
        <f t="shared" si="20"/>
        <v>0.86801445816592326</v>
      </c>
    </row>
    <row r="291" spans="1:4">
      <c r="A291">
        <v>290</v>
      </c>
      <c r="B291">
        <v>24744</v>
      </c>
      <c r="C291">
        <f t="shared" si="19"/>
        <v>27669.273742319099</v>
      </c>
      <c r="D291">
        <f t="shared" si="20"/>
        <v>0.8942771765691484</v>
      </c>
    </row>
    <row r="292" spans="1:4">
      <c r="A292">
        <v>291</v>
      </c>
      <c r="B292">
        <v>25056</v>
      </c>
      <c r="C292">
        <f t="shared" si="19"/>
        <v>27686.916751003944</v>
      </c>
      <c r="D292">
        <f t="shared" si="20"/>
        <v>0.90497617431855981</v>
      </c>
    </row>
    <row r="293" spans="1:4">
      <c r="A293">
        <v>292</v>
      </c>
      <c r="B293">
        <v>24890</v>
      </c>
      <c r="C293">
        <f t="shared" si="19"/>
        <v>27704.541934454403</v>
      </c>
      <c r="D293">
        <f t="shared" si="20"/>
        <v>0.89840864573349499</v>
      </c>
    </row>
    <row r="294" spans="1:4">
      <c r="A294">
        <v>293</v>
      </c>
      <c r="B294">
        <v>24522</v>
      </c>
      <c r="C294">
        <f t="shared" si="19"/>
        <v>27722.14905832868</v>
      </c>
      <c r="D294">
        <f t="shared" si="20"/>
        <v>0.88456345676536774</v>
      </c>
    </row>
    <row r="295" spans="1:4">
      <c r="A295">
        <v>294</v>
      </c>
      <c r="B295">
        <v>24111</v>
      </c>
      <c r="C295">
        <f t="shared" si="19"/>
        <v>27739.737888848766</v>
      </c>
      <c r="D295">
        <f t="shared" si="20"/>
        <v>0.86918629500434108</v>
      </c>
    </row>
    <row r="296" spans="1:4">
      <c r="A296">
        <v>295</v>
      </c>
      <c r="B296">
        <v>24206</v>
      </c>
      <c r="C296">
        <f t="shared" si="19"/>
        <v>27757.308192800443</v>
      </c>
      <c r="D296">
        <f t="shared" si="20"/>
        <v>0.87205862441223447</v>
      </c>
    </row>
    <row r="297" spans="1:4">
      <c r="A297">
        <v>296</v>
      </c>
      <c r="B297">
        <v>24376</v>
      </c>
      <c r="C297">
        <f t="shared" si="19"/>
        <v>27774.859737533276</v>
      </c>
      <c r="D297">
        <f t="shared" si="20"/>
        <v>0.87762819435807049</v>
      </c>
    </row>
    <row r="298" spans="1:4">
      <c r="A298">
        <v>297</v>
      </c>
      <c r="B298">
        <v>24394</v>
      </c>
      <c r="C298">
        <f t="shared" si="19"/>
        <v>27792.392290960615</v>
      </c>
      <c r="D298">
        <f t="shared" si="20"/>
        <v>0.8777222106185536</v>
      </c>
    </row>
    <row r="299" spans="1:4">
      <c r="A299">
        <v>298</v>
      </c>
      <c r="B299">
        <v>24575</v>
      </c>
      <c r="C299">
        <f t="shared" si="19"/>
        <v>27809.905621559599</v>
      </c>
      <c r="D299">
        <f t="shared" si="20"/>
        <v>0.88367793599947564</v>
      </c>
    </row>
    <row r="300" spans="1:4">
      <c r="A300">
        <v>299</v>
      </c>
      <c r="B300">
        <v>24773</v>
      </c>
      <c r="C300">
        <f t="shared" si="19"/>
        <v>27827.399498371156</v>
      </c>
      <c r="D300">
        <f t="shared" si="20"/>
        <v>0.89023769545731568</v>
      </c>
    </row>
    <row r="301" spans="1:4">
      <c r="A301">
        <v>300</v>
      </c>
      <c r="B301">
        <v>24999</v>
      </c>
      <c r="C301">
        <f t="shared" si="19"/>
        <v>27844.873691000001</v>
      </c>
      <c r="D301">
        <f t="shared" si="20"/>
        <v>0.89779541747679603</v>
      </c>
    </row>
    <row r="302" spans="1:4">
      <c r="A302">
        <v>301</v>
      </c>
      <c r="B302">
        <v>25136</v>
      </c>
      <c r="C302">
        <f t="shared" si="19"/>
        <v>27862.32796961462</v>
      </c>
      <c r="D302">
        <f t="shared" si="20"/>
        <v>0.90215002950981593</v>
      </c>
    </row>
    <row r="303" spans="1:4">
      <c r="A303">
        <v>302</v>
      </c>
      <c r="B303">
        <v>25072</v>
      </c>
      <c r="C303">
        <f t="shared" si="19"/>
        <v>27879.762104947313</v>
      </c>
      <c r="D303">
        <f t="shared" si="20"/>
        <v>0.89929031336859688</v>
      </c>
    </row>
    <row r="304" spans="1:4">
      <c r="A304">
        <v>303</v>
      </c>
      <c r="B304">
        <v>24827</v>
      </c>
      <c r="C304">
        <f t="shared" si="19"/>
        <v>27897.175868294144</v>
      </c>
      <c r="D304">
        <f t="shared" si="20"/>
        <v>0.88994671421979032</v>
      </c>
    </row>
    <row r="305" spans="1:4">
      <c r="A305">
        <v>304</v>
      </c>
      <c r="B305">
        <v>24769</v>
      </c>
      <c r="C305">
        <f t="shared" si="19"/>
        <v>27914.56903151497</v>
      </c>
      <c r="D305">
        <f t="shared" si="20"/>
        <v>0.88731443326373094</v>
      </c>
    </row>
    <row r="306" spans="1:4">
      <c r="A306">
        <v>305</v>
      </c>
      <c r="B306">
        <v>24287</v>
      </c>
      <c r="C306">
        <f t="shared" si="19"/>
        <v>27931.941367033443</v>
      </c>
      <c r="D306">
        <f t="shared" si="20"/>
        <v>0.86950633616411033</v>
      </c>
    </row>
    <row r="307" spans="1:4">
      <c r="A307">
        <v>306</v>
      </c>
      <c r="B307">
        <v>23308</v>
      </c>
      <c r="C307">
        <f t="shared" si="19"/>
        <v>27949.292647836988</v>
      </c>
      <c r="D307">
        <f t="shared" si="20"/>
        <v>0.83393881532825909</v>
      </c>
    </row>
    <row r="308" spans="1:4">
      <c r="A308">
        <v>307</v>
      </c>
      <c r="B308">
        <v>21670</v>
      </c>
      <c r="C308">
        <f t="shared" si="19"/>
        <v>27966.62264747683</v>
      </c>
      <c r="D308">
        <f t="shared" si="20"/>
        <v>0.77485223271874348</v>
      </c>
    </row>
    <row r="309" spans="1:4">
      <c r="A309">
        <v>308</v>
      </c>
      <c r="B309">
        <v>19897</v>
      </c>
      <c r="C309">
        <f t="shared" si="19"/>
        <v>27983.931140067969</v>
      </c>
      <c r="D309">
        <f t="shared" si="20"/>
        <v>0.71101518583681278</v>
      </c>
    </row>
    <row r="310" spans="1:4">
      <c r="A310">
        <v>309</v>
      </c>
      <c r="B310">
        <v>18724</v>
      </c>
      <c r="C310">
        <f t="shared" si="19"/>
        <v>28001.217900289201</v>
      </c>
      <c r="D310">
        <f t="shared" si="20"/>
        <v>0.66868520028932799</v>
      </c>
    </row>
    <row r="311" spans="1:4">
      <c r="A311">
        <v>310</v>
      </c>
      <c r="B311">
        <v>18490</v>
      </c>
      <c r="C311">
        <f t="shared" si="19"/>
        <v>28018.482703383099</v>
      </c>
      <c r="D311">
        <f t="shared" si="20"/>
        <v>0.65992153093170247</v>
      </c>
    </row>
    <row r="312" spans="1:4">
      <c r="A312">
        <v>311</v>
      </c>
      <c r="B312">
        <v>19140</v>
      </c>
      <c r="C312">
        <f t="shared" si="19"/>
        <v>28035.725325156032</v>
      </c>
      <c r="D312">
        <f t="shared" si="20"/>
        <v>0.6827003681201701</v>
      </c>
    </row>
    <row r="313" spans="1:4">
      <c r="A313">
        <v>312</v>
      </c>
      <c r="B313">
        <v>19603</v>
      </c>
      <c r="C313">
        <f t="shared" si="19"/>
        <v>28052.945541978152</v>
      </c>
      <c r="D313">
        <f t="shared" si="20"/>
        <v>0.69878580025282067</v>
      </c>
    </row>
    <row r="314" spans="1:4">
      <c r="A314">
        <v>313</v>
      </c>
      <c r="B314">
        <v>19680</v>
      </c>
      <c r="C314">
        <f t="shared" si="19"/>
        <v>28070.143130783395</v>
      </c>
      <c r="D314">
        <f t="shared" si="20"/>
        <v>0.7011008069430803</v>
      </c>
    </row>
    <row r="315" spans="1:4">
      <c r="A315">
        <v>314</v>
      </c>
      <c r="B315">
        <v>19902</v>
      </c>
      <c r="C315">
        <f t="shared" si="19"/>
        <v>28087.317869069488</v>
      </c>
      <c r="D315">
        <f t="shared" si="20"/>
        <v>0.70857602327051028</v>
      </c>
    </row>
    <row r="316" spans="1:4">
      <c r="A316">
        <v>315</v>
      </c>
      <c r="B316">
        <v>20943</v>
      </c>
      <c r="C316">
        <f t="shared" si="19"/>
        <v>28104.469534897944</v>
      </c>
      <c r="D316">
        <f t="shared" si="20"/>
        <v>0.74518396349714455</v>
      </c>
    </row>
    <row r="317" spans="1:4">
      <c r="A317">
        <v>316</v>
      </c>
      <c r="B317">
        <v>22587</v>
      </c>
      <c r="C317">
        <f t="shared" si="19"/>
        <v>28121.597906894054</v>
      </c>
      <c r="D317">
        <f t="shared" si="20"/>
        <v>0.80319048991390207</v>
      </c>
    </row>
    <row r="318" spans="1:4">
      <c r="A318">
        <v>317</v>
      </c>
      <c r="B318">
        <v>23859</v>
      </c>
      <c r="C318">
        <f t="shared" si="19"/>
        <v>28138.702764246911</v>
      </c>
      <c r="D318">
        <f t="shared" si="20"/>
        <v>0.84790689179585388</v>
      </c>
    </row>
    <row r="319" spans="1:4">
      <c r="A319">
        <v>318</v>
      </c>
      <c r="B319">
        <v>24551</v>
      </c>
      <c r="C319">
        <f t="shared" si="19"/>
        <v>28155.783886709385</v>
      </c>
      <c r="D319">
        <f t="shared" si="20"/>
        <v>0.87197003993161837</v>
      </c>
    </row>
    <row r="320" spans="1:4">
      <c r="A320">
        <v>319</v>
      </c>
      <c r="B320">
        <v>24881</v>
      </c>
      <c r="C320">
        <f t="shared" si="19"/>
        <v>28172.841054598131</v>
      </c>
      <c r="D320">
        <f t="shared" si="20"/>
        <v>0.88315551675393189</v>
      </c>
    </row>
    <row r="321" spans="1:4">
      <c r="A321">
        <v>320</v>
      </c>
      <c r="B321">
        <v>25071</v>
      </c>
      <c r="C321">
        <f t="shared" si="19"/>
        <v>28189.874048793597</v>
      </c>
      <c r="D321">
        <f t="shared" si="20"/>
        <v>0.88936190195830012</v>
      </c>
    </row>
    <row r="322" spans="1:4">
      <c r="A322">
        <v>321</v>
      </c>
      <c r="B322">
        <v>25005</v>
      </c>
      <c r="C322">
        <f t="shared" ref="C322:C385" si="21" xml:space="preserve"> 0.00000002349111*A322*A322*A322*A322 - 0.0000664476*A322*A322*A322 + 0.03716061*A322*A322 + 10.57172*A322 + 22932.71</f>
        <v>28206.882650740015</v>
      </c>
      <c r="D322">
        <f t="shared" ref="D322:D385" si="22">B322/C322</f>
        <v>0.88648576695319381</v>
      </c>
    </row>
    <row r="323" spans="1:4">
      <c r="A323">
        <v>322</v>
      </c>
      <c r="B323">
        <v>24901</v>
      </c>
      <c r="C323">
        <f t="shared" si="21"/>
        <v>28223.866642445399</v>
      </c>
      <c r="D323">
        <f t="shared" si="22"/>
        <v>0.88226749068293164</v>
      </c>
    </row>
    <row r="324" spans="1:4">
      <c r="A324">
        <v>323</v>
      </c>
      <c r="B324">
        <v>24889</v>
      </c>
      <c r="C324">
        <f t="shared" si="21"/>
        <v>28240.825806481556</v>
      </c>
      <c r="D324">
        <f t="shared" si="22"/>
        <v>0.88131275517756713</v>
      </c>
    </row>
    <row r="325" spans="1:4">
      <c r="A325">
        <v>324</v>
      </c>
      <c r="B325">
        <v>24816</v>
      </c>
      <c r="C325">
        <f t="shared" si="21"/>
        <v>28257.759925984079</v>
      </c>
      <c r="D325">
        <f t="shared" si="22"/>
        <v>0.87820124684337586</v>
      </c>
    </row>
    <row r="326" spans="1:4">
      <c r="A326">
        <v>325</v>
      </c>
      <c r="B326">
        <v>24975</v>
      </c>
      <c r="C326">
        <f t="shared" si="21"/>
        <v>28274.668784652342</v>
      </c>
      <c r="D326">
        <f t="shared" si="22"/>
        <v>0.88329947170085255</v>
      </c>
    </row>
    <row r="327" spans="1:4">
      <c r="A327">
        <v>326</v>
      </c>
      <c r="B327">
        <v>25188</v>
      </c>
      <c r="C327">
        <f t="shared" si="21"/>
        <v>28291.552166749512</v>
      </c>
      <c r="D327">
        <f t="shared" si="22"/>
        <v>0.8903010994781313</v>
      </c>
    </row>
    <row r="328" spans="1:4">
      <c r="A328">
        <v>327</v>
      </c>
      <c r="B328">
        <v>25441</v>
      </c>
      <c r="C328">
        <f t="shared" si="21"/>
        <v>28308.409857102546</v>
      </c>
      <c r="D328">
        <f t="shared" si="22"/>
        <v>0.89870819761417586</v>
      </c>
    </row>
    <row r="329" spans="1:4">
      <c r="A329">
        <v>328</v>
      </c>
      <c r="B329">
        <v>25577</v>
      </c>
      <c r="C329">
        <f t="shared" si="21"/>
        <v>28325.24164110217</v>
      </c>
      <c r="D329">
        <f t="shared" si="22"/>
        <v>0.90297552706084405</v>
      </c>
    </row>
    <row r="330" spans="1:4">
      <c r="A330">
        <v>329</v>
      </c>
      <c r="B330">
        <v>25864</v>
      </c>
      <c r="C330">
        <f t="shared" si="21"/>
        <v>28342.047304702919</v>
      </c>
      <c r="D330">
        <f t="shared" si="22"/>
        <v>0.91256639726616628</v>
      </c>
    </row>
    <row r="331" spans="1:4">
      <c r="A331">
        <v>330</v>
      </c>
      <c r="B331">
        <v>26464</v>
      </c>
      <c r="C331">
        <f t="shared" si="21"/>
        <v>28358.826634423098</v>
      </c>
      <c r="D331">
        <f t="shared" si="22"/>
        <v>0.9331838845503192</v>
      </c>
    </row>
    <row r="332" spans="1:4">
      <c r="A332">
        <v>331</v>
      </c>
      <c r="B332">
        <v>26622</v>
      </c>
      <c r="C332">
        <f t="shared" si="21"/>
        <v>28375.579417344808</v>
      </c>
      <c r="D332">
        <f t="shared" si="22"/>
        <v>0.93820110625572217</v>
      </c>
    </row>
    <row r="333" spans="1:4">
      <c r="A333">
        <v>332</v>
      </c>
      <c r="B333">
        <v>26592</v>
      </c>
      <c r="C333">
        <f t="shared" si="21"/>
        <v>28392.305441113935</v>
      </c>
      <c r="D333">
        <f t="shared" si="22"/>
        <v>0.93659178382510022</v>
      </c>
    </row>
    <row r="334" spans="1:4">
      <c r="A334">
        <v>333</v>
      </c>
      <c r="B334">
        <v>26226</v>
      </c>
      <c r="C334">
        <f t="shared" si="21"/>
        <v>28409.004493940145</v>
      </c>
      <c r="D334">
        <f t="shared" si="22"/>
        <v>0.92315800807431336</v>
      </c>
    </row>
    <row r="335" spans="1:4">
      <c r="A335">
        <v>334</v>
      </c>
      <c r="B335">
        <v>25962</v>
      </c>
      <c r="C335">
        <f t="shared" si="21"/>
        <v>28425.6763645969</v>
      </c>
      <c r="D335">
        <f t="shared" si="22"/>
        <v>0.91332919108073307</v>
      </c>
    </row>
    <row r="336" spans="1:4">
      <c r="A336">
        <v>335</v>
      </c>
      <c r="B336">
        <v>25640</v>
      </c>
      <c r="C336">
        <f t="shared" si="21"/>
        <v>28442.320842421443</v>
      </c>
      <c r="D336">
        <f t="shared" si="22"/>
        <v>0.90147355210754077</v>
      </c>
    </row>
    <row r="337" spans="1:4">
      <c r="A337">
        <v>336</v>
      </c>
      <c r="B337">
        <v>25366</v>
      </c>
      <c r="C337">
        <f t="shared" si="21"/>
        <v>28458.937717314802</v>
      </c>
      <c r="D337">
        <f t="shared" si="22"/>
        <v>0.89131928436552232</v>
      </c>
    </row>
    <row r="338" spans="1:4">
      <c r="A338">
        <v>337</v>
      </c>
      <c r="B338">
        <v>25192</v>
      </c>
      <c r="C338">
        <f t="shared" si="21"/>
        <v>28475.526779741806</v>
      </c>
      <c r="D338">
        <f t="shared" si="22"/>
        <v>0.88468951583793742</v>
      </c>
    </row>
    <row r="339" spans="1:4">
      <c r="A339">
        <v>338</v>
      </c>
      <c r="B339">
        <v>25181</v>
      </c>
      <c r="C339">
        <f t="shared" si="21"/>
        <v>28492.087820731045</v>
      </c>
      <c r="D339">
        <f t="shared" si="22"/>
        <v>0.88378921749911654</v>
      </c>
    </row>
    <row r="340" spans="1:4">
      <c r="A340">
        <v>339</v>
      </c>
      <c r="B340">
        <v>25314</v>
      </c>
      <c r="C340">
        <f t="shared" si="21"/>
        <v>28508.620631874917</v>
      </c>
      <c r="D340">
        <f t="shared" si="22"/>
        <v>0.88794194313620789</v>
      </c>
    </row>
    <row r="341" spans="1:4">
      <c r="A341">
        <v>340</v>
      </c>
      <c r="B341">
        <v>25664</v>
      </c>
      <c r="C341">
        <f t="shared" si="21"/>
        <v>28525.125005329599</v>
      </c>
      <c r="D341">
        <f t="shared" si="22"/>
        <v>0.89969807302176485</v>
      </c>
    </row>
    <row r="342" spans="1:4">
      <c r="A342">
        <v>341</v>
      </c>
      <c r="B342">
        <v>26109</v>
      </c>
      <c r="C342">
        <f t="shared" si="21"/>
        <v>28541.600733815056</v>
      </c>
      <c r="D342">
        <f t="shared" si="22"/>
        <v>0.91476999638170264</v>
      </c>
    </row>
    <row r="343" spans="1:4">
      <c r="A343">
        <v>342</v>
      </c>
      <c r="B343">
        <v>26313</v>
      </c>
      <c r="C343">
        <f t="shared" si="21"/>
        <v>28558.047610615038</v>
      </c>
      <c r="D343">
        <f t="shared" si="22"/>
        <v>0.92138651629040103</v>
      </c>
    </row>
    <row r="344" spans="1:4">
      <c r="A344">
        <v>343</v>
      </c>
      <c r="B344">
        <v>26389</v>
      </c>
      <c r="C344">
        <f t="shared" si="21"/>
        <v>28574.465429577082</v>
      </c>
      <c r="D344">
        <f t="shared" si="22"/>
        <v>0.92351683936263829</v>
      </c>
    </row>
    <row r="345" spans="1:4">
      <c r="A345">
        <v>344</v>
      </c>
      <c r="B345">
        <v>26418</v>
      </c>
      <c r="C345">
        <f t="shared" si="21"/>
        <v>28590.853985112513</v>
      </c>
      <c r="D345">
        <f t="shared" si="22"/>
        <v>0.92400178091063889</v>
      </c>
    </row>
    <row r="346" spans="1:4">
      <c r="A346">
        <v>345</v>
      </c>
      <c r="B346">
        <v>26610</v>
      </c>
      <c r="C346">
        <f t="shared" si="21"/>
        <v>28607.213072196442</v>
      </c>
      <c r="D346">
        <f t="shared" si="22"/>
        <v>0.93018498281688444</v>
      </c>
    </row>
    <row r="347" spans="1:4">
      <c r="A347">
        <v>346</v>
      </c>
      <c r="B347">
        <v>26677</v>
      </c>
      <c r="C347">
        <f t="shared" si="21"/>
        <v>28623.542486367769</v>
      </c>
      <c r="D347">
        <f t="shared" si="22"/>
        <v>0.93199505311773245</v>
      </c>
    </row>
    <row r="348" spans="1:4">
      <c r="A348">
        <v>347</v>
      </c>
      <c r="B348">
        <v>26575</v>
      </c>
      <c r="C348">
        <f t="shared" si="21"/>
        <v>28639.842023729172</v>
      </c>
      <c r="D348">
        <f t="shared" si="22"/>
        <v>0.9279031629427853</v>
      </c>
    </row>
    <row r="349" spans="1:4">
      <c r="A349">
        <v>348</v>
      </c>
      <c r="B349">
        <v>26801</v>
      </c>
      <c r="C349">
        <f t="shared" si="21"/>
        <v>28656.111480947126</v>
      </c>
      <c r="D349">
        <f t="shared" si="22"/>
        <v>0.93526297236174027</v>
      </c>
    </row>
    <row r="350" spans="1:4">
      <c r="A350">
        <v>349</v>
      </c>
      <c r="B350">
        <v>26803</v>
      </c>
      <c r="C350">
        <f t="shared" si="21"/>
        <v>28672.350655251885</v>
      </c>
      <c r="D350">
        <f t="shared" si="22"/>
        <v>0.93480302059191378</v>
      </c>
    </row>
    <row r="351" spans="1:4">
      <c r="A351">
        <v>350</v>
      </c>
      <c r="B351">
        <v>26960</v>
      </c>
      <c r="C351">
        <f t="shared" si="21"/>
        <v>28688.559344437497</v>
      </c>
      <c r="D351">
        <f t="shared" si="22"/>
        <v>0.9397474329859421</v>
      </c>
    </row>
    <row r="352" spans="1:4">
      <c r="A352">
        <v>351</v>
      </c>
      <c r="B352">
        <v>26610</v>
      </c>
      <c r="C352">
        <f t="shared" si="21"/>
        <v>28704.737346861795</v>
      </c>
      <c r="D352">
        <f t="shared" si="22"/>
        <v>0.92702468162138374</v>
      </c>
    </row>
    <row r="353" spans="1:4">
      <c r="A353">
        <v>352</v>
      </c>
      <c r="B353">
        <v>26390</v>
      </c>
      <c r="C353">
        <f t="shared" si="21"/>
        <v>28720.884461446389</v>
      </c>
      <c r="D353">
        <f t="shared" si="22"/>
        <v>0.91884356957825364</v>
      </c>
    </row>
    <row r="354" spans="1:4">
      <c r="A354">
        <v>353</v>
      </c>
      <c r="B354">
        <v>26116</v>
      </c>
      <c r="C354">
        <f t="shared" si="21"/>
        <v>28737.000487676687</v>
      </c>
      <c r="D354">
        <f t="shared" si="22"/>
        <v>0.90879352600489205</v>
      </c>
    </row>
    <row r="355" spans="1:4">
      <c r="A355">
        <v>354</v>
      </c>
      <c r="B355">
        <v>25740</v>
      </c>
      <c r="C355">
        <f t="shared" si="21"/>
        <v>28753.085225601877</v>
      </c>
      <c r="D355">
        <f t="shared" si="22"/>
        <v>0.89520828106060035</v>
      </c>
    </row>
    <row r="356" spans="1:4">
      <c r="A356">
        <v>355</v>
      </c>
      <c r="B356">
        <v>24869</v>
      </c>
      <c r="C356">
        <f t="shared" si="21"/>
        <v>28769.138475834945</v>
      </c>
      <c r="D356">
        <f t="shared" si="22"/>
        <v>0.86443325443648855</v>
      </c>
    </row>
    <row r="357" spans="1:4">
      <c r="A357">
        <v>356</v>
      </c>
      <c r="B357">
        <v>24069</v>
      </c>
      <c r="C357">
        <f t="shared" si="21"/>
        <v>28785.16003955264</v>
      </c>
      <c r="D357">
        <f t="shared" si="22"/>
        <v>0.83616002019539459</v>
      </c>
    </row>
    <row r="358" spans="1:4">
      <c r="A358">
        <v>357</v>
      </c>
      <c r="B358">
        <v>23536</v>
      </c>
      <c r="C358">
        <f t="shared" si="21"/>
        <v>28801.149718495522</v>
      </c>
      <c r="D358">
        <f t="shared" si="22"/>
        <v>0.81718959937511282</v>
      </c>
    </row>
    <row r="359" spans="1:4">
      <c r="A359">
        <v>358</v>
      </c>
      <c r="B359">
        <v>23188</v>
      </c>
      <c r="C359">
        <f t="shared" si="21"/>
        <v>28817.107314967936</v>
      </c>
      <c r="D359">
        <f t="shared" si="22"/>
        <v>0.8046609170919764</v>
      </c>
    </row>
    <row r="360" spans="1:4">
      <c r="A360">
        <v>359</v>
      </c>
      <c r="B360">
        <v>22748</v>
      </c>
      <c r="C360">
        <f t="shared" si="21"/>
        <v>28833.032631837988</v>
      </c>
      <c r="D360">
        <f t="shared" si="22"/>
        <v>0.78895620486626239</v>
      </c>
    </row>
    <row r="361" spans="1:4">
      <c r="A361">
        <v>360</v>
      </c>
      <c r="B361">
        <v>22365</v>
      </c>
      <c r="C361">
        <f t="shared" si="21"/>
        <v>28848.925472537598</v>
      </c>
      <c r="D361">
        <f t="shared" si="22"/>
        <v>0.7752455120482773</v>
      </c>
    </row>
    <row r="362" spans="1:4">
      <c r="A362">
        <v>361</v>
      </c>
      <c r="B362">
        <v>22369</v>
      </c>
      <c r="C362">
        <f t="shared" si="21"/>
        <v>28864.785641062466</v>
      </c>
      <c r="D362">
        <f t="shared" si="22"/>
        <v>0.77495811949416693</v>
      </c>
    </row>
    <row r="363" spans="1:4">
      <c r="A363">
        <v>362</v>
      </c>
      <c r="B363">
        <v>23353</v>
      </c>
      <c r="C363">
        <f t="shared" si="21"/>
        <v>28880.612941972067</v>
      </c>
      <c r="D363">
        <f t="shared" si="22"/>
        <v>0.80860472203002276</v>
      </c>
    </row>
    <row r="364" spans="1:4">
      <c r="A364">
        <v>363</v>
      </c>
      <c r="B364">
        <v>24692</v>
      </c>
      <c r="C364">
        <f t="shared" si="21"/>
        <v>28896.40718038968</v>
      </c>
      <c r="D364">
        <f t="shared" si="22"/>
        <v>0.85450069435473042</v>
      </c>
    </row>
    <row r="365" spans="1:4">
      <c r="A365">
        <v>364</v>
      </c>
      <c r="B365">
        <v>25712</v>
      </c>
      <c r="C365">
        <f t="shared" si="21"/>
        <v>28912.168162002356</v>
      </c>
      <c r="D365">
        <f t="shared" si="22"/>
        <v>0.88931414122693997</v>
      </c>
    </row>
    <row r="366" spans="1:4">
      <c r="A366">
        <v>365</v>
      </c>
      <c r="B366">
        <v>26145</v>
      </c>
      <c r="C366">
        <f t="shared" si="21"/>
        <v>28927.895693060942</v>
      </c>
      <c r="D366">
        <f t="shared" si="22"/>
        <v>0.90379888939766584</v>
      </c>
    </row>
    <row r="367" spans="1:4">
      <c r="A367">
        <v>366</v>
      </c>
      <c r="B367">
        <v>26144</v>
      </c>
      <c r="C367">
        <f t="shared" si="21"/>
        <v>28943.589580380067</v>
      </c>
      <c r="D367">
        <f t="shared" si="22"/>
        <v>0.90327427865831056</v>
      </c>
    </row>
    <row r="368" spans="1:4">
      <c r="A368">
        <v>367</v>
      </c>
      <c r="B368">
        <v>25759</v>
      </c>
      <c r="C368">
        <f t="shared" si="21"/>
        <v>28959.249631338149</v>
      </c>
      <c r="D368">
        <f t="shared" si="22"/>
        <v>0.88949127922586058</v>
      </c>
    </row>
    <row r="369" spans="1:4">
      <c r="A369">
        <v>368</v>
      </c>
      <c r="B369">
        <v>25617</v>
      </c>
      <c r="C369">
        <f t="shared" si="21"/>
        <v>28974.875653877389</v>
      </c>
      <c r="D369">
        <f t="shared" si="22"/>
        <v>0.8841107829421162</v>
      </c>
    </row>
    <row r="370" spans="1:4">
      <c r="A370">
        <v>369</v>
      </c>
      <c r="B370">
        <v>26007</v>
      </c>
      <c r="C370">
        <f t="shared" si="21"/>
        <v>28990.467456503779</v>
      </c>
      <c r="D370">
        <f t="shared" si="22"/>
        <v>0.89708798380087995</v>
      </c>
    </row>
    <row r="371" spans="1:4">
      <c r="A371">
        <v>370</v>
      </c>
      <c r="B371">
        <v>26569</v>
      </c>
      <c r="C371">
        <f t="shared" si="21"/>
        <v>29006.024848287096</v>
      </c>
      <c r="D371">
        <f t="shared" si="22"/>
        <v>0.91598211540417229</v>
      </c>
    </row>
    <row r="372" spans="1:4">
      <c r="A372">
        <v>371</v>
      </c>
      <c r="B372">
        <v>27141</v>
      </c>
      <c r="C372">
        <f t="shared" si="21"/>
        <v>29021.547638860906</v>
      </c>
      <c r="D372">
        <f t="shared" si="22"/>
        <v>0.93520167627646489</v>
      </c>
    </row>
    <row r="373" spans="1:4">
      <c r="A373">
        <v>372</v>
      </c>
      <c r="B373">
        <v>27665</v>
      </c>
      <c r="C373">
        <f t="shared" si="21"/>
        <v>29037.035638422556</v>
      </c>
      <c r="D373">
        <f t="shared" si="22"/>
        <v>0.95274877038043637</v>
      </c>
    </row>
    <row r="374" spans="1:4">
      <c r="A374">
        <v>373</v>
      </c>
      <c r="B374">
        <v>28050</v>
      </c>
      <c r="C374">
        <f t="shared" si="21"/>
        <v>29052.488657733178</v>
      </c>
      <c r="D374">
        <f t="shared" si="22"/>
        <v>0.96549388007535331</v>
      </c>
    </row>
    <row r="375" spans="1:4">
      <c r="A375">
        <v>374</v>
      </c>
      <c r="B375">
        <v>28143</v>
      </c>
      <c r="C375">
        <f t="shared" si="21"/>
        <v>29067.906508117707</v>
      </c>
      <c r="D375">
        <f t="shared" si="22"/>
        <v>0.96818117920327662</v>
      </c>
    </row>
    <row r="376" spans="1:4">
      <c r="A376">
        <v>375</v>
      </c>
      <c r="B376">
        <v>28193</v>
      </c>
      <c r="C376">
        <f t="shared" si="21"/>
        <v>29083.289001464844</v>
      </c>
      <c r="D376">
        <f t="shared" si="22"/>
        <v>0.96938829712760466</v>
      </c>
    </row>
    <row r="377" spans="1:4">
      <c r="A377">
        <v>376</v>
      </c>
      <c r="B377">
        <v>28038</v>
      </c>
      <c r="C377">
        <f t="shared" si="21"/>
        <v>29098.635950227086</v>
      </c>
      <c r="D377">
        <f t="shared" si="22"/>
        <v>0.96355032063903978</v>
      </c>
    </row>
    <row r="378" spans="1:4">
      <c r="A378">
        <v>377</v>
      </c>
      <c r="B378">
        <v>27678</v>
      </c>
      <c r="C378">
        <f t="shared" si="21"/>
        <v>29113.94716742072</v>
      </c>
      <c r="D378">
        <f t="shared" si="22"/>
        <v>0.95067837558530766</v>
      </c>
    </row>
    <row r="379" spans="1:4">
      <c r="A379">
        <v>378</v>
      </c>
      <c r="B379">
        <v>27468</v>
      </c>
      <c r="C379">
        <f t="shared" si="21"/>
        <v>29129.222466625815</v>
      </c>
      <c r="D379">
        <f t="shared" si="22"/>
        <v>0.94297058671823031</v>
      </c>
    </row>
    <row r="380" spans="1:4">
      <c r="A380">
        <v>379</v>
      </c>
      <c r="B380">
        <v>27176</v>
      </c>
      <c r="C380">
        <f t="shared" si="21"/>
        <v>29144.461661986228</v>
      </c>
      <c r="D380">
        <f t="shared" si="22"/>
        <v>0.93245846552884737</v>
      </c>
    </row>
    <row r="381" spans="1:4">
      <c r="A381">
        <v>380</v>
      </c>
      <c r="B381">
        <v>27077</v>
      </c>
      <c r="C381">
        <f t="shared" si="21"/>
        <v>29159.664568209599</v>
      </c>
      <c r="D381">
        <f t="shared" si="22"/>
        <v>0.92857721105337554</v>
      </c>
    </row>
    <row r="382" spans="1:4">
      <c r="A382">
        <v>381</v>
      </c>
      <c r="B382">
        <v>26783</v>
      </c>
      <c r="C382">
        <f t="shared" si="21"/>
        <v>29174.831000567359</v>
      </c>
      <c r="D382">
        <f t="shared" si="22"/>
        <v>0.91801731428981215</v>
      </c>
    </row>
    <row r="383" spans="1:4">
      <c r="A383">
        <v>382</v>
      </c>
      <c r="B383">
        <v>27020</v>
      </c>
      <c r="C383">
        <f t="shared" si="21"/>
        <v>29189.960774894731</v>
      </c>
      <c r="D383">
        <f t="shared" si="22"/>
        <v>0.92566071631171776</v>
      </c>
    </row>
    <row r="384" spans="1:4">
      <c r="A384">
        <v>383</v>
      </c>
      <c r="B384">
        <v>27325</v>
      </c>
      <c r="C384">
        <f t="shared" si="21"/>
        <v>29205.053707590709</v>
      </c>
      <c r="D384">
        <f t="shared" si="22"/>
        <v>0.9356257404484053</v>
      </c>
    </row>
    <row r="385" spans="1:4">
      <c r="A385">
        <v>384</v>
      </c>
      <c r="B385">
        <v>27840</v>
      </c>
      <c r="C385">
        <f t="shared" si="21"/>
        <v>29220.109615618087</v>
      </c>
      <c r="D385">
        <f t="shared" si="22"/>
        <v>0.95276849971567457</v>
      </c>
    </row>
    <row r="386" spans="1:4">
      <c r="A386">
        <v>385</v>
      </c>
      <c r="B386">
        <v>28462</v>
      </c>
      <c r="C386">
        <f t="shared" ref="C386:C449" si="23" xml:space="preserve"> 0.00000002349111*A386*A386*A386*A386 - 0.0000664476*A386*A386*A386 + 0.03716061*A386*A386 + 10.57172*A386 + 22932.71</f>
        <v>29235.12831650344</v>
      </c>
      <c r="D386">
        <f t="shared" ref="D386:D449" si="24">B386/C386</f>
        <v>0.97355481706345026</v>
      </c>
    </row>
    <row r="387" spans="1:4">
      <c r="A387">
        <v>386</v>
      </c>
      <c r="B387">
        <v>28848</v>
      </c>
      <c r="C387">
        <f t="shared" si="23"/>
        <v>29250.109628337137</v>
      </c>
      <c r="D387">
        <f t="shared" si="24"/>
        <v>0.98625271380358936</v>
      </c>
    </row>
    <row r="388" spans="1:4">
      <c r="A388">
        <v>387</v>
      </c>
      <c r="B388">
        <v>28873</v>
      </c>
      <c r="C388">
        <f t="shared" si="23"/>
        <v>29265.053369773319</v>
      </c>
      <c r="D388">
        <f t="shared" si="24"/>
        <v>0.986603360505802</v>
      </c>
    </row>
    <row r="389" spans="1:4">
      <c r="A389">
        <v>388</v>
      </c>
      <c r="B389">
        <v>28503</v>
      </c>
      <c r="C389">
        <f t="shared" si="23"/>
        <v>29279.959360029927</v>
      </c>
      <c r="D389">
        <f t="shared" si="24"/>
        <v>0.97346446590050417</v>
      </c>
    </row>
    <row r="390" spans="1:4">
      <c r="A390">
        <v>389</v>
      </c>
      <c r="B390">
        <v>27829</v>
      </c>
      <c r="C390">
        <f t="shared" si="23"/>
        <v>29294.827418888683</v>
      </c>
      <c r="D390">
        <f t="shared" si="24"/>
        <v>0.94996292697244056</v>
      </c>
    </row>
    <row r="391" spans="1:4">
      <c r="A391">
        <v>390</v>
      </c>
      <c r="B391">
        <v>27041</v>
      </c>
      <c r="C391">
        <f t="shared" si="23"/>
        <v>29309.657366695101</v>
      </c>
      <c r="D391">
        <f t="shared" si="24"/>
        <v>0.92259693321174741</v>
      </c>
    </row>
    <row r="392" spans="1:4">
      <c r="A392">
        <v>391</v>
      </c>
      <c r="B392">
        <v>26500</v>
      </c>
      <c r="C392">
        <f t="shared" si="23"/>
        <v>29324.449024358466</v>
      </c>
      <c r="D392">
        <f t="shared" si="24"/>
        <v>0.90368279308462618</v>
      </c>
    </row>
    <row r="393" spans="1:4">
      <c r="A393">
        <v>392</v>
      </c>
      <c r="B393">
        <v>26306</v>
      </c>
      <c r="C393">
        <f t="shared" si="23"/>
        <v>29339.202213351873</v>
      </c>
      <c r="D393">
        <f t="shared" si="24"/>
        <v>0.89661606367839464</v>
      </c>
    </row>
    <row r="394" spans="1:4">
      <c r="A394">
        <v>393</v>
      </c>
      <c r="B394">
        <v>26519</v>
      </c>
      <c r="C394">
        <f t="shared" si="23"/>
        <v>29353.916755712184</v>
      </c>
      <c r="D394">
        <f t="shared" si="24"/>
        <v>0.90342287949833755</v>
      </c>
    </row>
    <row r="395" spans="1:4">
      <c r="A395">
        <v>394</v>
      </c>
      <c r="B395">
        <v>26925</v>
      </c>
      <c r="C395">
        <f t="shared" si="23"/>
        <v>29368.592474040062</v>
      </c>
      <c r="D395">
        <f t="shared" si="24"/>
        <v>0.91679572399664577</v>
      </c>
    </row>
    <row r="396" spans="1:4">
      <c r="A396">
        <v>395</v>
      </c>
      <c r="B396">
        <v>26951</v>
      </c>
      <c r="C396">
        <f t="shared" si="23"/>
        <v>29383.229191499944</v>
      </c>
      <c r="D396">
        <f t="shared" si="24"/>
        <v>0.91722389749444067</v>
      </c>
    </row>
    <row r="397" spans="1:4">
      <c r="A397">
        <v>396</v>
      </c>
      <c r="B397">
        <v>26638</v>
      </c>
      <c r="C397">
        <f t="shared" si="23"/>
        <v>29397.82673182006</v>
      </c>
      <c r="D397">
        <f t="shared" si="24"/>
        <v>0.90612140288476373</v>
      </c>
    </row>
    <row r="398" spans="1:4">
      <c r="A398">
        <v>397</v>
      </c>
      <c r="B398">
        <v>25980</v>
      </c>
      <c r="C398">
        <f t="shared" si="23"/>
        <v>29412.384919292424</v>
      </c>
      <c r="D398">
        <f t="shared" si="24"/>
        <v>0.88330137359786065</v>
      </c>
    </row>
    <row r="399" spans="1:4">
      <c r="A399">
        <v>398</v>
      </c>
      <c r="B399">
        <v>25374</v>
      </c>
      <c r="C399">
        <f t="shared" si="23"/>
        <v>29426.90357877285</v>
      </c>
      <c r="D399">
        <f t="shared" si="24"/>
        <v>0.86227216982161792</v>
      </c>
    </row>
    <row r="400" spans="1:4">
      <c r="A400">
        <v>399</v>
      </c>
      <c r="B400">
        <v>23938</v>
      </c>
      <c r="C400">
        <f t="shared" si="23"/>
        <v>29441.382535680914</v>
      </c>
      <c r="D400">
        <f t="shared" si="24"/>
        <v>0.81307323020543631</v>
      </c>
    </row>
    <row r="401" spans="1:7">
      <c r="A401">
        <v>400</v>
      </c>
      <c r="B401">
        <v>22679</v>
      </c>
      <c r="C401">
        <f t="shared" si="23"/>
        <v>29455.821616000001</v>
      </c>
      <c r="D401">
        <f t="shared" si="24"/>
        <v>0.7699326909177463</v>
      </c>
    </row>
    <row r="402" spans="1:7" ht="17.25">
      <c r="A402">
        <v>401</v>
      </c>
      <c r="B402">
        <v>21418</v>
      </c>
      <c r="C402">
        <f t="shared" si="23"/>
        <v>29470.220646277266</v>
      </c>
      <c r="D402">
        <f t="shared" si="24"/>
        <v>0.72676754806400001</v>
      </c>
      <c r="F402">
        <v>402</v>
      </c>
      <c r="G402" t="s">
        <v>65</v>
      </c>
    </row>
    <row r="403" spans="1:7" ht="17.25">
      <c r="A403">
        <v>402</v>
      </c>
      <c r="B403">
        <v>20664</v>
      </c>
      <c r="C403">
        <f t="shared" si="23"/>
        <v>29484.579453623664</v>
      </c>
      <c r="D403">
        <f t="shared" si="24"/>
        <v>0.7008409271192908</v>
      </c>
      <c r="F403">
        <v>402</v>
      </c>
      <c r="G403" t="s">
        <v>66</v>
      </c>
    </row>
    <row r="404" spans="1:7">
      <c r="A404">
        <v>403</v>
      </c>
      <c r="B404">
        <v>20439</v>
      </c>
      <c r="C404">
        <f t="shared" si="23"/>
        <v>29498.897865713931</v>
      </c>
      <c r="D404">
        <f t="shared" si="24"/>
        <v>0.69287334371077991</v>
      </c>
    </row>
    <row r="405" spans="1:7">
      <c r="A405">
        <v>404</v>
      </c>
      <c r="B405">
        <v>21235</v>
      </c>
      <c r="C405">
        <f t="shared" si="23"/>
        <v>29513.175710786585</v>
      </c>
      <c r="D405">
        <f t="shared" si="24"/>
        <v>0.7195091510344972</v>
      </c>
    </row>
    <row r="406" spans="1:7">
      <c r="A406">
        <v>405</v>
      </c>
      <c r="B406">
        <v>22040</v>
      </c>
      <c r="C406">
        <f t="shared" si="23"/>
        <v>29527.412817643941</v>
      </c>
      <c r="D406">
        <f t="shared" si="24"/>
        <v>0.7464250300598676</v>
      </c>
    </row>
    <row r="407" spans="1:7">
      <c r="A407">
        <v>406</v>
      </c>
      <c r="B407">
        <v>23165</v>
      </c>
      <c r="C407">
        <f t="shared" si="23"/>
        <v>29541.609015652095</v>
      </c>
      <c r="D407">
        <f t="shared" si="24"/>
        <v>0.78414821574973925</v>
      </c>
    </row>
    <row r="408" spans="1:7">
      <c r="A408">
        <v>407</v>
      </c>
      <c r="B408">
        <v>24123</v>
      </c>
      <c r="C408">
        <f t="shared" si="23"/>
        <v>29555.764134740923</v>
      </c>
      <c r="D408">
        <f t="shared" si="24"/>
        <v>0.81618596934345355</v>
      </c>
    </row>
    <row r="409" spans="1:7">
      <c r="A409">
        <v>408</v>
      </c>
      <c r="B409">
        <v>25079</v>
      </c>
      <c r="C409">
        <f t="shared" si="23"/>
        <v>29569.878005404098</v>
      </c>
      <c r="D409">
        <f t="shared" si="24"/>
        <v>0.84812659678259883</v>
      </c>
    </row>
    <row r="410" spans="1:7">
      <c r="A410">
        <v>409</v>
      </c>
      <c r="B410">
        <v>25753</v>
      </c>
      <c r="C410">
        <f t="shared" si="23"/>
        <v>29583.950458699073</v>
      </c>
      <c r="D410">
        <f t="shared" si="24"/>
        <v>0.87050578441012116</v>
      </c>
    </row>
    <row r="411" spans="1:7">
      <c r="A411">
        <v>410</v>
      </c>
      <c r="B411">
        <v>26509</v>
      </c>
      <c r="C411">
        <f t="shared" si="23"/>
        <v>29597.9813262471</v>
      </c>
      <c r="D411">
        <f t="shared" si="24"/>
        <v>0.89563540525962049</v>
      </c>
    </row>
    <row r="412" spans="1:7">
      <c r="A412">
        <v>411</v>
      </c>
      <c r="B412">
        <v>26744</v>
      </c>
      <c r="C412">
        <f t="shared" si="23"/>
        <v>29611.970440233199</v>
      </c>
      <c r="D412">
        <f t="shared" si="24"/>
        <v>0.90314827424194155</v>
      </c>
    </row>
    <row r="413" spans="1:7">
      <c r="A413">
        <v>412</v>
      </c>
      <c r="B413">
        <v>26908</v>
      </c>
      <c r="C413">
        <f t="shared" si="23"/>
        <v>29625.917633406185</v>
      </c>
      <c r="D413">
        <f t="shared" si="24"/>
        <v>0.9082587865450128</v>
      </c>
    </row>
    <row r="414" spans="1:7">
      <c r="A414">
        <v>413</v>
      </c>
      <c r="B414">
        <v>26890</v>
      </c>
      <c r="C414">
        <f t="shared" si="23"/>
        <v>29639.822739078663</v>
      </c>
      <c r="D414">
        <f t="shared" si="24"/>
        <v>0.90722539863731522</v>
      </c>
    </row>
    <row r="415" spans="1:7">
      <c r="A415">
        <v>414</v>
      </c>
      <c r="B415">
        <v>27123</v>
      </c>
      <c r="C415">
        <f t="shared" si="23"/>
        <v>29653.685591127025</v>
      </c>
      <c r="D415">
        <f t="shared" si="24"/>
        <v>0.91465864897804616</v>
      </c>
    </row>
    <row r="416" spans="1:7">
      <c r="A416">
        <v>415</v>
      </c>
      <c r="B416">
        <v>27382</v>
      </c>
      <c r="C416">
        <f t="shared" si="23"/>
        <v>29667.506023991442</v>
      </c>
      <c r="D416">
        <f t="shared" si="24"/>
        <v>0.92296265071478523</v>
      </c>
    </row>
    <row r="417" spans="1:4">
      <c r="A417">
        <v>416</v>
      </c>
      <c r="B417">
        <v>27568</v>
      </c>
      <c r="C417">
        <f t="shared" si="23"/>
        <v>29681.283872675878</v>
      </c>
      <c r="D417">
        <f t="shared" si="24"/>
        <v>0.92880079306066221</v>
      </c>
    </row>
    <row r="418" spans="1:4">
      <c r="A418">
        <v>417</v>
      </c>
      <c r="B418">
        <v>27247</v>
      </c>
      <c r="C418">
        <f t="shared" si="23"/>
        <v>29695.018972748083</v>
      </c>
      <c r="D418">
        <f t="shared" si="24"/>
        <v>0.91756129285538779</v>
      </c>
    </row>
    <row r="419" spans="1:4">
      <c r="A419">
        <v>418</v>
      </c>
      <c r="B419">
        <v>26935</v>
      </c>
      <c r="C419">
        <f t="shared" si="23"/>
        <v>29708.711160339593</v>
      </c>
      <c r="D419">
        <f t="shared" si="24"/>
        <v>0.90663643584638465</v>
      </c>
    </row>
    <row r="420" spans="1:4">
      <c r="A420">
        <v>419</v>
      </c>
      <c r="B420">
        <v>26486</v>
      </c>
      <c r="C420">
        <f t="shared" si="23"/>
        <v>29722.360272145728</v>
      </c>
      <c r="D420">
        <f t="shared" si="24"/>
        <v>0.89111361808036893</v>
      </c>
    </row>
    <row r="421" spans="1:4">
      <c r="A421">
        <v>420</v>
      </c>
      <c r="B421">
        <v>26843</v>
      </c>
      <c r="C421">
        <f t="shared" si="23"/>
        <v>29735.966145425598</v>
      </c>
      <c r="D421">
        <f t="shared" si="24"/>
        <v>0.90271154697724076</v>
      </c>
    </row>
    <row r="422" spans="1:4">
      <c r="A422">
        <v>421</v>
      </c>
      <c r="B422">
        <v>27259</v>
      </c>
      <c r="C422">
        <f t="shared" si="23"/>
        <v>29749.528618002099</v>
      </c>
      <c r="D422">
        <f t="shared" si="24"/>
        <v>0.91628342586594713</v>
      </c>
    </row>
    <row r="423" spans="1:4">
      <c r="A423">
        <v>422</v>
      </c>
      <c r="B423">
        <v>27725</v>
      </c>
      <c r="C423">
        <f t="shared" si="23"/>
        <v>29763.047528261912</v>
      </c>
      <c r="D423">
        <f t="shared" si="24"/>
        <v>0.93152423231100057</v>
      </c>
    </row>
    <row r="424" spans="1:4">
      <c r="A424">
        <v>423</v>
      </c>
      <c r="B424">
        <v>27711</v>
      </c>
      <c r="C424">
        <f t="shared" si="23"/>
        <v>29776.522715155505</v>
      </c>
      <c r="D424">
        <f t="shared" si="24"/>
        <v>0.93063250753237869</v>
      </c>
    </row>
    <row r="425" spans="1:4">
      <c r="A425">
        <v>424</v>
      </c>
      <c r="B425">
        <v>27614</v>
      </c>
      <c r="C425">
        <f t="shared" si="23"/>
        <v>29789.954018197135</v>
      </c>
      <c r="D425">
        <f t="shared" si="24"/>
        <v>0.92695678493266698</v>
      </c>
    </row>
    <row r="426" spans="1:4">
      <c r="A426">
        <v>425</v>
      </c>
      <c r="B426">
        <v>27086</v>
      </c>
      <c r="C426">
        <f t="shared" si="23"/>
        <v>29803.341277464842</v>
      </c>
      <c r="D426">
        <f t="shared" si="24"/>
        <v>0.90882427402462085</v>
      </c>
    </row>
    <row r="427" spans="1:4">
      <c r="A427">
        <v>426</v>
      </c>
      <c r="B427">
        <v>26595</v>
      </c>
      <c r="C427">
        <f t="shared" si="23"/>
        <v>29816.684333600457</v>
      </c>
      <c r="D427">
        <f t="shared" si="24"/>
        <v>0.89195028201140603</v>
      </c>
    </row>
    <row r="428" spans="1:4">
      <c r="A428">
        <v>427</v>
      </c>
      <c r="B428">
        <v>26171</v>
      </c>
      <c r="C428">
        <f t="shared" si="23"/>
        <v>29829.983027809594</v>
      </c>
      <c r="D428">
        <f t="shared" si="24"/>
        <v>0.87733874925780431</v>
      </c>
    </row>
    <row r="429" spans="1:4">
      <c r="A429">
        <v>428</v>
      </c>
      <c r="B429">
        <v>26076</v>
      </c>
      <c r="C429">
        <f t="shared" si="23"/>
        <v>29843.237201861659</v>
      </c>
      <c r="D429">
        <f t="shared" si="24"/>
        <v>0.87376579905256879</v>
      </c>
    </row>
    <row r="430" spans="1:4">
      <c r="A430">
        <v>429</v>
      </c>
      <c r="B430">
        <v>26208</v>
      </c>
      <c r="C430">
        <f t="shared" si="23"/>
        <v>29856.446698089832</v>
      </c>
      <c r="D430">
        <f t="shared" si="24"/>
        <v>0.8778003713910385</v>
      </c>
    </row>
    <row r="431" spans="1:4">
      <c r="A431">
        <v>430</v>
      </c>
      <c r="B431">
        <v>26766</v>
      </c>
      <c r="C431">
        <f t="shared" si="23"/>
        <v>29869.6113593911</v>
      </c>
      <c r="D431">
        <f t="shared" si="24"/>
        <v>0.89609468559706207</v>
      </c>
    </row>
    <row r="432" spans="1:4">
      <c r="A432">
        <v>431</v>
      </c>
      <c r="B432">
        <v>27409</v>
      </c>
      <c r="C432">
        <f t="shared" si="23"/>
        <v>29882.731029226212</v>
      </c>
      <c r="D432">
        <f t="shared" si="24"/>
        <v>0.91721870980243314</v>
      </c>
    </row>
    <row r="433" spans="1:4">
      <c r="A433">
        <v>432</v>
      </c>
      <c r="B433">
        <v>27902</v>
      </c>
      <c r="C433">
        <f t="shared" si="23"/>
        <v>29895.805551619724</v>
      </c>
      <c r="D433">
        <f t="shared" si="24"/>
        <v>0.93330818438134711</v>
      </c>
    </row>
    <row r="434" spans="1:4">
      <c r="A434">
        <v>433</v>
      </c>
      <c r="B434">
        <v>27877</v>
      </c>
      <c r="C434">
        <f t="shared" si="23"/>
        <v>29908.834771159971</v>
      </c>
      <c r="D434">
        <f t="shared" si="24"/>
        <v>0.93206573286100747</v>
      </c>
    </row>
    <row r="435" spans="1:4">
      <c r="A435">
        <v>434</v>
      </c>
      <c r="B435">
        <v>27568</v>
      </c>
      <c r="C435">
        <f t="shared" si="23"/>
        <v>29921.818532999074</v>
      </c>
      <c r="D435">
        <f t="shared" si="24"/>
        <v>0.92133437576986899</v>
      </c>
    </row>
    <row r="436" spans="1:4">
      <c r="A436">
        <v>435</v>
      </c>
      <c r="B436">
        <v>27371</v>
      </c>
      <c r="C436">
        <f t="shared" si="23"/>
        <v>29934.756682852942</v>
      </c>
      <c r="D436">
        <f t="shared" si="24"/>
        <v>0.91435518551178008</v>
      </c>
    </row>
    <row r="437" spans="1:4">
      <c r="A437">
        <v>436</v>
      </c>
      <c r="B437">
        <v>27749</v>
      </c>
      <c r="C437">
        <f t="shared" si="23"/>
        <v>29947.649067001268</v>
      </c>
      <c r="D437">
        <f t="shared" si="24"/>
        <v>0.92658358383717287</v>
      </c>
    </row>
    <row r="438" spans="1:4">
      <c r="A438">
        <v>437</v>
      </c>
      <c r="B438">
        <v>27886</v>
      </c>
      <c r="C438">
        <f t="shared" si="23"/>
        <v>29960.495532287532</v>
      </c>
      <c r="D438">
        <f t="shared" si="24"/>
        <v>0.93075897125760454</v>
      </c>
    </row>
    <row r="439" spans="1:4">
      <c r="A439">
        <v>438</v>
      </c>
      <c r="B439">
        <v>28023</v>
      </c>
      <c r="C439">
        <f t="shared" si="23"/>
        <v>29973.295926119012</v>
      </c>
      <c r="D439">
        <f t="shared" si="24"/>
        <v>0.93493221663288939</v>
      </c>
    </row>
    <row r="440" spans="1:4">
      <c r="A440">
        <v>439</v>
      </c>
      <c r="B440">
        <v>28403</v>
      </c>
      <c r="C440">
        <f t="shared" si="23"/>
        <v>29986.050096466752</v>
      </c>
      <c r="D440">
        <f t="shared" si="24"/>
        <v>0.94720711492930898</v>
      </c>
    </row>
    <row r="441" spans="1:4">
      <c r="A441">
        <v>440</v>
      </c>
      <c r="B441">
        <v>29022</v>
      </c>
      <c r="C441">
        <f t="shared" si="23"/>
        <v>29998.7578918656</v>
      </c>
      <c r="D441">
        <f t="shared" si="24"/>
        <v>0.96744005550541623</v>
      </c>
    </row>
    <row r="442" spans="1:4">
      <c r="A442">
        <v>441</v>
      </c>
      <c r="B442">
        <v>29794</v>
      </c>
      <c r="C442">
        <f t="shared" si="23"/>
        <v>30011.419161414178</v>
      </c>
      <c r="D442">
        <f t="shared" si="24"/>
        <v>0.99275545217489369</v>
      </c>
    </row>
    <row r="443" spans="1:4">
      <c r="A443">
        <v>442</v>
      </c>
      <c r="B443">
        <v>30526</v>
      </c>
      <c r="C443">
        <f t="shared" si="23"/>
        <v>30024.033754774908</v>
      </c>
      <c r="D443">
        <f t="shared" si="24"/>
        <v>1.0167188143113934</v>
      </c>
    </row>
    <row r="444" spans="1:4">
      <c r="A444">
        <v>443</v>
      </c>
      <c r="B444">
        <v>30921</v>
      </c>
      <c r="C444">
        <f t="shared" si="23"/>
        <v>30036.601522173991</v>
      </c>
      <c r="D444">
        <f t="shared" si="24"/>
        <v>1.0294440260551154</v>
      </c>
    </row>
    <row r="445" spans="1:4">
      <c r="A445">
        <v>444</v>
      </c>
      <c r="B445">
        <v>30480</v>
      </c>
      <c r="C445">
        <f t="shared" si="23"/>
        <v>30049.122314401407</v>
      </c>
      <c r="D445">
        <f t="shared" si="24"/>
        <v>1.0143391105101291</v>
      </c>
    </row>
    <row r="446" spans="1:4">
      <c r="A446">
        <v>445</v>
      </c>
      <c r="B446">
        <v>29497</v>
      </c>
      <c r="C446">
        <f t="shared" si="23"/>
        <v>30061.595982810941</v>
      </c>
      <c r="D446">
        <f t="shared" si="24"/>
        <v>0.98121869566959208</v>
      </c>
    </row>
    <row r="447" spans="1:4">
      <c r="A447">
        <v>446</v>
      </c>
      <c r="B447">
        <v>28201</v>
      </c>
      <c r="C447">
        <f t="shared" si="23"/>
        <v>30074.022379320151</v>
      </c>
      <c r="D447">
        <f t="shared" si="24"/>
        <v>0.93771959215511858</v>
      </c>
    </row>
    <row r="448" spans="1:4">
      <c r="A448">
        <v>447</v>
      </c>
      <c r="B448">
        <v>26456</v>
      </c>
      <c r="C448">
        <f t="shared" si="23"/>
        <v>30086.401356410381</v>
      </c>
      <c r="D448">
        <f t="shared" si="24"/>
        <v>0.87933414457236614</v>
      </c>
    </row>
    <row r="449" spans="1:7">
      <c r="A449">
        <v>448</v>
      </c>
      <c r="B449">
        <v>24281</v>
      </c>
      <c r="C449">
        <f t="shared" si="23"/>
        <v>30098.732767126774</v>
      </c>
      <c r="D449">
        <f t="shared" si="24"/>
        <v>0.80671170403955395</v>
      </c>
    </row>
    <row r="450" spans="1:7">
      <c r="A450">
        <v>449</v>
      </c>
      <c r="B450">
        <v>22061</v>
      </c>
      <c r="C450">
        <f t="shared" ref="C450:C513" si="25" xml:space="preserve"> 0.00000002349111*A450*A450*A450*A450 - 0.0000664476*A450*A450*A450 + 0.03716061*A450*A450 + 10.57172*A450 + 22932.71</f>
        <v>30111.016465078243</v>
      </c>
      <c r="D450">
        <f t="shared" ref="D450:D513" si="26">B450/C450</f>
        <v>0.73265543943312628</v>
      </c>
    </row>
    <row r="451" spans="1:7" ht="17.25">
      <c r="A451">
        <v>450</v>
      </c>
      <c r="B451">
        <v>20869</v>
      </c>
      <c r="C451">
        <f t="shared" si="25"/>
        <v>30123.252304437498</v>
      </c>
      <c r="D451">
        <f t="shared" si="26"/>
        <v>0.69278707986407428</v>
      </c>
      <c r="F451">
        <v>451</v>
      </c>
      <c r="G451" t="s">
        <v>67</v>
      </c>
    </row>
    <row r="452" spans="1:7" ht="17.25">
      <c r="A452">
        <v>451</v>
      </c>
      <c r="B452">
        <v>20865</v>
      </c>
      <c r="C452">
        <f t="shared" si="25"/>
        <v>30135.440139941038</v>
      </c>
      <c r="D452">
        <f t="shared" si="26"/>
        <v>0.69237415823722637</v>
      </c>
      <c r="F452">
        <v>451</v>
      </c>
      <c r="G452" t="s">
        <v>68</v>
      </c>
    </row>
    <row r="453" spans="1:7">
      <c r="A453">
        <v>452</v>
      </c>
      <c r="B453">
        <v>21288</v>
      </c>
      <c r="C453">
        <f t="shared" si="25"/>
        <v>30147.579826889138</v>
      </c>
      <c r="D453">
        <f t="shared" si="26"/>
        <v>0.70612633326582563</v>
      </c>
    </row>
    <row r="454" spans="1:7">
      <c r="A454">
        <v>453</v>
      </c>
      <c r="B454">
        <v>21979</v>
      </c>
      <c r="C454">
        <f t="shared" si="25"/>
        <v>30159.671221145873</v>
      </c>
      <c r="D454">
        <f t="shared" si="26"/>
        <v>0.72875462861776319</v>
      </c>
    </row>
    <row r="455" spans="1:7">
      <c r="A455">
        <v>454</v>
      </c>
      <c r="B455">
        <v>23306</v>
      </c>
      <c r="C455">
        <f t="shared" si="25"/>
        <v>30171.714179139093</v>
      </c>
      <c r="D455">
        <f t="shared" si="26"/>
        <v>0.77244533942038696</v>
      </c>
    </row>
    <row r="456" spans="1:7">
      <c r="A456">
        <v>455</v>
      </c>
      <c r="B456">
        <v>25190</v>
      </c>
      <c r="C456">
        <f t="shared" si="25"/>
        <v>30183.708557860442</v>
      </c>
      <c r="D456">
        <f t="shared" si="26"/>
        <v>0.83455616302788682</v>
      </c>
    </row>
    <row r="457" spans="1:7">
      <c r="A457">
        <v>456</v>
      </c>
      <c r="B457">
        <v>26472</v>
      </c>
      <c r="C457">
        <f t="shared" si="25"/>
        <v>30195.654214865346</v>
      </c>
      <c r="D457">
        <f t="shared" si="26"/>
        <v>0.87668244614378354</v>
      </c>
    </row>
    <row r="458" spans="1:7">
      <c r="A458">
        <v>457</v>
      </c>
      <c r="B458">
        <v>27372</v>
      </c>
      <c r="C458">
        <f t="shared" si="25"/>
        <v>30207.551008273018</v>
      </c>
      <c r="D458">
        <f t="shared" si="26"/>
        <v>0.90613105287825424</v>
      </c>
    </row>
    <row r="459" spans="1:7">
      <c r="A459">
        <v>458</v>
      </c>
      <c r="B459">
        <v>27894</v>
      </c>
      <c r="C459">
        <f t="shared" si="25"/>
        <v>30219.398796766458</v>
      </c>
      <c r="D459">
        <f t="shared" si="26"/>
        <v>0.923049468574627</v>
      </c>
    </row>
    <row r="460" spans="1:7">
      <c r="A460">
        <v>459</v>
      </c>
      <c r="B460">
        <v>27861</v>
      </c>
      <c r="C460">
        <f t="shared" si="25"/>
        <v>30231.197439592463</v>
      </c>
      <c r="D460">
        <f t="shared" si="26"/>
        <v>0.92159763289798369</v>
      </c>
    </row>
    <row r="461" spans="1:7">
      <c r="A461">
        <v>460</v>
      </c>
      <c r="B461">
        <v>27500</v>
      </c>
      <c r="C461">
        <f t="shared" si="25"/>
        <v>30242.946796561599</v>
      </c>
      <c r="D461">
        <f t="shared" si="26"/>
        <v>0.90930292557094827</v>
      </c>
    </row>
    <row r="462" spans="1:7">
      <c r="A462">
        <v>461</v>
      </c>
      <c r="B462">
        <v>26950</v>
      </c>
      <c r="C462">
        <f t="shared" si="25"/>
        <v>30254.646728048228</v>
      </c>
      <c r="D462">
        <f t="shared" si="26"/>
        <v>0.89077225863012366</v>
      </c>
    </row>
    <row r="463" spans="1:7">
      <c r="A463">
        <v>462</v>
      </c>
      <c r="B463">
        <v>26172</v>
      </c>
      <c r="C463">
        <f t="shared" si="25"/>
        <v>30266.297094990499</v>
      </c>
      <c r="D463">
        <f t="shared" si="26"/>
        <v>0.86472421511820274</v>
      </c>
    </row>
    <row r="464" spans="1:7">
      <c r="A464">
        <v>463</v>
      </c>
      <c r="B464">
        <v>24978</v>
      </c>
      <c r="C464">
        <f t="shared" si="25"/>
        <v>30277.897758890347</v>
      </c>
      <c r="D464">
        <f t="shared" si="26"/>
        <v>0.82495819884542132</v>
      </c>
    </row>
    <row r="465" spans="1:7">
      <c r="A465">
        <v>464</v>
      </c>
      <c r="B465">
        <v>23863</v>
      </c>
      <c r="C465">
        <f t="shared" si="25"/>
        <v>30289.448581813493</v>
      </c>
      <c r="D465">
        <f t="shared" si="26"/>
        <v>0.78783210382799485</v>
      </c>
    </row>
    <row r="466" spans="1:7" ht="17.25">
      <c r="A466">
        <v>465</v>
      </c>
      <c r="B466">
        <v>22617</v>
      </c>
      <c r="C466">
        <f t="shared" si="25"/>
        <v>30300.949426389445</v>
      </c>
      <c r="D466">
        <f t="shared" si="26"/>
        <v>0.74641225533027666</v>
      </c>
      <c r="F466">
        <v>466</v>
      </c>
      <c r="G466" t="s">
        <v>128</v>
      </c>
    </row>
    <row r="467" spans="1:7" ht="17.25">
      <c r="A467">
        <v>466</v>
      </c>
      <c r="B467">
        <v>22444</v>
      </c>
      <c r="C467">
        <f t="shared" si="25"/>
        <v>30312.400155811491</v>
      </c>
      <c r="D467">
        <f t="shared" si="26"/>
        <v>0.74042305738356518</v>
      </c>
      <c r="F467">
        <v>466</v>
      </c>
      <c r="G467" t="s">
        <v>129</v>
      </c>
    </row>
    <row r="468" spans="1:7">
      <c r="A468">
        <v>467</v>
      </c>
      <c r="B468">
        <v>22689</v>
      </c>
      <c r="C468">
        <f t="shared" si="25"/>
        <v>30323.800633836719</v>
      </c>
      <c r="D468">
        <f t="shared" si="26"/>
        <v>0.74822415151623667</v>
      </c>
    </row>
    <row r="469" spans="1:7">
      <c r="A469">
        <v>468</v>
      </c>
      <c r="B469">
        <v>23725</v>
      </c>
      <c r="C469">
        <f t="shared" si="25"/>
        <v>30335.150724785999</v>
      </c>
      <c r="D469">
        <f t="shared" si="26"/>
        <v>0.78209599864011781</v>
      </c>
    </row>
    <row r="470" spans="1:7">
      <c r="A470">
        <v>469</v>
      </c>
      <c r="B470">
        <v>24781</v>
      </c>
      <c r="C470">
        <f t="shared" si="25"/>
        <v>30346.450293543978</v>
      </c>
      <c r="D470">
        <f t="shared" si="26"/>
        <v>0.81660292259197143</v>
      </c>
    </row>
    <row r="471" spans="1:7">
      <c r="A471">
        <v>470</v>
      </c>
      <c r="B471">
        <v>25371</v>
      </c>
      <c r="C471">
        <f t="shared" si="25"/>
        <v>30357.699205559096</v>
      </c>
      <c r="D471">
        <f t="shared" si="26"/>
        <v>0.83573527190604968</v>
      </c>
    </row>
    <row r="472" spans="1:7">
      <c r="A472">
        <v>471</v>
      </c>
      <c r="B472">
        <v>25839</v>
      </c>
      <c r="C472">
        <f t="shared" si="25"/>
        <v>30368.897326843591</v>
      </c>
      <c r="D472">
        <f t="shared" si="26"/>
        <v>0.85083760934449415</v>
      </c>
    </row>
    <row r="473" spans="1:7">
      <c r="A473">
        <v>472</v>
      </c>
      <c r="B473">
        <v>26511</v>
      </c>
      <c r="C473">
        <f t="shared" si="25"/>
        <v>30380.044523973465</v>
      </c>
      <c r="D473">
        <f t="shared" si="26"/>
        <v>0.87264519902463178</v>
      </c>
    </row>
    <row r="474" spans="1:7">
      <c r="A474">
        <v>473</v>
      </c>
      <c r="B474">
        <v>27188</v>
      </c>
      <c r="C474">
        <f t="shared" si="25"/>
        <v>30391.140664088525</v>
      </c>
      <c r="D474">
        <f t="shared" si="26"/>
        <v>0.89460281535686181</v>
      </c>
    </row>
    <row r="475" spans="1:7">
      <c r="A475">
        <v>474</v>
      </c>
      <c r="B475">
        <v>27256</v>
      </c>
      <c r="C475">
        <f t="shared" si="25"/>
        <v>30402.185614892362</v>
      </c>
      <c r="D475">
        <f t="shared" si="26"/>
        <v>0.89651449225574043</v>
      </c>
    </row>
    <row r="476" spans="1:7">
      <c r="A476">
        <v>475</v>
      </c>
      <c r="B476">
        <v>26898</v>
      </c>
      <c r="C476">
        <f t="shared" si="25"/>
        <v>30413.179244652343</v>
      </c>
      <c r="D476">
        <f t="shared" si="26"/>
        <v>0.88441921127760992</v>
      </c>
    </row>
    <row r="477" spans="1:7">
      <c r="A477">
        <v>476</v>
      </c>
      <c r="B477">
        <v>26072</v>
      </c>
      <c r="C477">
        <f t="shared" si="25"/>
        <v>30424.121422199631</v>
      </c>
      <c r="D477">
        <f t="shared" si="26"/>
        <v>0.85695161540395348</v>
      </c>
    </row>
    <row r="478" spans="1:7">
      <c r="A478">
        <v>477</v>
      </c>
      <c r="B478">
        <v>25434</v>
      </c>
      <c r="C478">
        <f t="shared" si="25"/>
        <v>30435.012016929173</v>
      </c>
      <c r="D478">
        <f t="shared" si="26"/>
        <v>0.83568227230705838</v>
      </c>
    </row>
    <row r="479" spans="1:7">
      <c r="A479">
        <v>478</v>
      </c>
      <c r="B479">
        <v>25457</v>
      </c>
      <c r="C479">
        <f t="shared" si="25"/>
        <v>30445.850898799705</v>
      </c>
      <c r="D479">
        <f t="shared" si="26"/>
        <v>0.83614020460842553</v>
      </c>
    </row>
    <row r="480" spans="1:7">
      <c r="A480">
        <v>479</v>
      </c>
      <c r="B480">
        <v>26118</v>
      </c>
      <c r="C480">
        <f t="shared" si="25"/>
        <v>30456.637938333744</v>
      </c>
      <c r="D480">
        <f t="shared" si="26"/>
        <v>0.85754704944392468</v>
      </c>
    </row>
    <row r="481" spans="1:4">
      <c r="A481">
        <v>480</v>
      </c>
      <c r="B481">
        <v>27133</v>
      </c>
      <c r="C481">
        <f t="shared" si="25"/>
        <v>30467.373006617599</v>
      </c>
      <c r="D481">
        <f t="shared" si="26"/>
        <v>0.89055922196201931</v>
      </c>
    </row>
    <row r="482" spans="1:4">
      <c r="A482">
        <v>481</v>
      </c>
      <c r="B482">
        <v>27973</v>
      </c>
      <c r="C482">
        <f t="shared" si="25"/>
        <v>30478.055975301366</v>
      </c>
      <c r="D482">
        <f t="shared" si="26"/>
        <v>0.91780788192884089</v>
      </c>
    </row>
    <row r="483" spans="1:4">
      <c r="A483">
        <v>482</v>
      </c>
      <c r="B483">
        <v>28392</v>
      </c>
      <c r="C483">
        <f t="shared" si="25"/>
        <v>30488.686716598921</v>
      </c>
      <c r="D483">
        <f t="shared" si="26"/>
        <v>0.93123066480074312</v>
      </c>
    </row>
    <row r="484" spans="1:4">
      <c r="A484">
        <v>483</v>
      </c>
      <c r="B484">
        <v>28849</v>
      </c>
      <c r="C484">
        <f t="shared" si="25"/>
        <v>30499.265103287937</v>
      </c>
      <c r="D484">
        <f t="shared" si="26"/>
        <v>0.94589164369373502</v>
      </c>
    </row>
    <row r="485" spans="1:4">
      <c r="A485">
        <v>484</v>
      </c>
      <c r="B485">
        <v>29179</v>
      </c>
      <c r="C485">
        <f t="shared" si="25"/>
        <v>30509.791008709861</v>
      </c>
      <c r="D485">
        <f t="shared" si="26"/>
        <v>0.95638151017389961</v>
      </c>
    </row>
    <row r="486" spans="1:4">
      <c r="A486">
        <v>485</v>
      </c>
      <c r="B486">
        <v>29123</v>
      </c>
      <c r="C486">
        <f t="shared" si="25"/>
        <v>30520.264306769939</v>
      </c>
      <c r="D486">
        <f t="shared" si="26"/>
        <v>0.95421847292259521</v>
      </c>
    </row>
    <row r="487" spans="1:4">
      <c r="A487">
        <v>486</v>
      </c>
      <c r="B487">
        <v>29063</v>
      </c>
      <c r="C487">
        <f t="shared" si="25"/>
        <v>30530.684871937199</v>
      </c>
      <c r="D487">
        <f t="shared" si="26"/>
        <v>0.95192754836344184</v>
      </c>
    </row>
    <row r="488" spans="1:4">
      <c r="A488">
        <v>487</v>
      </c>
      <c r="B488">
        <v>28714</v>
      </c>
      <c r="C488">
        <f t="shared" si="25"/>
        <v>30541.052579244453</v>
      </c>
      <c r="D488">
        <f t="shared" si="26"/>
        <v>0.94017715746686126</v>
      </c>
    </row>
    <row r="489" spans="1:4">
      <c r="A489">
        <v>488</v>
      </c>
      <c r="B489">
        <v>28917</v>
      </c>
      <c r="C489">
        <f t="shared" si="25"/>
        <v>30551.367304288295</v>
      </c>
      <c r="D489">
        <f t="shared" si="26"/>
        <v>0.94650428283584909</v>
      </c>
    </row>
    <row r="490" spans="1:4">
      <c r="A490">
        <v>489</v>
      </c>
      <c r="B490">
        <v>29380</v>
      </c>
      <c r="C490">
        <f t="shared" si="25"/>
        <v>30561.62892322912</v>
      </c>
      <c r="D490">
        <f t="shared" si="26"/>
        <v>0.96133619296938089</v>
      </c>
    </row>
    <row r="491" spans="1:4">
      <c r="A491">
        <v>490</v>
      </c>
      <c r="B491">
        <v>29868</v>
      </c>
      <c r="C491">
        <f t="shared" si="25"/>
        <v>30571.837312791096</v>
      </c>
      <c r="D491">
        <f t="shared" si="26"/>
        <v>0.97697759197166034</v>
      </c>
    </row>
    <row r="492" spans="1:4">
      <c r="A492">
        <v>491</v>
      </c>
      <c r="B492">
        <v>30479</v>
      </c>
      <c r="C492">
        <f t="shared" si="25"/>
        <v>30581.992350262193</v>
      </c>
      <c r="D492">
        <f t="shared" si="26"/>
        <v>0.99663225505118835</v>
      </c>
    </row>
    <row r="493" spans="1:4">
      <c r="A493">
        <v>492</v>
      </c>
      <c r="B493">
        <v>31007</v>
      </c>
      <c r="C493">
        <f t="shared" si="25"/>
        <v>30592.093913494144</v>
      </c>
      <c r="D493">
        <f t="shared" si="26"/>
        <v>1.01356252656909</v>
      </c>
    </row>
    <row r="494" spans="1:4">
      <c r="A494">
        <v>493</v>
      </c>
      <c r="B494">
        <v>30980</v>
      </c>
      <c r="C494">
        <f t="shared" si="25"/>
        <v>30602.141880902494</v>
      </c>
      <c r="D494">
        <f t="shared" si="26"/>
        <v>1.0123474402729082</v>
      </c>
    </row>
    <row r="495" spans="1:4">
      <c r="A495">
        <v>494</v>
      </c>
      <c r="B495">
        <v>30775</v>
      </c>
      <c r="C495">
        <f t="shared" si="25"/>
        <v>30612.136131466556</v>
      </c>
      <c r="D495">
        <f t="shared" si="26"/>
        <v>1.0053202386084399</v>
      </c>
    </row>
    <row r="496" spans="1:4">
      <c r="A496">
        <v>495</v>
      </c>
      <c r="B496">
        <v>30458</v>
      </c>
      <c r="C496">
        <f t="shared" si="25"/>
        <v>30622.076544729443</v>
      </c>
      <c r="D496">
        <f t="shared" si="26"/>
        <v>0.99464188705524992</v>
      </c>
    </row>
    <row r="497" spans="1:4">
      <c r="A497">
        <v>496</v>
      </c>
      <c r="B497">
        <v>30481</v>
      </c>
      <c r="C497">
        <f t="shared" si="25"/>
        <v>30631.963000798045</v>
      </c>
      <c r="D497">
        <f t="shared" si="26"/>
        <v>0.99507171640308811</v>
      </c>
    </row>
    <row r="498" spans="1:4">
      <c r="A498">
        <v>497</v>
      </c>
      <c r="B498">
        <v>30653</v>
      </c>
      <c r="C498">
        <f t="shared" si="25"/>
        <v>30641.795380343039</v>
      </c>
      <c r="D498">
        <f t="shared" si="26"/>
        <v>1.0003656645936663</v>
      </c>
    </row>
    <row r="499" spans="1:4">
      <c r="A499">
        <v>498</v>
      </c>
      <c r="B499">
        <v>30619</v>
      </c>
      <c r="C499">
        <f t="shared" si="25"/>
        <v>30651.573564598897</v>
      </c>
      <c r="D499">
        <f t="shared" si="26"/>
        <v>0.99893729551827914</v>
      </c>
    </row>
    <row r="500" spans="1:4">
      <c r="A500">
        <v>499</v>
      </c>
      <c r="B500">
        <v>30261</v>
      </c>
      <c r="C500">
        <f t="shared" si="25"/>
        <v>30661.297435363871</v>
      </c>
      <c r="D500">
        <f t="shared" si="26"/>
        <v>0.98694453696202111</v>
      </c>
    </row>
    <row r="501" spans="1:4">
      <c r="A501">
        <v>500</v>
      </c>
      <c r="B501">
        <v>29731</v>
      </c>
      <c r="C501">
        <f t="shared" si="25"/>
        <v>30670.966874999998</v>
      </c>
      <c r="D501">
        <f t="shared" si="26"/>
        <v>0.96935320367203137</v>
      </c>
    </row>
    <row r="502" spans="1:4">
      <c r="A502">
        <v>501</v>
      </c>
      <c r="B502">
        <v>29206</v>
      </c>
      <c r="C502">
        <f t="shared" si="25"/>
        <v>30680.581766433112</v>
      </c>
      <c r="D502">
        <f t="shared" si="26"/>
        <v>0.95193762042522878</v>
      </c>
    </row>
    <row r="503" spans="1:4">
      <c r="A503">
        <v>502</v>
      </c>
      <c r="B503">
        <v>28905</v>
      </c>
      <c r="C503">
        <f t="shared" si="25"/>
        <v>30690.141993152818</v>
      </c>
      <c r="D503">
        <f t="shared" si="26"/>
        <v>0.9418333745881301</v>
      </c>
    </row>
    <row r="504" spans="1:4">
      <c r="A504">
        <v>503</v>
      </c>
      <c r="B504">
        <v>28522</v>
      </c>
      <c r="C504">
        <f t="shared" si="25"/>
        <v>30699.647439212516</v>
      </c>
      <c r="D504">
        <f t="shared" si="26"/>
        <v>0.92906604404743043</v>
      </c>
    </row>
    <row r="505" spans="1:4">
      <c r="A505">
        <v>504</v>
      </c>
      <c r="B505">
        <v>28060</v>
      </c>
      <c r="C505">
        <f t="shared" si="25"/>
        <v>30709.097989229402</v>
      </c>
      <c r="D505">
        <f t="shared" si="26"/>
        <v>0.91373572775864276</v>
      </c>
    </row>
    <row r="506" spans="1:4">
      <c r="A506">
        <v>505</v>
      </c>
      <c r="B506">
        <v>27752</v>
      </c>
      <c r="C506">
        <f t="shared" si="25"/>
        <v>30718.493528384442</v>
      </c>
      <c r="D506">
        <f t="shared" si="26"/>
        <v>0.90342971976658459</v>
      </c>
    </row>
    <row r="507" spans="1:4">
      <c r="A507">
        <v>506</v>
      </c>
      <c r="B507">
        <v>27745</v>
      </c>
      <c r="C507">
        <f t="shared" si="25"/>
        <v>30727.833942422396</v>
      </c>
      <c r="D507">
        <f t="shared" si="26"/>
        <v>0.90292729555843054</v>
      </c>
    </row>
    <row r="508" spans="1:4">
      <c r="A508">
        <v>507</v>
      </c>
      <c r="B508">
        <v>28204</v>
      </c>
      <c r="C508">
        <f t="shared" si="25"/>
        <v>30737.119117651811</v>
      </c>
      <c r="D508">
        <f t="shared" si="26"/>
        <v>0.91758762075405165</v>
      </c>
    </row>
    <row r="509" spans="1:4">
      <c r="A509">
        <v>508</v>
      </c>
      <c r="B509">
        <v>28631</v>
      </c>
      <c r="C509">
        <f t="shared" si="25"/>
        <v>30746.348940945023</v>
      </c>
      <c r="D509">
        <f t="shared" si="26"/>
        <v>0.93119999564800338</v>
      </c>
    </row>
    <row r="510" spans="1:4">
      <c r="A510">
        <v>509</v>
      </c>
      <c r="B510">
        <v>28935</v>
      </c>
      <c r="C510">
        <f t="shared" si="25"/>
        <v>30755.523299738154</v>
      </c>
      <c r="D510">
        <f t="shared" si="26"/>
        <v>0.94080662253749869</v>
      </c>
    </row>
    <row r="511" spans="1:4">
      <c r="A511">
        <v>510</v>
      </c>
      <c r="B511">
        <v>28871</v>
      </c>
      <c r="C511">
        <f t="shared" si="25"/>
        <v>30764.642082031096</v>
      </c>
      <c r="D511">
        <f t="shared" si="26"/>
        <v>0.93844745285897124</v>
      </c>
    </row>
    <row r="512" spans="1:4">
      <c r="A512">
        <v>511</v>
      </c>
      <c r="B512">
        <v>28433</v>
      </c>
      <c r="C512">
        <f t="shared" si="25"/>
        <v>30773.705176387561</v>
      </c>
      <c r="D512">
        <f t="shared" si="26"/>
        <v>0.92393814254828288</v>
      </c>
    </row>
    <row r="513" spans="1:7">
      <c r="A513">
        <v>512</v>
      </c>
      <c r="B513">
        <v>28245</v>
      </c>
      <c r="C513">
        <f t="shared" si="25"/>
        <v>30782.712471935014</v>
      </c>
      <c r="D513">
        <f t="shared" si="26"/>
        <v>0.9175604659839941</v>
      </c>
    </row>
    <row r="514" spans="1:7">
      <c r="A514">
        <v>513</v>
      </c>
      <c r="B514">
        <v>28163</v>
      </c>
      <c r="C514">
        <f t="shared" ref="C514:C577" si="27" xml:space="preserve"> 0.00000002349111*A514*A514*A514*A514 - 0.0000664476*A514*A514*A514 + 0.03716061*A514*A514 + 10.57172*A514 + 22932.71</f>
        <v>30791.663858364729</v>
      </c>
      <c r="D514">
        <f t="shared" ref="D514:D577" si="28">B514/C514</f>
        <v>0.91463066528473302</v>
      </c>
    </row>
    <row r="515" spans="1:7">
      <c r="A515">
        <v>514</v>
      </c>
      <c r="B515">
        <v>28227</v>
      </c>
      <c r="C515">
        <f t="shared" si="27"/>
        <v>30800.559225931764</v>
      </c>
      <c r="D515">
        <f t="shared" si="28"/>
        <v>0.91644439936775501</v>
      </c>
    </row>
    <row r="516" spans="1:7">
      <c r="A516">
        <v>515</v>
      </c>
      <c r="B516">
        <v>28310</v>
      </c>
      <c r="C516">
        <f t="shared" si="27"/>
        <v>30809.398465454939</v>
      </c>
      <c r="D516">
        <f t="shared" si="28"/>
        <v>0.91887545392171832</v>
      </c>
    </row>
    <row r="517" spans="1:7">
      <c r="A517">
        <v>516</v>
      </c>
      <c r="B517">
        <v>28120</v>
      </c>
      <c r="C517">
        <f t="shared" si="27"/>
        <v>30818.1814683169</v>
      </c>
      <c r="D517">
        <f t="shared" si="28"/>
        <v>0.91244838793973593</v>
      </c>
    </row>
    <row r="518" spans="1:7">
      <c r="A518">
        <v>517</v>
      </c>
      <c r="B518">
        <v>27347</v>
      </c>
      <c r="C518">
        <f t="shared" si="27"/>
        <v>30826.908126464055</v>
      </c>
      <c r="D518">
        <f t="shared" si="28"/>
        <v>0.88711459118157066</v>
      </c>
    </row>
    <row r="519" spans="1:7">
      <c r="A519">
        <v>518</v>
      </c>
      <c r="B519">
        <v>25690</v>
      </c>
      <c r="C519">
        <f t="shared" si="27"/>
        <v>30835.578332406603</v>
      </c>
      <c r="D519">
        <f t="shared" si="28"/>
        <v>0.83312852845056373</v>
      </c>
    </row>
    <row r="520" spans="1:7">
      <c r="A520">
        <v>519</v>
      </c>
      <c r="B520">
        <v>23944</v>
      </c>
      <c r="C520">
        <f t="shared" si="27"/>
        <v>30844.191979218522</v>
      </c>
      <c r="D520">
        <f t="shared" si="28"/>
        <v>0.77628877475968339</v>
      </c>
    </row>
    <row r="521" spans="1:7" ht="17.25">
      <c r="A521">
        <v>520</v>
      </c>
      <c r="B521">
        <v>22760</v>
      </c>
      <c r="C521">
        <f t="shared" si="27"/>
        <v>30852.748960537596</v>
      </c>
      <c r="D521">
        <f t="shared" si="28"/>
        <v>0.73769763689813583</v>
      </c>
      <c r="F521">
        <v>520.5</v>
      </c>
      <c r="G521" t="s">
        <v>69</v>
      </c>
    </row>
    <row r="522" spans="1:7" ht="17.25">
      <c r="A522">
        <v>521</v>
      </c>
      <c r="B522">
        <v>22982</v>
      </c>
      <c r="C522">
        <f t="shared" si="27"/>
        <v>30861.249170565381</v>
      </c>
      <c r="D522">
        <f t="shared" si="28"/>
        <v>0.74468793771055797</v>
      </c>
      <c r="F522">
        <v>520.5</v>
      </c>
      <c r="G522" t="s">
        <v>70</v>
      </c>
    </row>
    <row r="523" spans="1:7">
      <c r="A523">
        <v>522</v>
      </c>
      <c r="B523">
        <v>24027</v>
      </c>
      <c r="C523">
        <f t="shared" si="27"/>
        <v>30869.692504067225</v>
      </c>
      <c r="D523">
        <f t="shared" si="28"/>
        <v>0.7783362272505413</v>
      </c>
    </row>
    <row r="524" spans="1:7">
      <c r="A524">
        <v>523</v>
      </c>
      <c r="B524">
        <v>25352</v>
      </c>
      <c r="C524">
        <f t="shared" si="27"/>
        <v>30878.078856372249</v>
      </c>
      <c r="D524">
        <f t="shared" si="28"/>
        <v>0.8210355352068206</v>
      </c>
    </row>
    <row r="525" spans="1:7">
      <c r="A525">
        <v>524</v>
      </c>
      <c r="B525">
        <v>26391</v>
      </c>
      <c r="C525">
        <f t="shared" si="27"/>
        <v>30886.408123373389</v>
      </c>
      <c r="D525">
        <f t="shared" si="28"/>
        <v>0.85445351542928449</v>
      </c>
    </row>
    <row r="526" spans="1:7">
      <c r="A526">
        <v>525</v>
      </c>
      <c r="B526">
        <v>27087</v>
      </c>
      <c r="C526">
        <f t="shared" si="27"/>
        <v>30894.680201527342</v>
      </c>
      <c r="D526">
        <f t="shared" si="28"/>
        <v>0.87675288506986704</v>
      </c>
    </row>
    <row r="527" spans="1:7">
      <c r="A527">
        <v>526</v>
      </c>
      <c r="B527">
        <v>27479</v>
      </c>
      <c r="C527">
        <f t="shared" si="27"/>
        <v>30902.894987854601</v>
      </c>
      <c r="D527">
        <f t="shared" si="28"/>
        <v>0.88920471725382833</v>
      </c>
    </row>
    <row r="528" spans="1:7">
      <c r="A528">
        <v>527</v>
      </c>
      <c r="B528">
        <v>28060</v>
      </c>
      <c r="C528">
        <f t="shared" si="27"/>
        <v>30911.05237993945</v>
      </c>
      <c r="D528">
        <f t="shared" si="28"/>
        <v>0.90776592317543625</v>
      </c>
    </row>
    <row r="529" spans="1:4">
      <c r="A529">
        <v>528</v>
      </c>
      <c r="B529">
        <v>28837</v>
      </c>
      <c r="C529">
        <f t="shared" si="27"/>
        <v>30919.152275929948</v>
      </c>
      <c r="D529">
        <f t="shared" si="28"/>
        <v>0.93265817065913326</v>
      </c>
    </row>
    <row r="530" spans="1:4">
      <c r="A530">
        <v>529</v>
      </c>
      <c r="B530">
        <v>29776</v>
      </c>
      <c r="C530">
        <f t="shared" si="27"/>
        <v>30927.194574537949</v>
      </c>
      <c r="D530">
        <f t="shared" si="28"/>
        <v>0.96277727125350987</v>
      </c>
    </row>
    <row r="531" spans="1:4">
      <c r="A531">
        <v>530</v>
      </c>
      <c r="B531">
        <v>30297</v>
      </c>
      <c r="C531">
        <f t="shared" si="27"/>
        <v>30935.179175039098</v>
      </c>
      <c r="D531">
        <f t="shared" si="28"/>
        <v>0.97937043870254903</v>
      </c>
    </row>
    <row r="532" spans="1:4">
      <c r="A532">
        <v>531</v>
      </c>
      <c r="B532">
        <v>30861</v>
      </c>
      <c r="C532">
        <f t="shared" si="27"/>
        <v>30943.105977272819</v>
      </c>
      <c r="D532">
        <f t="shared" si="28"/>
        <v>0.99734655023535379</v>
      </c>
    </row>
    <row r="533" spans="1:4">
      <c r="A533">
        <v>532</v>
      </c>
      <c r="B533">
        <v>31065</v>
      </c>
      <c r="C533">
        <f t="shared" si="27"/>
        <v>30950.974881642316</v>
      </c>
      <c r="D533">
        <f t="shared" si="28"/>
        <v>1.0036840557944853</v>
      </c>
    </row>
    <row r="534" spans="1:4">
      <c r="A534">
        <v>533</v>
      </c>
      <c r="B534">
        <v>31082</v>
      </c>
      <c r="C534">
        <f t="shared" si="27"/>
        <v>30958.785789114601</v>
      </c>
      <c r="D534">
        <f t="shared" si="28"/>
        <v>1.0039799432614933</v>
      </c>
    </row>
    <row r="535" spans="1:4">
      <c r="A535">
        <v>534</v>
      </c>
      <c r="B535">
        <v>30934</v>
      </c>
      <c r="C535">
        <f t="shared" si="27"/>
        <v>30966.538601220454</v>
      </c>
      <c r="D535">
        <f t="shared" si="28"/>
        <v>0.99894923350525289</v>
      </c>
    </row>
    <row r="536" spans="1:4">
      <c r="A536">
        <v>535</v>
      </c>
      <c r="B536">
        <v>30831</v>
      </c>
      <c r="C536">
        <f t="shared" si="27"/>
        <v>30974.233220054441</v>
      </c>
      <c r="D536">
        <f t="shared" si="28"/>
        <v>0.99537572991599665</v>
      </c>
    </row>
    <row r="537" spans="1:4">
      <c r="A537">
        <v>536</v>
      </c>
      <c r="B537">
        <v>31111</v>
      </c>
      <c r="C537">
        <f t="shared" si="27"/>
        <v>30981.869548274928</v>
      </c>
      <c r="D537">
        <f t="shared" si="28"/>
        <v>1.004167936073834</v>
      </c>
    </row>
    <row r="538" spans="1:4">
      <c r="A538">
        <v>537</v>
      </c>
      <c r="B538">
        <v>31475</v>
      </c>
      <c r="C538">
        <f t="shared" si="27"/>
        <v>30989.447489104066</v>
      </c>
      <c r="D538">
        <f t="shared" si="28"/>
        <v>1.0156683177738697</v>
      </c>
    </row>
    <row r="539" spans="1:4">
      <c r="A539">
        <v>538</v>
      </c>
      <c r="B539">
        <v>31598</v>
      </c>
      <c r="C539">
        <f t="shared" si="27"/>
        <v>30996.966946327782</v>
      </c>
      <c r="D539">
        <f t="shared" si="28"/>
        <v>1.0193900601537216</v>
      </c>
    </row>
    <row r="540" spans="1:4">
      <c r="A540">
        <v>539</v>
      </c>
      <c r="B540">
        <v>31531</v>
      </c>
      <c r="C540">
        <f t="shared" si="27"/>
        <v>31004.427824295788</v>
      </c>
      <c r="D540">
        <f t="shared" si="28"/>
        <v>1.0169837733722529</v>
      </c>
    </row>
    <row r="541" spans="1:4">
      <c r="A541">
        <v>540</v>
      </c>
      <c r="B541">
        <v>31129</v>
      </c>
      <c r="C541">
        <f t="shared" si="27"/>
        <v>31011.830027921598</v>
      </c>
      <c r="D541">
        <f t="shared" si="28"/>
        <v>1.0037782346921451</v>
      </c>
    </row>
    <row r="542" spans="1:4">
      <c r="A542">
        <v>541</v>
      </c>
      <c r="B542">
        <v>30597</v>
      </c>
      <c r="C542">
        <f t="shared" si="27"/>
        <v>31019.173462682502</v>
      </c>
      <c r="D542">
        <f t="shared" si="28"/>
        <v>0.98638991902249118</v>
      </c>
    </row>
    <row r="543" spans="1:4">
      <c r="A543">
        <v>542</v>
      </c>
      <c r="B543">
        <v>30185</v>
      </c>
      <c r="C543">
        <f t="shared" si="27"/>
        <v>31026.45803461958</v>
      </c>
      <c r="D543">
        <f t="shared" si="28"/>
        <v>0.97287933950821348</v>
      </c>
    </row>
    <row r="544" spans="1:4">
      <c r="A544">
        <v>543</v>
      </c>
      <c r="B544">
        <v>30147</v>
      </c>
      <c r="C544">
        <f t="shared" si="27"/>
        <v>31033.683650337698</v>
      </c>
      <c r="D544">
        <f t="shared" si="28"/>
        <v>0.97142834668522993</v>
      </c>
    </row>
    <row r="545" spans="1:4">
      <c r="A545">
        <v>544</v>
      </c>
      <c r="B545">
        <v>30305</v>
      </c>
      <c r="C545">
        <f t="shared" si="27"/>
        <v>31040.850217005504</v>
      </c>
      <c r="D545">
        <f t="shared" si="28"/>
        <v>0.97629413460452275</v>
      </c>
    </row>
    <row r="546" spans="1:4">
      <c r="A546">
        <v>545</v>
      </c>
      <c r="B546">
        <v>30704</v>
      </c>
      <c r="C546">
        <f t="shared" si="27"/>
        <v>31047.957642355439</v>
      </c>
      <c r="D546">
        <f t="shared" si="28"/>
        <v>0.98892173049456189</v>
      </c>
    </row>
    <row r="547" spans="1:4">
      <c r="A547">
        <v>546</v>
      </c>
      <c r="B547">
        <v>30764</v>
      </c>
      <c r="C547">
        <f t="shared" si="27"/>
        <v>31055.005834683736</v>
      </c>
      <c r="D547">
        <f t="shared" si="28"/>
        <v>0.99062934213463494</v>
      </c>
    </row>
    <row r="548" spans="1:4">
      <c r="A548">
        <v>547</v>
      </c>
      <c r="B548">
        <v>31203</v>
      </c>
      <c r="C548">
        <f t="shared" si="27"/>
        <v>31061.994702850396</v>
      </c>
      <c r="D548">
        <f t="shared" si="28"/>
        <v>1.0045394797886777</v>
      </c>
    </row>
    <row r="549" spans="1:4">
      <c r="A549">
        <v>548</v>
      </c>
      <c r="B549">
        <v>31604</v>
      </c>
      <c r="C549">
        <f t="shared" si="27"/>
        <v>31068.924156279219</v>
      </c>
      <c r="D549">
        <f t="shared" si="28"/>
        <v>1.0172222198950085</v>
      </c>
    </row>
    <row r="550" spans="1:4">
      <c r="A550">
        <v>549</v>
      </c>
      <c r="B550">
        <v>32130</v>
      </c>
      <c r="C550">
        <f t="shared" si="27"/>
        <v>31075.794104957797</v>
      </c>
      <c r="D550">
        <f t="shared" si="28"/>
        <v>1.0339236993101977</v>
      </c>
    </row>
    <row r="551" spans="1:4">
      <c r="A551">
        <v>550</v>
      </c>
      <c r="B551">
        <v>32584</v>
      </c>
      <c r="C551">
        <f t="shared" si="27"/>
        <v>31082.604459437498</v>
      </c>
      <c r="D551">
        <f t="shared" si="28"/>
        <v>1.0483034020692124</v>
      </c>
    </row>
    <row r="552" spans="1:4">
      <c r="A552">
        <v>551</v>
      </c>
      <c r="B552">
        <v>32766</v>
      </c>
      <c r="C552">
        <f t="shared" si="27"/>
        <v>31089.355130833483</v>
      </c>
      <c r="D552">
        <f t="shared" si="28"/>
        <v>1.0539298696325698</v>
      </c>
    </row>
    <row r="553" spans="1:4">
      <c r="A553">
        <v>552</v>
      </c>
      <c r="B553">
        <v>32286</v>
      </c>
      <c r="C553">
        <f t="shared" si="27"/>
        <v>31096.046030824691</v>
      </c>
      <c r="D553">
        <f t="shared" si="28"/>
        <v>1.0382670506724789</v>
      </c>
    </row>
    <row r="554" spans="1:4">
      <c r="A554">
        <v>553</v>
      </c>
      <c r="B554">
        <v>31459</v>
      </c>
      <c r="C554">
        <f t="shared" si="27"/>
        <v>31102.677071653859</v>
      </c>
      <c r="D554">
        <f t="shared" si="28"/>
        <v>1.0114563427297674</v>
      </c>
    </row>
    <row r="555" spans="1:4">
      <c r="A555">
        <v>554</v>
      </c>
      <c r="B555">
        <v>30314</v>
      </c>
      <c r="C555">
        <f t="shared" si="27"/>
        <v>31109.248166127509</v>
      </c>
      <c r="D555">
        <f t="shared" si="28"/>
        <v>0.97443692107630575</v>
      </c>
    </row>
    <row r="556" spans="1:4">
      <c r="A556">
        <v>555</v>
      </c>
      <c r="B556">
        <v>29032</v>
      </c>
      <c r="C556">
        <f t="shared" si="27"/>
        <v>31115.759227615941</v>
      </c>
      <c r="D556">
        <f t="shared" si="28"/>
        <v>0.93303203009211622</v>
      </c>
    </row>
    <row r="557" spans="1:4">
      <c r="A557">
        <v>556</v>
      </c>
      <c r="B557">
        <v>28197</v>
      </c>
      <c r="C557">
        <f t="shared" si="27"/>
        <v>31122.210170053251</v>
      </c>
      <c r="D557">
        <f t="shared" si="28"/>
        <v>0.90600891922296767</v>
      </c>
    </row>
    <row r="558" spans="1:4">
      <c r="A558">
        <v>557</v>
      </c>
      <c r="B558">
        <v>27709</v>
      </c>
      <c r="C558">
        <f t="shared" si="27"/>
        <v>31128.600907937311</v>
      </c>
      <c r="D558">
        <f t="shared" si="28"/>
        <v>0.89014601337044463</v>
      </c>
    </row>
    <row r="559" spans="1:4">
      <c r="A559">
        <v>558</v>
      </c>
      <c r="B559">
        <v>27416</v>
      </c>
      <c r="C559">
        <f t="shared" si="27"/>
        <v>31134.931356329787</v>
      </c>
      <c r="D559">
        <f t="shared" si="28"/>
        <v>0.88055437432099171</v>
      </c>
    </row>
    <row r="560" spans="1:4">
      <c r="A560">
        <v>559</v>
      </c>
      <c r="B560">
        <v>27321</v>
      </c>
      <c r="C560">
        <f t="shared" si="27"/>
        <v>31141.201430856141</v>
      </c>
      <c r="D560">
        <f t="shared" si="28"/>
        <v>0.87732645963135802</v>
      </c>
    </row>
    <row r="561" spans="1:4">
      <c r="A561">
        <v>560</v>
      </c>
      <c r="B561">
        <v>27434</v>
      </c>
      <c r="C561">
        <f t="shared" si="27"/>
        <v>31147.411047705598</v>
      </c>
      <c r="D561">
        <f t="shared" si="28"/>
        <v>0.88077946375645444</v>
      </c>
    </row>
    <row r="562" spans="1:4">
      <c r="A562">
        <v>561</v>
      </c>
      <c r="B562">
        <v>27699</v>
      </c>
      <c r="C562">
        <f t="shared" si="27"/>
        <v>31153.560123631192</v>
      </c>
      <c r="D562">
        <f t="shared" si="28"/>
        <v>0.88911186683249166</v>
      </c>
    </row>
    <row r="563" spans="1:4">
      <c r="A563">
        <v>562</v>
      </c>
      <c r="B563">
        <v>28524</v>
      </c>
      <c r="C563">
        <f t="shared" si="27"/>
        <v>31159.64857594973</v>
      </c>
      <c r="D563">
        <f t="shared" si="28"/>
        <v>0.91541468866295139</v>
      </c>
    </row>
    <row r="564" spans="1:4">
      <c r="A564">
        <v>563</v>
      </c>
      <c r="B564">
        <v>29182</v>
      </c>
      <c r="C564">
        <f t="shared" si="27"/>
        <v>31165.676322541814</v>
      </c>
      <c r="D564">
        <f t="shared" si="28"/>
        <v>0.93635060885532451</v>
      </c>
    </row>
    <row r="565" spans="1:4">
      <c r="A565">
        <v>564</v>
      </c>
      <c r="B565">
        <v>29659</v>
      </c>
      <c r="C565">
        <f t="shared" si="27"/>
        <v>31171.64328185183</v>
      </c>
      <c r="D565">
        <f t="shared" si="28"/>
        <v>0.951473739508225</v>
      </c>
    </row>
    <row r="566" spans="1:4">
      <c r="A566">
        <v>565</v>
      </c>
      <c r="B566">
        <v>29737</v>
      </c>
      <c r="C566">
        <f t="shared" si="27"/>
        <v>31177.549372887941</v>
      </c>
      <c r="D566">
        <f t="shared" si="28"/>
        <v>0.95379529815962238</v>
      </c>
    </row>
    <row r="567" spans="1:4">
      <c r="A567">
        <v>566</v>
      </c>
      <c r="B567">
        <v>29801</v>
      </c>
      <c r="C567">
        <f t="shared" si="27"/>
        <v>31183.394515222117</v>
      </c>
      <c r="D567">
        <f t="shared" si="28"/>
        <v>0.95566888926902094</v>
      </c>
    </row>
    <row r="568" spans="1:4">
      <c r="A568">
        <v>567</v>
      </c>
      <c r="B568">
        <v>29805</v>
      </c>
      <c r="C568">
        <f t="shared" si="27"/>
        <v>31189.178628990092</v>
      </c>
      <c r="D568">
        <f t="shared" si="28"/>
        <v>0.95561990761425475</v>
      </c>
    </row>
    <row r="569" spans="1:4">
      <c r="A569">
        <v>568</v>
      </c>
      <c r="B569">
        <v>29940</v>
      </c>
      <c r="C569">
        <f t="shared" si="27"/>
        <v>31194.901634891405</v>
      </c>
      <c r="D569">
        <f t="shared" si="28"/>
        <v>0.95977222016665054</v>
      </c>
    </row>
    <row r="570" spans="1:4">
      <c r="A570">
        <v>569</v>
      </c>
      <c r="B570">
        <v>29921</v>
      </c>
      <c r="C570">
        <f t="shared" si="27"/>
        <v>31200.563454189374</v>
      </c>
      <c r="D570">
        <f t="shared" si="28"/>
        <v>0.95898909146086064</v>
      </c>
    </row>
    <row r="571" spans="1:4">
      <c r="A571">
        <v>570</v>
      </c>
      <c r="B571">
        <v>29549</v>
      </c>
      <c r="C571">
        <f t="shared" si="27"/>
        <v>31206.164008711101</v>
      </c>
      <c r="D571">
        <f t="shared" si="28"/>
        <v>0.94689626035905894</v>
      </c>
    </row>
    <row r="572" spans="1:4">
      <c r="A572">
        <v>571</v>
      </c>
      <c r="B572">
        <v>28854</v>
      </c>
      <c r="C572">
        <f t="shared" si="27"/>
        <v>31211.703220847477</v>
      </c>
      <c r="D572">
        <f t="shared" si="28"/>
        <v>0.92446092402696312</v>
      </c>
    </row>
    <row r="573" spans="1:4">
      <c r="A573">
        <v>572</v>
      </c>
      <c r="B573">
        <v>28058</v>
      </c>
      <c r="C573">
        <f t="shared" si="27"/>
        <v>31217.181013553181</v>
      </c>
      <c r="D573">
        <f t="shared" si="28"/>
        <v>0.89879992648338114</v>
      </c>
    </row>
    <row r="574" spans="1:4">
      <c r="A574">
        <v>573</v>
      </c>
      <c r="B574">
        <v>27435</v>
      </c>
      <c r="C574">
        <f t="shared" si="27"/>
        <v>31222.597310346675</v>
      </c>
      <c r="D574">
        <f t="shared" si="28"/>
        <v>0.87869051146838684</v>
      </c>
    </row>
    <row r="575" spans="1:4">
      <c r="A575">
        <v>574</v>
      </c>
      <c r="B575">
        <v>26818</v>
      </c>
      <c r="C575">
        <f t="shared" si="27"/>
        <v>31227.95203531022</v>
      </c>
      <c r="D575">
        <f t="shared" si="28"/>
        <v>0.85878190057664439</v>
      </c>
    </row>
    <row r="576" spans="1:4">
      <c r="A576">
        <v>575</v>
      </c>
      <c r="B576">
        <v>25836</v>
      </c>
      <c r="C576">
        <f t="shared" si="27"/>
        <v>31233.245113089841</v>
      </c>
      <c r="D576">
        <f t="shared" si="28"/>
        <v>0.82719550614905979</v>
      </c>
    </row>
    <row r="577" spans="1:7">
      <c r="A577">
        <v>576</v>
      </c>
      <c r="B577">
        <v>24488</v>
      </c>
      <c r="C577">
        <f t="shared" si="27"/>
        <v>31238.476468895373</v>
      </c>
      <c r="D577">
        <f t="shared" si="28"/>
        <v>0.78390506734165077</v>
      </c>
    </row>
    <row r="578" spans="1:7">
      <c r="A578">
        <v>577</v>
      </c>
      <c r="B578">
        <v>22805</v>
      </c>
      <c r="C578">
        <f t="shared" ref="C578:C641" si="29" xml:space="preserve"> 0.00000002349111*A578*A578*A578*A578 - 0.0000664476*A578*A578*A578 + 0.03716061*A578*A578 + 10.57172*A578 + 22932.71</f>
        <v>31243.646028500421</v>
      </c>
      <c r="D578">
        <f t="shared" ref="D578:D641" si="30">B578/C578</f>
        <v>0.72990841015153296</v>
      </c>
    </row>
    <row r="579" spans="1:7" ht="17.25">
      <c r="A579">
        <v>578</v>
      </c>
      <c r="B579">
        <v>21287</v>
      </c>
      <c r="C579">
        <f t="shared" si="29"/>
        <v>31248.753718242391</v>
      </c>
      <c r="D579">
        <f t="shared" si="30"/>
        <v>0.68121116739363208</v>
      </c>
      <c r="F579">
        <v>579</v>
      </c>
      <c r="G579" t="s">
        <v>71</v>
      </c>
    </row>
    <row r="580" spans="1:7" ht="17.25">
      <c r="A580">
        <v>579</v>
      </c>
      <c r="B580">
        <v>20979</v>
      </c>
      <c r="C580">
        <f t="shared" si="29"/>
        <v>31253.799465022457</v>
      </c>
      <c r="D580">
        <f t="shared" si="30"/>
        <v>0.67124638793048341</v>
      </c>
      <c r="F580">
        <v>579</v>
      </c>
      <c r="G580" t="s">
        <v>72</v>
      </c>
    </row>
    <row r="581" spans="1:7">
      <c r="A581">
        <v>580</v>
      </c>
      <c r="B581">
        <v>21545</v>
      </c>
      <c r="C581">
        <f t="shared" si="29"/>
        <v>31258.783196305598</v>
      </c>
      <c r="D581">
        <f t="shared" si="30"/>
        <v>0.68924627886815359</v>
      </c>
    </row>
    <row r="582" spans="1:7">
      <c r="A582">
        <v>581</v>
      </c>
      <c r="B582">
        <v>22660</v>
      </c>
      <c r="C582">
        <f t="shared" si="29"/>
        <v>31263.704840120568</v>
      </c>
      <c r="D582">
        <f t="shared" si="30"/>
        <v>0.72480213448409114</v>
      </c>
    </row>
    <row r="583" spans="1:7">
      <c r="A583">
        <v>582</v>
      </c>
      <c r="B583">
        <v>24282</v>
      </c>
      <c r="C583">
        <f t="shared" si="29"/>
        <v>31268.564325059913</v>
      </c>
      <c r="D583">
        <f t="shared" si="30"/>
        <v>0.77656267641745891</v>
      </c>
    </row>
    <row r="584" spans="1:7">
      <c r="A584">
        <v>583</v>
      </c>
      <c r="B584">
        <v>25439</v>
      </c>
      <c r="C584">
        <f t="shared" si="29"/>
        <v>31273.361580279965</v>
      </c>
      <c r="D584">
        <f t="shared" si="30"/>
        <v>0.81343989627392865</v>
      </c>
    </row>
    <row r="585" spans="1:7">
      <c r="A585">
        <v>584</v>
      </c>
      <c r="B585">
        <v>26496</v>
      </c>
      <c r="C585">
        <f t="shared" si="29"/>
        <v>31278.096535500841</v>
      </c>
      <c r="D585">
        <f t="shared" si="30"/>
        <v>0.84711037226727881</v>
      </c>
    </row>
    <row r="586" spans="1:7">
      <c r="A586">
        <v>585</v>
      </c>
      <c r="B586">
        <v>27165</v>
      </c>
      <c r="C586">
        <f t="shared" si="29"/>
        <v>31282.76912100644</v>
      </c>
      <c r="D586">
        <f t="shared" si="30"/>
        <v>0.8683694175193285</v>
      </c>
    </row>
    <row r="587" spans="1:7">
      <c r="A587">
        <v>586</v>
      </c>
      <c r="B587">
        <v>27721</v>
      </c>
      <c r="C587">
        <f t="shared" si="29"/>
        <v>31287.379267644465</v>
      </c>
      <c r="D587">
        <f t="shared" si="30"/>
        <v>0.8860122084008295</v>
      </c>
    </row>
    <row r="588" spans="1:7">
      <c r="A588">
        <v>587</v>
      </c>
      <c r="B588">
        <v>28083</v>
      </c>
      <c r="C588">
        <f t="shared" si="29"/>
        <v>31291.926906826382</v>
      </c>
      <c r="D588">
        <f t="shared" si="30"/>
        <v>0.89745192373799298</v>
      </c>
    </row>
    <row r="589" spans="1:7">
      <c r="A589">
        <v>588</v>
      </c>
      <c r="B589">
        <v>28519</v>
      </c>
      <c r="C589">
        <f t="shared" si="29"/>
        <v>31296.411970527464</v>
      </c>
      <c r="D589">
        <f t="shared" si="30"/>
        <v>0.91125462007775793</v>
      </c>
    </row>
    <row r="590" spans="1:7">
      <c r="A590">
        <v>589</v>
      </c>
      <c r="B590">
        <v>28840</v>
      </c>
      <c r="C590">
        <f t="shared" si="29"/>
        <v>31300.834391286757</v>
      </c>
      <c r="D590">
        <f t="shared" si="30"/>
        <v>0.92138118874007457</v>
      </c>
    </row>
    <row r="591" spans="1:7">
      <c r="A591">
        <v>590</v>
      </c>
      <c r="B591">
        <v>28916</v>
      </c>
      <c r="C591">
        <f t="shared" si="29"/>
        <v>31305.194102207097</v>
      </c>
      <c r="D591">
        <f t="shared" si="30"/>
        <v>0.92368058494041883</v>
      </c>
    </row>
    <row r="592" spans="1:7">
      <c r="A592">
        <v>591</v>
      </c>
      <c r="B592">
        <v>28975</v>
      </c>
      <c r="C592">
        <f t="shared" si="29"/>
        <v>31309.491036955114</v>
      </c>
      <c r="D592">
        <f t="shared" si="30"/>
        <v>0.92543823103992096</v>
      </c>
    </row>
    <row r="593" spans="1:4">
      <c r="A593">
        <v>592</v>
      </c>
      <c r="B593">
        <v>28502</v>
      </c>
      <c r="C593">
        <f t="shared" si="29"/>
        <v>31313.725129761217</v>
      </c>
      <c r="D593">
        <f t="shared" si="30"/>
        <v>0.910207900270259</v>
      </c>
    </row>
    <row r="594" spans="1:4">
      <c r="A594">
        <v>593</v>
      </c>
      <c r="B594">
        <v>27949</v>
      </c>
      <c r="C594">
        <f t="shared" si="29"/>
        <v>31317.896315419603</v>
      </c>
      <c r="D594">
        <f t="shared" si="30"/>
        <v>0.89242903541509899</v>
      </c>
    </row>
    <row r="595" spans="1:4">
      <c r="A595">
        <v>594</v>
      </c>
      <c r="B595">
        <v>27575</v>
      </c>
      <c r="C595">
        <f t="shared" si="29"/>
        <v>31322.004529288257</v>
      </c>
      <c r="D595">
        <f t="shared" si="30"/>
        <v>0.88037149647352397</v>
      </c>
    </row>
    <row r="596" spans="1:4">
      <c r="A596">
        <v>595</v>
      </c>
      <c r="B596">
        <v>27441</v>
      </c>
      <c r="C596">
        <f t="shared" si="29"/>
        <v>31326.049707288941</v>
      </c>
      <c r="D596">
        <f t="shared" si="30"/>
        <v>0.87598022273504317</v>
      </c>
    </row>
    <row r="597" spans="1:4">
      <c r="A597">
        <v>596</v>
      </c>
      <c r="B597">
        <v>27385</v>
      </c>
      <c r="C597">
        <f t="shared" si="29"/>
        <v>31330.031785907231</v>
      </c>
      <c r="D597">
        <f t="shared" si="30"/>
        <v>0.87408146238518114</v>
      </c>
    </row>
    <row r="598" spans="1:4">
      <c r="A598">
        <v>597</v>
      </c>
      <c r="B598">
        <v>27569</v>
      </c>
      <c r="C598">
        <f t="shared" si="29"/>
        <v>31333.950702192451</v>
      </c>
      <c r="D598">
        <f t="shared" si="30"/>
        <v>0.87984436632406471</v>
      </c>
    </row>
    <row r="599" spans="1:4">
      <c r="A599">
        <v>598</v>
      </c>
      <c r="B599">
        <v>27590</v>
      </c>
      <c r="C599">
        <f t="shared" si="29"/>
        <v>31337.806393757743</v>
      </c>
      <c r="D599">
        <f t="shared" si="30"/>
        <v>0.88040623052338862</v>
      </c>
    </row>
    <row r="600" spans="1:4">
      <c r="A600">
        <v>599</v>
      </c>
      <c r="B600">
        <v>27638</v>
      </c>
      <c r="C600">
        <f t="shared" si="29"/>
        <v>31341.598798780025</v>
      </c>
      <c r="D600">
        <f t="shared" si="30"/>
        <v>0.88183121025325018</v>
      </c>
    </row>
    <row r="601" spans="1:4">
      <c r="A601">
        <v>600</v>
      </c>
      <c r="B601">
        <v>28024</v>
      </c>
      <c r="C601">
        <f t="shared" si="29"/>
        <v>31345.327856</v>
      </c>
      <c r="D601">
        <f t="shared" si="30"/>
        <v>0.89404073642942472</v>
      </c>
    </row>
    <row r="602" spans="1:4">
      <c r="A602">
        <v>601</v>
      </c>
      <c r="B602">
        <v>27794</v>
      </c>
      <c r="C602">
        <f t="shared" si="29"/>
        <v>31348.993504722152</v>
      </c>
      <c r="D602">
        <f t="shared" si="30"/>
        <v>0.88659943726146562</v>
      </c>
    </row>
    <row r="603" spans="1:4">
      <c r="A603">
        <v>602</v>
      </c>
      <c r="B603">
        <v>27599</v>
      </c>
      <c r="C603">
        <f t="shared" si="29"/>
        <v>31352.595684814769</v>
      </c>
      <c r="D603">
        <f t="shared" si="30"/>
        <v>0.88027799284788488</v>
      </c>
    </row>
    <row r="604" spans="1:4">
      <c r="A604">
        <v>603</v>
      </c>
      <c r="B604">
        <v>27227</v>
      </c>
      <c r="C604">
        <f t="shared" si="29"/>
        <v>31356.134336709907</v>
      </c>
      <c r="D604">
        <f t="shared" si="30"/>
        <v>0.86831494302294265</v>
      </c>
    </row>
    <row r="605" spans="1:4">
      <c r="A605">
        <v>604</v>
      </c>
      <c r="B605">
        <v>26635</v>
      </c>
      <c r="C605">
        <f t="shared" si="29"/>
        <v>31359.609401403421</v>
      </c>
      <c r="D605">
        <f t="shared" si="30"/>
        <v>0.84934093594954074</v>
      </c>
    </row>
    <row r="606" spans="1:4">
      <c r="A606">
        <v>605</v>
      </c>
      <c r="B606">
        <v>26019</v>
      </c>
      <c r="C606">
        <f t="shared" si="29"/>
        <v>31363.020820454945</v>
      </c>
      <c r="D606">
        <f t="shared" si="30"/>
        <v>0.82960758623832631</v>
      </c>
    </row>
    <row r="607" spans="1:4">
      <c r="A607">
        <v>606</v>
      </c>
      <c r="B607">
        <v>25076</v>
      </c>
      <c r="C607">
        <f t="shared" si="29"/>
        <v>31366.368535987902</v>
      </c>
      <c r="D607">
        <f t="shared" si="30"/>
        <v>0.79945499496472761</v>
      </c>
    </row>
    <row r="608" spans="1:4">
      <c r="A608">
        <v>607</v>
      </c>
      <c r="B608">
        <v>23131</v>
      </c>
      <c r="C608">
        <f t="shared" si="29"/>
        <v>31369.652490689503</v>
      </c>
      <c r="D608">
        <f t="shared" si="30"/>
        <v>0.73736870393655995</v>
      </c>
    </row>
    <row r="609" spans="1:7">
      <c r="A609">
        <v>608</v>
      </c>
      <c r="B609">
        <v>20812</v>
      </c>
      <c r="C609">
        <f t="shared" si="29"/>
        <v>31372.872627810753</v>
      </c>
      <c r="D609">
        <f t="shared" si="30"/>
        <v>0.66337565727248782</v>
      </c>
    </row>
    <row r="610" spans="1:7">
      <c r="A610">
        <v>609</v>
      </c>
      <c r="B610">
        <v>18743</v>
      </c>
      <c r="C610">
        <f t="shared" si="29"/>
        <v>31376.028891166428</v>
      </c>
      <c r="D610">
        <f t="shared" si="30"/>
        <v>0.59736686452621424</v>
      </c>
    </row>
    <row r="611" spans="1:7" ht="17.25">
      <c r="A611">
        <v>610</v>
      </c>
      <c r="B611">
        <v>17679</v>
      </c>
      <c r="C611">
        <f t="shared" si="29"/>
        <v>31379.121225135095</v>
      </c>
      <c r="D611">
        <f t="shared" si="30"/>
        <v>0.56340009884785702</v>
      </c>
      <c r="F611">
        <v>610.5</v>
      </c>
      <c r="G611" t="s">
        <v>73</v>
      </c>
    </row>
    <row r="612" spans="1:7" ht="17.25">
      <c r="A612">
        <v>611</v>
      </c>
      <c r="B612">
        <v>17756</v>
      </c>
      <c r="C612">
        <f t="shared" si="29"/>
        <v>31382.149574659124</v>
      </c>
      <c r="D612">
        <f t="shared" si="30"/>
        <v>0.56579935538698256</v>
      </c>
      <c r="F612">
        <v>610.5</v>
      </c>
      <c r="G612" t="s">
        <v>74</v>
      </c>
    </row>
    <row r="613" spans="1:7">
      <c r="A613">
        <v>612</v>
      </c>
      <c r="B613">
        <v>19551</v>
      </c>
      <c r="C613">
        <f t="shared" si="29"/>
        <v>31385.113885244646</v>
      </c>
      <c r="D613">
        <f t="shared" si="30"/>
        <v>0.62293863490460932</v>
      </c>
    </row>
    <row r="614" spans="1:7">
      <c r="A614">
        <v>613</v>
      </c>
      <c r="B614">
        <v>21673</v>
      </c>
      <c r="C614">
        <f t="shared" si="29"/>
        <v>31388.014102961599</v>
      </c>
      <c r="D614">
        <f t="shared" si="30"/>
        <v>0.69048650000303957</v>
      </c>
    </row>
    <row r="615" spans="1:7">
      <c r="A615">
        <v>614</v>
      </c>
      <c r="B615">
        <v>23833</v>
      </c>
      <c r="C615">
        <f t="shared" si="29"/>
        <v>31390.850174443694</v>
      </c>
      <c r="D615">
        <f t="shared" si="30"/>
        <v>0.75923397638344992</v>
      </c>
    </row>
    <row r="616" spans="1:7">
      <c r="A616">
        <v>615</v>
      </c>
      <c r="B616">
        <v>25694</v>
      </c>
      <c r="C616">
        <f t="shared" si="29"/>
        <v>31393.622046888442</v>
      </c>
      <c r="D616">
        <f t="shared" si="30"/>
        <v>0.81844649724151997</v>
      </c>
    </row>
    <row r="617" spans="1:7">
      <c r="A617">
        <v>616</v>
      </c>
      <c r="B617">
        <v>26821</v>
      </c>
      <c r="C617">
        <f t="shared" si="29"/>
        <v>31396.329668057126</v>
      </c>
      <c r="D617">
        <f t="shared" si="30"/>
        <v>0.85427182997405893</v>
      </c>
    </row>
    <row r="618" spans="1:7">
      <c r="A618">
        <v>617</v>
      </c>
      <c r="B618">
        <v>27049</v>
      </c>
      <c r="C618">
        <f t="shared" si="29"/>
        <v>31398.972986274828</v>
      </c>
      <c r="D618">
        <f t="shared" si="30"/>
        <v>0.86146129721579445</v>
      </c>
    </row>
    <row r="619" spans="1:7">
      <c r="A619">
        <v>618</v>
      </c>
      <c r="B619">
        <v>26833</v>
      </c>
      <c r="C619">
        <f t="shared" si="29"/>
        <v>31401.55195043041</v>
      </c>
      <c r="D619">
        <f t="shared" si="30"/>
        <v>0.85451190572866609</v>
      </c>
    </row>
    <row r="620" spans="1:7">
      <c r="A620">
        <v>619</v>
      </c>
      <c r="B620">
        <v>26428</v>
      </c>
      <c r="C620">
        <f t="shared" si="29"/>
        <v>31404.066509976517</v>
      </c>
      <c r="D620">
        <f t="shared" si="30"/>
        <v>0.84154706498294707</v>
      </c>
    </row>
    <row r="621" spans="1:7">
      <c r="A621">
        <v>620</v>
      </c>
      <c r="B621">
        <v>26336</v>
      </c>
      <c r="C621">
        <f t="shared" si="29"/>
        <v>31406.516614929598</v>
      </c>
      <c r="D621">
        <f t="shared" si="30"/>
        <v>0.83855208531724768</v>
      </c>
    </row>
    <row r="622" spans="1:7">
      <c r="A622">
        <v>621</v>
      </c>
      <c r="B622">
        <v>26313</v>
      </c>
      <c r="C622">
        <f t="shared" si="29"/>
        <v>31408.902215869868</v>
      </c>
      <c r="D622">
        <f t="shared" si="30"/>
        <v>0.83775611828626473</v>
      </c>
    </row>
    <row r="623" spans="1:7">
      <c r="A623">
        <v>622</v>
      </c>
      <c r="B623">
        <v>25805</v>
      </c>
      <c r="C623">
        <f t="shared" si="29"/>
        <v>31411.223263941338</v>
      </c>
      <c r="D623">
        <f t="shared" si="30"/>
        <v>0.82152165113617115</v>
      </c>
    </row>
    <row r="624" spans="1:7">
      <c r="A624">
        <v>623</v>
      </c>
      <c r="B624">
        <v>25425</v>
      </c>
      <c r="C624">
        <f t="shared" si="29"/>
        <v>31413.479710851796</v>
      </c>
      <c r="D624">
        <f t="shared" si="30"/>
        <v>0.80936592297404497</v>
      </c>
    </row>
    <row r="625" spans="1:4">
      <c r="A625">
        <v>624</v>
      </c>
      <c r="B625">
        <v>24801</v>
      </c>
      <c r="C625">
        <f t="shared" si="29"/>
        <v>31415.671508872845</v>
      </c>
      <c r="D625">
        <f t="shared" si="30"/>
        <v>0.78944675726556923</v>
      </c>
    </row>
    <row r="626" spans="1:4">
      <c r="A626">
        <v>625</v>
      </c>
      <c r="B626">
        <v>24726</v>
      </c>
      <c r="C626">
        <f t="shared" si="29"/>
        <v>31417.798610839844</v>
      </c>
      <c r="D626">
        <f t="shared" si="30"/>
        <v>0.78700612688595495</v>
      </c>
    </row>
    <row r="627" spans="1:4">
      <c r="A627">
        <v>626</v>
      </c>
      <c r="B627">
        <v>24791</v>
      </c>
      <c r="C627">
        <f t="shared" si="29"/>
        <v>31419.860970151949</v>
      </c>
      <c r="D627">
        <f t="shared" si="30"/>
        <v>0.78902322399041824</v>
      </c>
    </row>
    <row r="628" spans="1:4">
      <c r="A628">
        <v>627</v>
      </c>
      <c r="B628">
        <v>24872</v>
      </c>
      <c r="C628">
        <f t="shared" si="29"/>
        <v>31421.858540772097</v>
      </c>
      <c r="D628">
        <f t="shared" si="30"/>
        <v>0.79155088702747523</v>
      </c>
    </row>
    <row r="629" spans="1:4">
      <c r="A629">
        <v>628</v>
      </c>
      <c r="B629">
        <v>24406</v>
      </c>
      <c r="C629">
        <f t="shared" si="29"/>
        <v>31423.791277227036</v>
      </c>
      <c r="D629">
        <f t="shared" si="30"/>
        <v>0.77667267404767737</v>
      </c>
    </row>
    <row r="630" spans="1:4">
      <c r="A630">
        <v>629</v>
      </c>
      <c r="B630">
        <v>24075</v>
      </c>
      <c r="C630">
        <f t="shared" si="29"/>
        <v>31425.659134607264</v>
      </c>
      <c r="D630">
        <f t="shared" si="30"/>
        <v>0.76609371650339042</v>
      </c>
    </row>
    <row r="631" spans="1:4">
      <c r="A631">
        <v>630</v>
      </c>
      <c r="B631">
        <v>24408</v>
      </c>
      <c r="C631">
        <f t="shared" si="29"/>
        <v>31427.462068567096</v>
      </c>
      <c r="D631">
        <f t="shared" si="30"/>
        <v>0.77664559571331804</v>
      </c>
    </row>
    <row r="632" spans="1:4">
      <c r="A632">
        <v>631</v>
      </c>
      <c r="B632">
        <v>25443</v>
      </c>
      <c r="C632">
        <f t="shared" si="29"/>
        <v>31429.200035324619</v>
      </c>
      <c r="D632">
        <f t="shared" si="30"/>
        <v>0.80953380841394396</v>
      </c>
    </row>
    <row r="633" spans="1:4">
      <c r="A633">
        <v>632</v>
      </c>
      <c r="B633">
        <v>26203</v>
      </c>
      <c r="C633">
        <f t="shared" si="29"/>
        <v>31430.872991661709</v>
      </c>
      <c r="D633">
        <f t="shared" si="30"/>
        <v>0.83367076717695332</v>
      </c>
    </row>
    <row r="634" spans="1:4">
      <c r="A634">
        <v>633</v>
      </c>
      <c r="B634">
        <v>27269</v>
      </c>
      <c r="C634">
        <f t="shared" si="29"/>
        <v>31432.480894924029</v>
      </c>
      <c r="D634">
        <f t="shared" si="30"/>
        <v>0.86754208460852411</v>
      </c>
    </row>
    <row r="635" spans="1:4">
      <c r="A635">
        <v>634</v>
      </c>
      <c r="B635">
        <v>28082</v>
      </c>
      <c r="C635">
        <f t="shared" si="29"/>
        <v>31434.02370302103</v>
      </c>
      <c r="D635">
        <f t="shared" si="30"/>
        <v>0.89336319986617307</v>
      </c>
    </row>
    <row r="636" spans="1:4">
      <c r="A636">
        <v>635</v>
      </c>
      <c r="B636">
        <v>28872</v>
      </c>
      <c r="C636">
        <f t="shared" si="29"/>
        <v>31435.501374425941</v>
      </c>
      <c r="D636">
        <f t="shared" si="30"/>
        <v>0.91845202836461026</v>
      </c>
    </row>
    <row r="637" spans="1:4">
      <c r="A637">
        <v>636</v>
      </c>
      <c r="B637">
        <v>29547</v>
      </c>
      <c r="C637">
        <f t="shared" si="29"/>
        <v>31436.913868175794</v>
      </c>
      <c r="D637">
        <f t="shared" si="30"/>
        <v>0.93988233463053161</v>
      </c>
    </row>
    <row r="638" spans="1:4">
      <c r="A638">
        <v>637</v>
      </c>
      <c r="B638">
        <v>29684</v>
      </c>
      <c r="C638">
        <f t="shared" si="29"/>
        <v>31438.261143871401</v>
      </c>
      <c r="D638">
        <f t="shared" si="30"/>
        <v>0.9441998036773297</v>
      </c>
    </row>
    <row r="639" spans="1:4">
      <c r="A639">
        <v>638</v>
      </c>
      <c r="B639">
        <v>29991</v>
      </c>
      <c r="C639">
        <f t="shared" si="29"/>
        <v>31439.543161677342</v>
      </c>
      <c r="D639">
        <f t="shared" si="30"/>
        <v>0.953926074745163</v>
      </c>
    </row>
    <row r="640" spans="1:4">
      <c r="A640">
        <v>639</v>
      </c>
      <c r="B640">
        <v>29989</v>
      </c>
      <c r="C640">
        <f t="shared" si="29"/>
        <v>31440.759882322021</v>
      </c>
      <c r="D640">
        <f t="shared" si="30"/>
        <v>0.95382554722736546</v>
      </c>
    </row>
    <row r="641" spans="1:4">
      <c r="A641">
        <v>640</v>
      </c>
      <c r="B641">
        <v>29978</v>
      </c>
      <c r="C641">
        <f t="shared" si="29"/>
        <v>31441.911267097596</v>
      </c>
      <c r="D641">
        <f t="shared" si="30"/>
        <v>0.95344076717659632</v>
      </c>
    </row>
    <row r="642" spans="1:4">
      <c r="A642">
        <v>641</v>
      </c>
      <c r="B642">
        <v>29891</v>
      </c>
      <c r="C642">
        <f t="shared" ref="C642:C705" si="31" xml:space="preserve"> 0.00000002349111*A642*A642*A642*A642 - 0.0000664476*A642*A642*A642 + 0.03716061*A642*A642 + 10.57172*A642 + 22932.71</f>
        <v>31442.997277860028</v>
      </c>
      <c r="D642">
        <f t="shared" ref="D642:D705" si="32">B642/C642</f>
        <v>0.95064092445942372</v>
      </c>
    </row>
    <row r="643" spans="1:4">
      <c r="A643">
        <v>642</v>
      </c>
      <c r="B643">
        <v>29601</v>
      </c>
      <c r="C643">
        <f t="shared" si="31"/>
        <v>31444.017877029051</v>
      </c>
      <c r="D643">
        <f t="shared" si="32"/>
        <v>0.941387328927343</v>
      </c>
    </row>
    <row r="644" spans="1:4">
      <c r="A644">
        <v>643</v>
      </c>
      <c r="B644">
        <v>28657</v>
      </c>
      <c r="C644">
        <f t="shared" si="31"/>
        <v>31444.973027588207</v>
      </c>
      <c r="D644">
        <f t="shared" si="32"/>
        <v>0.91133803723914208</v>
      </c>
    </row>
    <row r="645" spans="1:4">
      <c r="A645">
        <v>644</v>
      </c>
      <c r="B645">
        <v>27637</v>
      </c>
      <c r="C645">
        <f t="shared" si="31"/>
        <v>31445.862693084804</v>
      </c>
      <c r="D645">
        <f t="shared" si="32"/>
        <v>0.87887555414651086</v>
      </c>
    </row>
    <row r="646" spans="1:4">
      <c r="A646">
        <v>645</v>
      </c>
      <c r="B646">
        <v>26347</v>
      </c>
      <c r="C646">
        <f t="shared" si="31"/>
        <v>31446.686837629939</v>
      </c>
      <c r="D646">
        <f t="shared" si="32"/>
        <v>0.83783071126184527</v>
      </c>
    </row>
    <row r="647" spans="1:4">
      <c r="A647">
        <v>646</v>
      </c>
      <c r="B647">
        <v>25645</v>
      </c>
      <c r="C647">
        <f t="shared" si="31"/>
        <v>31447.445425898521</v>
      </c>
      <c r="D647">
        <f t="shared" si="32"/>
        <v>0.81548754287303982</v>
      </c>
    </row>
    <row r="648" spans="1:4">
      <c r="A648">
        <v>647</v>
      </c>
      <c r="B648">
        <v>25316</v>
      </c>
      <c r="C648">
        <f t="shared" si="31"/>
        <v>31448.13842312921</v>
      </c>
      <c r="D648">
        <f t="shared" si="32"/>
        <v>0.80500790410477219</v>
      </c>
    </row>
    <row r="649" spans="1:4">
      <c r="A649">
        <v>648</v>
      </c>
      <c r="B649">
        <v>25397</v>
      </c>
      <c r="C649">
        <f t="shared" si="31"/>
        <v>31448.765795124469</v>
      </c>
      <c r="D649">
        <f t="shared" si="32"/>
        <v>0.80756746275675217</v>
      </c>
    </row>
    <row r="650" spans="1:4">
      <c r="A650">
        <v>649</v>
      </c>
      <c r="B650">
        <v>25804</v>
      </c>
      <c r="C650">
        <f t="shared" si="31"/>
        <v>31449.327508250553</v>
      </c>
      <c r="D650">
        <f t="shared" si="32"/>
        <v>0.8204944920755608</v>
      </c>
    </row>
    <row r="651" spans="1:4">
      <c r="A651">
        <v>650</v>
      </c>
      <c r="B651">
        <v>26019</v>
      </c>
      <c r="C651">
        <f t="shared" si="31"/>
        <v>31449.823529437497</v>
      </c>
      <c r="D651">
        <f t="shared" si="32"/>
        <v>0.82731783775021295</v>
      </c>
    </row>
    <row r="652" spans="1:4">
      <c r="A652">
        <v>651</v>
      </c>
      <c r="B652">
        <v>25914</v>
      </c>
      <c r="C652">
        <f t="shared" si="31"/>
        <v>31450.253826179127</v>
      </c>
      <c r="D652">
        <f t="shared" si="32"/>
        <v>0.82396791273046066</v>
      </c>
    </row>
    <row r="653" spans="1:4">
      <c r="A653">
        <v>652</v>
      </c>
      <c r="B653">
        <v>25806</v>
      </c>
      <c r="C653">
        <f t="shared" si="31"/>
        <v>31450.618366533043</v>
      </c>
      <c r="D653">
        <f t="shared" si="32"/>
        <v>0.82052440747748401</v>
      </c>
    </row>
    <row r="654" spans="1:4">
      <c r="A654">
        <v>653</v>
      </c>
      <c r="B654">
        <v>25880</v>
      </c>
      <c r="C654">
        <f t="shared" si="31"/>
        <v>31450.917119120651</v>
      </c>
      <c r="D654">
        <f t="shared" si="32"/>
        <v>0.82286948587156461</v>
      </c>
    </row>
    <row r="655" spans="1:4">
      <c r="A655">
        <v>654</v>
      </c>
      <c r="B655">
        <v>25988</v>
      </c>
      <c r="C655">
        <f t="shared" si="31"/>
        <v>31451.150053127127</v>
      </c>
      <c r="D655">
        <f t="shared" si="32"/>
        <v>0.82629728821048509</v>
      </c>
    </row>
    <row r="656" spans="1:4">
      <c r="A656">
        <v>655</v>
      </c>
      <c r="B656">
        <v>26349</v>
      </c>
      <c r="C656">
        <f t="shared" si="31"/>
        <v>31451.317138301441</v>
      </c>
      <c r="D656">
        <f t="shared" si="32"/>
        <v>0.83777095516016287</v>
      </c>
    </row>
    <row r="657" spans="1:7">
      <c r="A657">
        <v>656</v>
      </c>
      <c r="B657">
        <v>26883</v>
      </c>
      <c r="C657">
        <f t="shared" si="31"/>
        <v>31451.418344956353</v>
      </c>
      <c r="D657">
        <f t="shared" si="32"/>
        <v>0.85474682588713968</v>
      </c>
    </row>
    <row r="658" spans="1:7">
      <c r="A658">
        <v>657</v>
      </c>
      <c r="B658">
        <v>27430</v>
      </c>
      <c r="C658">
        <f t="shared" si="31"/>
        <v>31451.453643968398</v>
      </c>
      <c r="D658">
        <f t="shared" si="32"/>
        <v>0.87213774951417511</v>
      </c>
    </row>
    <row r="659" spans="1:7">
      <c r="A659">
        <v>658</v>
      </c>
      <c r="B659">
        <v>27812</v>
      </c>
      <c r="C659">
        <f t="shared" si="31"/>
        <v>31451.423006777914</v>
      </c>
      <c r="D659">
        <f t="shared" si="32"/>
        <v>0.88428431343174507</v>
      </c>
    </row>
    <row r="660" spans="1:7">
      <c r="A660">
        <v>659</v>
      </c>
      <c r="B660">
        <v>27952</v>
      </c>
      <c r="C660">
        <f t="shared" si="31"/>
        <v>31451.326405389016</v>
      </c>
      <c r="D660">
        <f t="shared" si="32"/>
        <v>0.88873835207187235</v>
      </c>
    </row>
    <row r="661" spans="1:7">
      <c r="A661">
        <v>660</v>
      </c>
      <c r="B661">
        <v>27654</v>
      </c>
      <c r="C661">
        <f t="shared" si="31"/>
        <v>31451.163812369596</v>
      </c>
      <c r="D661">
        <f t="shared" si="32"/>
        <v>0.87926793949430293</v>
      </c>
    </row>
    <row r="662" spans="1:7">
      <c r="A662">
        <v>661</v>
      </c>
      <c r="B662">
        <v>27304</v>
      </c>
      <c r="C662">
        <f t="shared" si="31"/>
        <v>31450.935200851352</v>
      </c>
      <c r="D662">
        <f t="shared" si="32"/>
        <v>0.8681458858260247</v>
      </c>
    </row>
    <row r="663" spans="1:7">
      <c r="A663">
        <v>662</v>
      </c>
      <c r="B663">
        <v>26987</v>
      </c>
      <c r="C663">
        <f t="shared" si="31"/>
        <v>31450.640544529764</v>
      </c>
      <c r="D663">
        <f t="shared" si="32"/>
        <v>0.85807473338389195</v>
      </c>
    </row>
    <row r="664" spans="1:7">
      <c r="A664">
        <v>663</v>
      </c>
      <c r="B664">
        <v>26277</v>
      </c>
      <c r="C664">
        <f t="shared" si="31"/>
        <v>31450.279817664083</v>
      </c>
      <c r="D664">
        <f t="shared" si="32"/>
        <v>0.83550925945153265</v>
      </c>
    </row>
    <row r="665" spans="1:7">
      <c r="A665">
        <v>664</v>
      </c>
      <c r="B665">
        <v>25276</v>
      </c>
      <c r="C665">
        <f t="shared" si="31"/>
        <v>31449.852995077366</v>
      </c>
      <c r="D665">
        <f t="shared" si="32"/>
        <v>0.80369215092853641</v>
      </c>
    </row>
    <row r="666" spans="1:7">
      <c r="A666">
        <v>665</v>
      </c>
      <c r="B666">
        <v>23759</v>
      </c>
      <c r="C666">
        <f t="shared" si="31"/>
        <v>31449.360052156444</v>
      </c>
      <c r="D666">
        <f t="shared" si="32"/>
        <v>0.75546847250937543</v>
      </c>
    </row>
    <row r="667" spans="1:7">
      <c r="A667">
        <v>666</v>
      </c>
      <c r="B667">
        <v>22052</v>
      </c>
      <c r="C667">
        <f t="shared" si="31"/>
        <v>31448.800964851944</v>
      </c>
      <c r="D667">
        <f t="shared" si="32"/>
        <v>0.70120320404729997</v>
      </c>
    </row>
    <row r="668" spans="1:7">
      <c r="A668">
        <v>667</v>
      </c>
      <c r="B668">
        <v>20438</v>
      </c>
      <c r="C668">
        <f t="shared" si="31"/>
        <v>31448.175709678264</v>
      </c>
      <c r="D668">
        <f t="shared" si="32"/>
        <v>0.64989461355973499</v>
      </c>
    </row>
    <row r="669" spans="1:7">
      <c r="A669">
        <v>668</v>
      </c>
      <c r="B669">
        <v>19522</v>
      </c>
      <c r="C669">
        <f t="shared" si="31"/>
        <v>31447.484263713617</v>
      </c>
      <c r="D669">
        <f t="shared" si="32"/>
        <v>0.62078097682764077</v>
      </c>
    </row>
    <row r="670" spans="1:7" ht="17.25">
      <c r="A670">
        <v>669</v>
      </c>
      <c r="B670">
        <v>19435</v>
      </c>
      <c r="C670">
        <f t="shared" si="31"/>
        <v>31446.726604599968</v>
      </c>
      <c r="D670">
        <f t="shared" si="32"/>
        <v>0.61802934990241831</v>
      </c>
      <c r="F670">
        <v>669</v>
      </c>
      <c r="G670" t="s">
        <v>75</v>
      </c>
    </row>
    <row r="671" spans="1:7" ht="17.25">
      <c r="A671">
        <v>670</v>
      </c>
      <c r="B671">
        <v>19955</v>
      </c>
      <c r="C671">
        <f t="shared" si="31"/>
        <v>31445.902710543098</v>
      </c>
      <c r="D671">
        <f t="shared" si="32"/>
        <v>0.63458187808071864</v>
      </c>
      <c r="F671">
        <v>669</v>
      </c>
      <c r="G671" t="s">
        <v>76</v>
      </c>
    </row>
    <row r="672" spans="1:7">
      <c r="A672">
        <v>671</v>
      </c>
      <c r="B672">
        <v>20860</v>
      </c>
      <c r="C672">
        <f t="shared" si="31"/>
        <v>31445.01256031256</v>
      </c>
      <c r="D672">
        <f t="shared" si="32"/>
        <v>0.66338024066582391</v>
      </c>
    </row>
    <row r="673" spans="1:4">
      <c r="A673">
        <v>672</v>
      </c>
      <c r="B673">
        <v>21764</v>
      </c>
      <c r="C673">
        <f t="shared" si="31"/>
        <v>31444.056133241691</v>
      </c>
      <c r="D673">
        <f t="shared" si="32"/>
        <v>0.69214989019790507</v>
      </c>
    </row>
    <row r="674" spans="1:4">
      <c r="A674">
        <v>673</v>
      </c>
      <c r="B674">
        <v>23458</v>
      </c>
      <c r="C674">
        <f t="shared" si="31"/>
        <v>31443.033409227621</v>
      </c>
      <c r="D674">
        <f t="shared" si="32"/>
        <v>0.74604761235014161</v>
      </c>
    </row>
    <row r="675" spans="1:4">
      <c r="A675">
        <v>674</v>
      </c>
      <c r="B675">
        <v>25334</v>
      </c>
      <c r="C675">
        <f t="shared" si="31"/>
        <v>31441.944368731274</v>
      </c>
      <c r="D675">
        <f t="shared" si="32"/>
        <v>0.80573897412001116</v>
      </c>
    </row>
    <row r="676" spans="1:4">
      <c r="A676">
        <v>675</v>
      </c>
      <c r="B676">
        <v>26595</v>
      </c>
      <c r="C676">
        <f t="shared" si="31"/>
        <v>31440.788992777339</v>
      </c>
      <c r="D676">
        <f t="shared" si="32"/>
        <v>0.84587571915289639</v>
      </c>
    </row>
    <row r="677" spans="1:4">
      <c r="A677">
        <v>676</v>
      </c>
      <c r="B677">
        <v>27484</v>
      </c>
      <c r="C677">
        <f t="shared" si="31"/>
        <v>31439.567262954319</v>
      </c>
      <c r="D677">
        <f t="shared" si="32"/>
        <v>0.87418506018639708</v>
      </c>
    </row>
    <row r="678" spans="1:4">
      <c r="A678">
        <v>677</v>
      </c>
      <c r="B678">
        <v>27813</v>
      </c>
      <c r="C678">
        <f t="shared" si="31"/>
        <v>31438.279161414477</v>
      </c>
      <c r="D678">
        <f t="shared" si="32"/>
        <v>0.88468582701994913</v>
      </c>
    </row>
    <row r="679" spans="1:4">
      <c r="A679">
        <v>678</v>
      </c>
      <c r="B679">
        <v>27695</v>
      </c>
      <c r="C679">
        <f t="shared" si="31"/>
        <v>31436.924670873879</v>
      </c>
      <c r="D679">
        <f t="shared" si="32"/>
        <v>0.88097039675319289</v>
      </c>
    </row>
    <row r="680" spans="1:4">
      <c r="A680">
        <v>679</v>
      </c>
      <c r="B680">
        <v>27594</v>
      </c>
      <c r="C680">
        <f t="shared" si="31"/>
        <v>31435.503774612374</v>
      </c>
      <c r="D680">
        <f t="shared" si="32"/>
        <v>0.8777972892639051</v>
      </c>
    </row>
    <row r="681" spans="1:4">
      <c r="A681">
        <v>680</v>
      </c>
      <c r="B681">
        <v>27314</v>
      </c>
      <c r="C681">
        <f t="shared" si="31"/>
        <v>31434.016456473597</v>
      </c>
      <c r="D681">
        <f t="shared" si="32"/>
        <v>0.86893127506697887</v>
      </c>
    </row>
    <row r="682" spans="1:4">
      <c r="A682">
        <v>681</v>
      </c>
      <c r="B682">
        <v>27322</v>
      </c>
      <c r="C682">
        <f t="shared" si="31"/>
        <v>31432.46270086497</v>
      </c>
      <c r="D682">
        <f t="shared" si="32"/>
        <v>0.86922874163621111</v>
      </c>
    </row>
    <row r="683" spans="1:4">
      <c r="A683">
        <v>682</v>
      </c>
      <c r="B683">
        <v>26970</v>
      </c>
      <c r="C683">
        <f t="shared" si="31"/>
        <v>31430.842492757703</v>
      </c>
      <c r="D683">
        <f t="shared" si="32"/>
        <v>0.85807435821086975</v>
      </c>
    </row>
    <row r="684" spans="1:4">
      <c r="A684">
        <v>683</v>
      </c>
      <c r="B684">
        <v>26796</v>
      </c>
      <c r="C684">
        <f t="shared" si="31"/>
        <v>31429.155817686795</v>
      </c>
      <c r="D684">
        <f t="shared" si="32"/>
        <v>0.8525841468806018</v>
      </c>
    </row>
    <row r="685" spans="1:4">
      <c r="A685">
        <v>684</v>
      </c>
      <c r="B685">
        <v>26619</v>
      </c>
      <c r="C685">
        <f t="shared" si="31"/>
        <v>31427.402661751014</v>
      </c>
      <c r="D685">
        <f t="shared" si="32"/>
        <v>0.84699968007209447</v>
      </c>
    </row>
    <row r="686" spans="1:4">
      <c r="A686">
        <v>685</v>
      </c>
      <c r="B686">
        <v>26741</v>
      </c>
      <c r="C686">
        <f t="shared" si="31"/>
        <v>31425.58301161294</v>
      </c>
      <c r="D686">
        <f t="shared" si="32"/>
        <v>0.85093091161166967</v>
      </c>
    </row>
    <row r="687" spans="1:4">
      <c r="A687">
        <v>686</v>
      </c>
      <c r="B687">
        <v>27265</v>
      </c>
      <c r="C687">
        <f t="shared" si="31"/>
        <v>31423.696854498925</v>
      </c>
      <c r="D687">
        <f t="shared" si="32"/>
        <v>0.86765730099310312</v>
      </c>
    </row>
    <row r="688" spans="1:4">
      <c r="A688">
        <v>687</v>
      </c>
      <c r="B688">
        <v>27651</v>
      </c>
      <c r="C688">
        <f t="shared" si="31"/>
        <v>31421.744178199115</v>
      </c>
      <c r="D688">
        <f t="shared" si="32"/>
        <v>0.87999570753251455</v>
      </c>
    </row>
    <row r="689" spans="1:7">
      <c r="A689">
        <v>688</v>
      </c>
      <c r="B689">
        <v>27953</v>
      </c>
      <c r="C689">
        <f t="shared" si="31"/>
        <v>31419.72497106743</v>
      </c>
      <c r="D689">
        <f t="shared" si="32"/>
        <v>0.88966405739516397</v>
      </c>
    </row>
    <row r="690" spans="1:7">
      <c r="A690">
        <v>689</v>
      </c>
      <c r="B690">
        <v>27636</v>
      </c>
      <c r="C690">
        <f t="shared" si="31"/>
        <v>31417.639222021593</v>
      </c>
      <c r="D690">
        <f t="shared" si="32"/>
        <v>0.87963324693820644</v>
      </c>
    </row>
    <row r="691" spans="1:7">
      <c r="A691">
        <v>690</v>
      </c>
      <c r="B691">
        <v>27138</v>
      </c>
      <c r="C691">
        <f t="shared" si="31"/>
        <v>31415.486920543099</v>
      </c>
      <c r="D691">
        <f t="shared" si="32"/>
        <v>0.86384145719715133</v>
      </c>
    </row>
    <row r="692" spans="1:7">
      <c r="A692">
        <v>691</v>
      </c>
      <c r="B692">
        <v>26655</v>
      </c>
      <c r="C692">
        <f t="shared" si="31"/>
        <v>31413.26805667724</v>
      </c>
      <c r="D692">
        <f t="shared" si="32"/>
        <v>0.84852680567675554</v>
      </c>
    </row>
    <row r="693" spans="1:7">
      <c r="A693">
        <v>692</v>
      </c>
      <c r="B693">
        <v>25494</v>
      </c>
      <c r="C693">
        <f t="shared" si="31"/>
        <v>31410.982621033094</v>
      </c>
      <c r="D693">
        <f t="shared" si="32"/>
        <v>0.8116269493246917</v>
      </c>
    </row>
    <row r="694" spans="1:7">
      <c r="A694">
        <v>693</v>
      </c>
      <c r="B694">
        <v>24134</v>
      </c>
      <c r="C694">
        <f t="shared" si="31"/>
        <v>31408.630604783513</v>
      </c>
      <c r="D694">
        <f t="shared" si="32"/>
        <v>0.76838752709977776</v>
      </c>
    </row>
    <row r="695" spans="1:7">
      <c r="A695">
        <v>694</v>
      </c>
      <c r="B695">
        <v>22426</v>
      </c>
      <c r="C695">
        <f t="shared" si="31"/>
        <v>31406.211999665149</v>
      </c>
      <c r="D695">
        <f t="shared" si="32"/>
        <v>0.71406255553006848</v>
      </c>
    </row>
    <row r="696" spans="1:7">
      <c r="A696">
        <v>695</v>
      </c>
      <c r="B696">
        <v>20730</v>
      </c>
      <c r="C696">
        <f t="shared" si="31"/>
        <v>31403.726797978441</v>
      </c>
      <c r="D696">
        <f t="shared" si="32"/>
        <v>0.66011273545197369</v>
      </c>
    </row>
    <row r="697" spans="1:7" ht="17.25">
      <c r="A697">
        <v>696</v>
      </c>
      <c r="B697">
        <v>19472</v>
      </c>
      <c r="C697">
        <f t="shared" si="31"/>
        <v>31401.17499258761</v>
      </c>
      <c r="D697">
        <f t="shared" si="32"/>
        <v>0.62010418414586255</v>
      </c>
      <c r="F697">
        <v>696.5</v>
      </c>
      <c r="G697" t="s">
        <v>77</v>
      </c>
    </row>
    <row r="698" spans="1:7" ht="17.25">
      <c r="A698">
        <v>697</v>
      </c>
      <c r="B698">
        <v>19514</v>
      </c>
      <c r="C698">
        <f t="shared" si="31"/>
        <v>31398.556576920662</v>
      </c>
      <c r="D698">
        <f t="shared" si="32"/>
        <v>0.62149353751960879</v>
      </c>
      <c r="F698">
        <v>696.5</v>
      </c>
      <c r="G698" t="s">
        <v>78</v>
      </c>
    </row>
    <row r="699" spans="1:7">
      <c r="A699">
        <v>698</v>
      </c>
      <c r="B699">
        <v>20537</v>
      </c>
      <c r="C699">
        <f t="shared" si="31"/>
        <v>31395.871544969388</v>
      </c>
      <c r="D699">
        <f t="shared" si="32"/>
        <v>0.65413059072382007</v>
      </c>
    </row>
    <row r="700" spans="1:7">
      <c r="A700">
        <v>699</v>
      </c>
      <c r="B700">
        <v>22343</v>
      </c>
      <c r="C700">
        <f t="shared" si="31"/>
        <v>31393.119891289381</v>
      </c>
      <c r="D700">
        <f t="shared" si="32"/>
        <v>0.71171645498667024</v>
      </c>
    </row>
    <row r="701" spans="1:7">
      <c r="A701">
        <v>700</v>
      </c>
      <c r="B701">
        <v>24337</v>
      </c>
      <c r="C701">
        <f t="shared" si="31"/>
        <v>31390.301611000003</v>
      </c>
      <c r="D701">
        <f t="shared" si="32"/>
        <v>0.77530315896906399</v>
      </c>
    </row>
    <row r="702" spans="1:7">
      <c r="A702">
        <v>701</v>
      </c>
      <c r="B702">
        <v>25596</v>
      </c>
      <c r="C702">
        <f t="shared" si="31"/>
        <v>31387.416699784393</v>
      </c>
      <c r="D702">
        <f t="shared" si="32"/>
        <v>0.81548603521027663</v>
      </c>
    </row>
    <row r="703" spans="1:7">
      <c r="A703">
        <v>702</v>
      </c>
      <c r="B703">
        <v>26564</v>
      </c>
      <c r="C703">
        <f t="shared" si="31"/>
        <v>31384.46515388952</v>
      </c>
      <c r="D703">
        <f t="shared" si="32"/>
        <v>0.84640601232957091</v>
      </c>
    </row>
    <row r="704" spans="1:7">
      <c r="A704">
        <v>703</v>
      </c>
      <c r="B704">
        <v>27232</v>
      </c>
      <c r="C704">
        <f t="shared" si="31"/>
        <v>31381.44697012609</v>
      </c>
      <c r="D704">
        <f t="shared" si="32"/>
        <v>0.86777388008665757</v>
      </c>
    </row>
    <row r="705" spans="1:7">
      <c r="A705">
        <v>704</v>
      </c>
      <c r="B705">
        <v>27215</v>
      </c>
      <c r="C705">
        <f t="shared" si="31"/>
        <v>31378.362145868639</v>
      </c>
      <c r="D705">
        <f t="shared" si="32"/>
        <v>0.86731741680733965</v>
      </c>
    </row>
    <row r="706" spans="1:7">
      <c r="A706">
        <v>705</v>
      </c>
      <c r="B706">
        <v>27463</v>
      </c>
      <c r="C706">
        <f t="shared" ref="C706:C769" si="33" xml:space="preserve"> 0.00000002349111*A706*A706*A706*A706 - 0.0000664476*A706*A706*A706 + 0.03716061*A706*A706 + 10.57172*A706 + 22932.71</f>
        <v>31375.210679055446</v>
      </c>
      <c r="D706">
        <f t="shared" ref="D706:D769" si="34">B706/C706</f>
        <v>0.87530886345037207</v>
      </c>
    </row>
    <row r="707" spans="1:7">
      <c r="A707">
        <v>706</v>
      </c>
      <c r="B707">
        <v>27690</v>
      </c>
      <c r="C707">
        <f t="shared" si="33"/>
        <v>31371.992568188602</v>
      </c>
      <c r="D707">
        <f t="shared" si="34"/>
        <v>0.88263440518846215</v>
      </c>
    </row>
    <row r="708" spans="1:7">
      <c r="A708">
        <v>707</v>
      </c>
      <c r="B708">
        <v>27306</v>
      </c>
      <c r="C708">
        <f t="shared" si="33"/>
        <v>31368.707812333996</v>
      </c>
      <c r="D708">
        <f t="shared" si="34"/>
        <v>0.87048533090239177</v>
      </c>
    </row>
    <row r="709" spans="1:7">
      <c r="A709">
        <v>708</v>
      </c>
      <c r="B709">
        <v>27153</v>
      </c>
      <c r="C709">
        <f t="shared" si="33"/>
        <v>31365.356411121276</v>
      </c>
      <c r="D709">
        <f t="shared" si="34"/>
        <v>0.86570034926726691</v>
      </c>
    </row>
    <row r="710" spans="1:7">
      <c r="A710">
        <v>709</v>
      </c>
      <c r="B710">
        <v>26731</v>
      </c>
      <c r="C710">
        <f t="shared" si="33"/>
        <v>31361.938364743903</v>
      </c>
      <c r="D710">
        <f t="shared" si="34"/>
        <v>0.85233889847988931</v>
      </c>
    </row>
    <row r="711" spans="1:7">
      <c r="A711">
        <v>710</v>
      </c>
      <c r="B711">
        <v>26020</v>
      </c>
      <c r="C711">
        <f t="shared" si="33"/>
        <v>31358.453673959102</v>
      </c>
      <c r="D711">
        <f t="shared" si="34"/>
        <v>0.82976030229474307</v>
      </c>
    </row>
    <row r="712" spans="1:7">
      <c r="A712">
        <v>711</v>
      </c>
      <c r="B712">
        <v>25055</v>
      </c>
      <c r="C712">
        <f t="shared" si="33"/>
        <v>31354.902340087887</v>
      </c>
      <c r="D712">
        <f t="shared" si="34"/>
        <v>0.79907759648693488</v>
      </c>
    </row>
    <row r="713" spans="1:7">
      <c r="A713">
        <v>712</v>
      </c>
      <c r="B713">
        <v>23566</v>
      </c>
      <c r="C713">
        <f t="shared" si="33"/>
        <v>31351.284365015083</v>
      </c>
      <c r="D713">
        <f t="shared" si="34"/>
        <v>0.7516757439863393</v>
      </c>
    </row>
    <row r="714" spans="1:7">
      <c r="A714">
        <v>713</v>
      </c>
      <c r="B714">
        <v>21696</v>
      </c>
      <c r="C714">
        <f t="shared" si="33"/>
        <v>31347.599751189271</v>
      </c>
      <c r="D714">
        <f t="shared" si="34"/>
        <v>0.69211040628962006</v>
      </c>
    </row>
    <row r="715" spans="1:7">
      <c r="A715">
        <v>714</v>
      </c>
      <c r="B715">
        <v>19195</v>
      </c>
      <c r="C715">
        <f t="shared" si="33"/>
        <v>31343.848501622826</v>
      </c>
      <c r="D715">
        <f t="shared" si="34"/>
        <v>0.61240086707942643</v>
      </c>
    </row>
    <row r="716" spans="1:7">
      <c r="A716">
        <v>715</v>
      </c>
      <c r="B716">
        <v>17317</v>
      </c>
      <c r="C716">
        <f t="shared" si="33"/>
        <v>31340.030619891939</v>
      </c>
      <c r="D716">
        <f t="shared" si="34"/>
        <v>0.55255210851672454</v>
      </c>
    </row>
    <row r="717" spans="1:7" ht="17.25">
      <c r="A717">
        <v>716</v>
      </c>
      <c r="B717">
        <v>16477</v>
      </c>
      <c r="C717">
        <f t="shared" si="33"/>
        <v>31336.146110136553</v>
      </c>
      <c r="D717">
        <f t="shared" si="34"/>
        <v>0.52581450003738828</v>
      </c>
      <c r="F717">
        <v>716</v>
      </c>
      <c r="G717" t="s">
        <v>79</v>
      </c>
    </row>
    <row r="718" spans="1:7" ht="17.25">
      <c r="A718">
        <v>717</v>
      </c>
      <c r="B718">
        <v>16846</v>
      </c>
      <c r="C718">
        <f t="shared" si="33"/>
        <v>31332.194977060404</v>
      </c>
      <c r="D718">
        <f t="shared" si="34"/>
        <v>0.53765783126058209</v>
      </c>
      <c r="F718">
        <v>716</v>
      </c>
      <c r="G718" t="s">
        <v>80</v>
      </c>
    </row>
    <row r="719" spans="1:7">
      <c r="A719">
        <v>718</v>
      </c>
      <c r="B719">
        <v>18619</v>
      </c>
      <c r="C719">
        <f t="shared" si="33"/>
        <v>31328.17722593102</v>
      </c>
      <c r="D719">
        <f t="shared" si="34"/>
        <v>0.59432120374333952</v>
      </c>
    </row>
    <row r="720" spans="1:7">
      <c r="A720">
        <v>719</v>
      </c>
      <c r="B720">
        <v>20969</v>
      </c>
      <c r="C720">
        <f t="shared" si="33"/>
        <v>31324.092862579717</v>
      </c>
      <c r="D720">
        <f t="shared" si="34"/>
        <v>0.66942082224031196</v>
      </c>
    </row>
    <row r="721" spans="1:4">
      <c r="A721">
        <v>720</v>
      </c>
      <c r="B721">
        <v>23240</v>
      </c>
      <c r="C721">
        <f t="shared" si="33"/>
        <v>31319.941893401596</v>
      </c>
      <c r="D721">
        <f t="shared" si="34"/>
        <v>0.74201925658412993</v>
      </c>
    </row>
    <row r="722" spans="1:4">
      <c r="A722">
        <v>721</v>
      </c>
      <c r="B722">
        <v>24810</v>
      </c>
      <c r="C722">
        <f t="shared" si="33"/>
        <v>31315.72432535555</v>
      </c>
      <c r="D722">
        <f t="shared" si="34"/>
        <v>0.7922537490187308</v>
      </c>
    </row>
    <row r="723" spans="1:4">
      <c r="A723">
        <v>722</v>
      </c>
      <c r="B723">
        <v>26175</v>
      </c>
      <c r="C723">
        <f t="shared" si="33"/>
        <v>31311.44016596425</v>
      </c>
      <c r="D723">
        <f t="shared" si="34"/>
        <v>0.83595643832609157</v>
      </c>
    </row>
    <row r="724" spans="1:4">
      <c r="A724">
        <v>723</v>
      </c>
      <c r="B724">
        <v>27184</v>
      </c>
      <c r="C724">
        <f t="shared" si="33"/>
        <v>31307.089423314144</v>
      </c>
      <c r="D724">
        <f t="shared" si="34"/>
        <v>0.86830173295369606</v>
      </c>
    </row>
    <row r="725" spans="1:4">
      <c r="A725">
        <v>724</v>
      </c>
      <c r="B725">
        <v>27571</v>
      </c>
      <c r="C725">
        <f t="shared" si="33"/>
        <v>31302.672106055499</v>
      </c>
      <c r="D725">
        <f t="shared" si="34"/>
        <v>0.88078742628065909</v>
      </c>
    </row>
    <row r="726" spans="1:4">
      <c r="A726">
        <v>725</v>
      </c>
      <c r="B726">
        <v>27705</v>
      </c>
      <c r="C726">
        <f t="shared" si="33"/>
        <v>31298.188223402343</v>
      </c>
      <c r="D726">
        <f t="shared" si="34"/>
        <v>0.88519500880515389</v>
      </c>
    </row>
    <row r="727" spans="1:4">
      <c r="A727">
        <v>726</v>
      </c>
      <c r="B727">
        <v>27683</v>
      </c>
      <c r="C727">
        <f t="shared" si="33"/>
        <v>31293.637785132494</v>
      </c>
      <c r="D727">
        <f t="shared" si="34"/>
        <v>0.88462070757245437</v>
      </c>
    </row>
    <row r="728" spans="1:4">
      <c r="A728">
        <v>727</v>
      </c>
      <c r="B728">
        <v>27484</v>
      </c>
      <c r="C728">
        <f t="shared" si="33"/>
        <v>31289.020801587547</v>
      </c>
      <c r="D728">
        <f t="shared" si="34"/>
        <v>0.87839118310169406</v>
      </c>
    </row>
    <row r="729" spans="1:4">
      <c r="A729">
        <v>728</v>
      </c>
      <c r="B729">
        <v>27068</v>
      </c>
      <c r="C729">
        <f t="shared" si="33"/>
        <v>31284.337283672925</v>
      </c>
      <c r="D729">
        <f t="shared" si="34"/>
        <v>0.86522529643377166</v>
      </c>
    </row>
    <row r="730" spans="1:4">
      <c r="A730">
        <v>729</v>
      </c>
      <c r="B730">
        <v>26393</v>
      </c>
      <c r="C730">
        <f t="shared" si="33"/>
        <v>31279.587242857782</v>
      </c>
      <c r="D730">
        <f t="shared" si="34"/>
        <v>0.84377711876701444</v>
      </c>
    </row>
    <row r="731" spans="1:4">
      <c r="A731">
        <v>730</v>
      </c>
      <c r="B731">
        <v>25899</v>
      </c>
      <c r="C731">
        <f t="shared" si="33"/>
        <v>31274.770691175097</v>
      </c>
      <c r="D731">
        <f t="shared" si="34"/>
        <v>0.82811158731558676</v>
      </c>
    </row>
    <row r="732" spans="1:4">
      <c r="A732">
        <v>731</v>
      </c>
      <c r="B732">
        <v>25875</v>
      </c>
      <c r="C732">
        <f t="shared" si="33"/>
        <v>31269.88764122162</v>
      </c>
      <c r="D732">
        <f t="shared" si="34"/>
        <v>0.82747339219377969</v>
      </c>
    </row>
    <row r="733" spans="1:4">
      <c r="A733">
        <v>732</v>
      </c>
      <c r="B733">
        <v>25944</v>
      </c>
      <c r="C733">
        <f t="shared" si="33"/>
        <v>31264.938106157897</v>
      </c>
      <c r="D733">
        <f t="shared" si="34"/>
        <v>0.8298113340864125</v>
      </c>
    </row>
    <row r="734" spans="1:4">
      <c r="A734">
        <v>733</v>
      </c>
      <c r="B734">
        <v>26140</v>
      </c>
      <c r="C734">
        <f t="shared" si="33"/>
        <v>31259.922099708252</v>
      </c>
      <c r="D734">
        <f t="shared" si="34"/>
        <v>0.83621449588461916</v>
      </c>
    </row>
    <row r="735" spans="1:4">
      <c r="A735">
        <v>734</v>
      </c>
      <c r="B735">
        <v>26199</v>
      </c>
      <c r="C735">
        <f t="shared" si="33"/>
        <v>31254.839636160803</v>
      </c>
      <c r="D735">
        <f t="shared" si="34"/>
        <v>0.83823818342963541</v>
      </c>
    </row>
    <row r="736" spans="1:4">
      <c r="A736">
        <v>735</v>
      </c>
      <c r="B736">
        <v>25868</v>
      </c>
      <c r="C736">
        <f t="shared" si="33"/>
        <v>31249.690730367442</v>
      </c>
      <c r="D736">
        <f t="shared" si="34"/>
        <v>0.8277841922724154</v>
      </c>
    </row>
    <row r="737" spans="1:4">
      <c r="A737">
        <v>736</v>
      </c>
      <c r="B737">
        <v>25161</v>
      </c>
      <c r="C737">
        <f t="shared" si="33"/>
        <v>31244.47539774386</v>
      </c>
      <c r="D737">
        <f t="shared" si="34"/>
        <v>0.80529436579424396</v>
      </c>
    </row>
    <row r="738" spans="1:4">
      <c r="A738">
        <v>737</v>
      </c>
      <c r="B738">
        <v>24577</v>
      </c>
      <c r="C738">
        <f t="shared" si="33"/>
        <v>31239.193654269529</v>
      </c>
      <c r="D738">
        <f t="shared" si="34"/>
        <v>0.78673605573814187</v>
      </c>
    </row>
    <row r="739" spans="1:4">
      <c r="A739">
        <v>738</v>
      </c>
      <c r="B739">
        <v>24530</v>
      </c>
      <c r="C739">
        <f t="shared" si="33"/>
        <v>31233.845516487712</v>
      </c>
      <c r="D739">
        <f t="shared" si="34"/>
        <v>0.785365989821878</v>
      </c>
    </row>
    <row r="740" spans="1:4">
      <c r="A740">
        <v>739</v>
      </c>
      <c r="B740">
        <v>25157</v>
      </c>
      <c r="C740">
        <f t="shared" si="33"/>
        <v>31228.431001505458</v>
      </c>
      <c r="D740">
        <f t="shared" si="34"/>
        <v>0.80558001773407162</v>
      </c>
    </row>
    <row r="741" spans="1:4">
      <c r="A741">
        <v>740</v>
      </c>
      <c r="B741">
        <v>26126</v>
      </c>
      <c r="C741">
        <f t="shared" si="33"/>
        <v>31222.950126993594</v>
      </c>
      <c r="D741">
        <f t="shared" si="34"/>
        <v>0.83675629284668207</v>
      </c>
    </row>
    <row r="742" spans="1:4">
      <c r="A742">
        <v>741</v>
      </c>
      <c r="B742">
        <v>27104</v>
      </c>
      <c r="C742">
        <f t="shared" si="33"/>
        <v>31217.402911186746</v>
      </c>
      <c r="D742">
        <f t="shared" si="34"/>
        <v>0.86823366047171369</v>
      </c>
    </row>
    <row r="743" spans="1:4">
      <c r="A743">
        <v>742</v>
      </c>
      <c r="B743">
        <v>27678</v>
      </c>
      <c r="C743">
        <f t="shared" si="33"/>
        <v>31211.789372883322</v>
      </c>
      <c r="D743">
        <f t="shared" si="34"/>
        <v>0.88678030180629552</v>
      </c>
    </row>
    <row r="744" spans="1:4">
      <c r="A744">
        <v>743</v>
      </c>
      <c r="B744">
        <v>28160</v>
      </c>
      <c r="C744">
        <f t="shared" si="33"/>
        <v>31206.109531445516</v>
      </c>
      <c r="D744">
        <f t="shared" si="34"/>
        <v>0.90238739858372807</v>
      </c>
    </row>
    <row r="745" spans="1:4">
      <c r="A745">
        <v>744</v>
      </c>
      <c r="B745">
        <v>28373</v>
      </c>
      <c r="C745">
        <f t="shared" si="33"/>
        <v>31200.363406799297</v>
      </c>
      <c r="D745">
        <f t="shared" si="34"/>
        <v>0.90938043349254238</v>
      </c>
    </row>
    <row r="746" spans="1:4">
      <c r="A746">
        <v>745</v>
      </c>
      <c r="B746">
        <v>28692</v>
      </c>
      <c r="C746">
        <f t="shared" si="33"/>
        <v>31194.551019434439</v>
      </c>
      <c r="D746">
        <f t="shared" si="34"/>
        <v>0.91977602056604912</v>
      </c>
    </row>
    <row r="747" spans="1:4">
      <c r="A747">
        <v>746</v>
      </c>
      <c r="B747">
        <v>29073</v>
      </c>
      <c r="C747">
        <f t="shared" si="33"/>
        <v>31188.672390404507</v>
      </c>
      <c r="D747">
        <f t="shared" si="34"/>
        <v>0.93216535914316723</v>
      </c>
    </row>
    <row r="748" spans="1:4">
      <c r="A748">
        <v>747</v>
      </c>
      <c r="B748">
        <v>29337</v>
      </c>
      <c r="C748">
        <f t="shared" si="33"/>
        <v>31182.727541326822</v>
      </c>
      <c r="D748">
        <f t="shared" si="34"/>
        <v>0.94080929774726541</v>
      </c>
    </row>
    <row r="749" spans="1:4">
      <c r="A749">
        <v>748</v>
      </c>
      <c r="B749">
        <v>29964</v>
      </c>
      <c r="C749">
        <f t="shared" si="33"/>
        <v>31176.716494382519</v>
      </c>
      <c r="D749">
        <f t="shared" si="34"/>
        <v>0.96110185321789643</v>
      </c>
    </row>
    <row r="750" spans="1:4">
      <c r="A750">
        <v>749</v>
      </c>
      <c r="B750">
        <v>30313</v>
      </c>
      <c r="C750">
        <f t="shared" si="33"/>
        <v>31170.639272316512</v>
      </c>
      <c r="D750">
        <f t="shared" si="34"/>
        <v>0.9724856694524644</v>
      </c>
    </row>
    <row r="751" spans="1:4">
      <c r="A751">
        <v>750</v>
      </c>
      <c r="B751">
        <v>30167</v>
      </c>
      <c r="C751">
        <f t="shared" si="33"/>
        <v>31164.495898437504</v>
      </c>
      <c r="D751">
        <f t="shared" si="34"/>
        <v>0.96799255467862333</v>
      </c>
    </row>
    <row r="752" spans="1:4">
      <c r="A752">
        <v>751</v>
      </c>
      <c r="B752">
        <v>29586</v>
      </c>
      <c r="C752">
        <f t="shared" si="33"/>
        <v>31158.286396617972</v>
      </c>
      <c r="D752">
        <f t="shared" si="34"/>
        <v>0.94953873982015158</v>
      </c>
    </row>
    <row r="753" spans="1:4">
      <c r="A753">
        <v>752</v>
      </c>
      <c r="B753">
        <v>28803</v>
      </c>
      <c r="C753">
        <f t="shared" si="33"/>
        <v>31152.010791294197</v>
      </c>
      <c r="D753">
        <f t="shared" si="34"/>
        <v>0.92459521130011113</v>
      </c>
    </row>
    <row r="754" spans="1:4">
      <c r="A754">
        <v>753</v>
      </c>
      <c r="B754">
        <v>27575</v>
      </c>
      <c r="C754">
        <f t="shared" si="33"/>
        <v>31145.669107466241</v>
      </c>
      <c r="D754">
        <f t="shared" si="34"/>
        <v>0.88535583887615754</v>
      </c>
    </row>
    <row r="755" spans="1:4">
      <c r="A755">
        <v>754</v>
      </c>
      <c r="B755">
        <v>26826</v>
      </c>
      <c r="C755">
        <f t="shared" si="33"/>
        <v>31139.261370697943</v>
      </c>
      <c r="D755">
        <f t="shared" si="34"/>
        <v>0.86148478862903521</v>
      </c>
    </row>
    <row r="756" spans="1:4">
      <c r="A756">
        <v>755</v>
      </c>
      <c r="B756">
        <v>26399</v>
      </c>
      <c r="C756">
        <f t="shared" si="33"/>
        <v>31132.787607116948</v>
      </c>
      <c r="D756">
        <f t="shared" si="34"/>
        <v>0.84794848226071451</v>
      </c>
    </row>
    <row r="757" spans="1:4">
      <c r="A757">
        <v>756</v>
      </c>
      <c r="B757">
        <v>26227</v>
      </c>
      <c r="C757">
        <f t="shared" si="33"/>
        <v>31126.247843414658</v>
      </c>
      <c r="D757">
        <f t="shared" si="34"/>
        <v>0.8426007571467955</v>
      </c>
    </row>
    <row r="758" spans="1:4">
      <c r="A758">
        <v>757</v>
      </c>
      <c r="B758">
        <v>26617</v>
      </c>
      <c r="C758">
        <f t="shared" si="33"/>
        <v>31119.642106846295</v>
      </c>
      <c r="D758">
        <f t="shared" si="34"/>
        <v>0.85531189300356003</v>
      </c>
    </row>
    <row r="759" spans="1:4">
      <c r="A759">
        <v>758</v>
      </c>
      <c r="B759">
        <v>27203</v>
      </c>
      <c r="C759">
        <f t="shared" si="33"/>
        <v>31112.970425230844</v>
      </c>
      <c r="D759">
        <f t="shared" si="34"/>
        <v>0.87432988969577519</v>
      </c>
    </row>
    <row r="760" spans="1:4">
      <c r="A760">
        <v>759</v>
      </c>
      <c r="B760">
        <v>27475</v>
      </c>
      <c r="C760">
        <f t="shared" si="33"/>
        <v>31106.232826951094</v>
      </c>
      <c r="D760">
        <f t="shared" si="34"/>
        <v>0.883263497474856</v>
      </c>
    </row>
    <row r="761" spans="1:4">
      <c r="A761">
        <v>760</v>
      </c>
      <c r="B761">
        <v>27547</v>
      </c>
      <c r="C761">
        <f t="shared" si="33"/>
        <v>31099.429340953597</v>
      </c>
      <c r="D761">
        <f t="shared" si="34"/>
        <v>0.88577188018445263</v>
      </c>
    </row>
    <row r="762" spans="1:4">
      <c r="A762">
        <v>761</v>
      </c>
      <c r="B762">
        <v>27619</v>
      </c>
      <c r="C762">
        <f t="shared" si="33"/>
        <v>31092.559996748725</v>
      </c>
      <c r="D762">
        <f t="shared" si="34"/>
        <v>0.88828324212892262</v>
      </c>
    </row>
    <row r="763" spans="1:4">
      <c r="A763">
        <v>762</v>
      </c>
      <c r="B763">
        <v>27630</v>
      </c>
      <c r="C763">
        <f t="shared" si="33"/>
        <v>31085.624824410592</v>
      </c>
      <c r="D763">
        <f t="shared" si="34"/>
        <v>0.88883527855946476</v>
      </c>
    </row>
    <row r="764" spans="1:4">
      <c r="A764">
        <v>763</v>
      </c>
      <c r="B764">
        <v>27636</v>
      </c>
      <c r="C764">
        <f t="shared" si="33"/>
        <v>31078.623854577152</v>
      </c>
      <c r="D764">
        <f t="shared" si="34"/>
        <v>0.88922856202752576</v>
      </c>
    </row>
    <row r="765" spans="1:4">
      <c r="A765">
        <v>764</v>
      </c>
      <c r="B765">
        <v>27649</v>
      </c>
      <c r="C765">
        <f t="shared" si="33"/>
        <v>31071.557118450102</v>
      </c>
      <c r="D765">
        <f t="shared" si="34"/>
        <v>0.88984919212761926</v>
      </c>
    </row>
    <row r="766" spans="1:4">
      <c r="A766">
        <v>765</v>
      </c>
      <c r="B766">
        <v>27917</v>
      </c>
      <c r="C766">
        <f t="shared" si="33"/>
        <v>31064.424647794945</v>
      </c>
      <c r="D766">
        <f t="shared" si="34"/>
        <v>0.89868073581017183</v>
      </c>
    </row>
    <row r="767" spans="1:4">
      <c r="A767">
        <v>766</v>
      </c>
      <c r="B767">
        <v>28371</v>
      </c>
      <c r="C767">
        <f t="shared" si="33"/>
        <v>31057.226474940962</v>
      </c>
      <c r="D767">
        <f t="shared" si="34"/>
        <v>0.91350720010016384</v>
      </c>
    </row>
    <row r="768" spans="1:4">
      <c r="A768">
        <v>767</v>
      </c>
      <c r="B768">
        <v>29001</v>
      </c>
      <c r="C768">
        <f t="shared" si="33"/>
        <v>31049.962632781233</v>
      </c>
      <c r="D768">
        <f t="shared" si="34"/>
        <v>0.93401078587392483</v>
      </c>
    </row>
    <row r="769" spans="1:4">
      <c r="A769">
        <v>768</v>
      </c>
      <c r="B769">
        <v>29550</v>
      </c>
      <c r="C769">
        <f t="shared" si="33"/>
        <v>31042.633154772622</v>
      </c>
      <c r="D769">
        <f t="shared" si="34"/>
        <v>0.95191667062099272</v>
      </c>
    </row>
    <row r="770" spans="1:4">
      <c r="A770">
        <v>769</v>
      </c>
      <c r="B770">
        <v>30305</v>
      </c>
      <c r="C770">
        <f t="shared" ref="C770:C833" si="35" xml:space="preserve"> 0.00000002349111*A770*A770*A770*A770 - 0.0000664476*A770*A770*A770 + 0.03716061*A770*A770 + 10.57172*A770 + 22932.71</f>
        <v>31035.238074935762</v>
      </c>
      <c r="D770">
        <f t="shared" ref="D770:D833" si="36">B770/C770</f>
        <v>0.97647067913020114</v>
      </c>
    </row>
    <row r="771" spans="1:4">
      <c r="A771">
        <v>770</v>
      </c>
      <c r="B771">
        <v>30977</v>
      </c>
      <c r="C771">
        <f t="shared" si="35"/>
        <v>31027.777427855097</v>
      </c>
      <c r="D771">
        <f t="shared" si="36"/>
        <v>0.99836348484923987</v>
      </c>
    </row>
    <row r="772" spans="1:4">
      <c r="A772">
        <v>771</v>
      </c>
      <c r="B772">
        <v>31453</v>
      </c>
      <c r="C772">
        <f t="shared" si="35"/>
        <v>31020.25124867884</v>
      </c>
      <c r="D772">
        <f t="shared" si="36"/>
        <v>1.0139505237353483</v>
      </c>
    </row>
    <row r="773" spans="1:4">
      <c r="A773">
        <v>772</v>
      </c>
      <c r="B773">
        <v>31716</v>
      </c>
      <c r="C773">
        <f t="shared" si="35"/>
        <v>31012.659573119006</v>
      </c>
      <c r="D773">
        <f t="shared" si="36"/>
        <v>1.0226791393115677</v>
      </c>
    </row>
    <row r="774" spans="1:4">
      <c r="A774">
        <v>773</v>
      </c>
      <c r="B774">
        <v>32019</v>
      </c>
      <c r="C774">
        <f t="shared" si="35"/>
        <v>31005.00243745137</v>
      </c>
      <c r="D774">
        <f t="shared" si="36"/>
        <v>1.0327043213298963</v>
      </c>
    </row>
    <row r="775" spans="1:4">
      <c r="A775">
        <v>774</v>
      </c>
      <c r="B775">
        <v>32455</v>
      </c>
      <c r="C775">
        <f t="shared" si="35"/>
        <v>30997.279878515532</v>
      </c>
      <c r="D775">
        <f t="shared" si="36"/>
        <v>1.0470273561808507</v>
      </c>
    </row>
    <row r="776" spans="1:4">
      <c r="A776">
        <v>775</v>
      </c>
      <c r="B776">
        <v>32229</v>
      </c>
      <c r="C776">
        <f t="shared" si="35"/>
        <v>30989.491933714842</v>
      </c>
      <c r="D776">
        <f t="shared" si="36"/>
        <v>1.0399976891823981</v>
      </c>
    </row>
    <row r="777" spans="1:4">
      <c r="A777">
        <v>776</v>
      </c>
      <c r="B777">
        <v>31813</v>
      </c>
      <c r="C777">
        <f t="shared" si="35"/>
        <v>30981.638641016463</v>
      </c>
      <c r="D777">
        <f t="shared" si="36"/>
        <v>1.0268340021848585</v>
      </c>
    </row>
    <row r="778" spans="1:4">
      <c r="A778">
        <v>777</v>
      </c>
      <c r="B778">
        <v>30844</v>
      </c>
      <c r="C778">
        <f t="shared" si="35"/>
        <v>30973.720038951327</v>
      </c>
      <c r="D778">
        <f t="shared" si="36"/>
        <v>0.99581193221904907</v>
      </c>
    </row>
    <row r="779" spans="1:4">
      <c r="A779">
        <v>778</v>
      </c>
      <c r="B779">
        <v>29295</v>
      </c>
      <c r="C779">
        <f t="shared" si="35"/>
        <v>30965.736166614166</v>
      </c>
      <c r="D779">
        <f t="shared" si="36"/>
        <v>0.94604565001701857</v>
      </c>
    </row>
    <row r="780" spans="1:4">
      <c r="A780">
        <v>779</v>
      </c>
      <c r="B780">
        <v>27108</v>
      </c>
      <c r="C780">
        <f t="shared" si="35"/>
        <v>30957.687063663485</v>
      </c>
      <c r="D780">
        <f t="shared" si="36"/>
        <v>0.87564681251067855</v>
      </c>
    </row>
    <row r="781" spans="1:4">
      <c r="A781">
        <v>780</v>
      </c>
      <c r="B781">
        <v>24341</v>
      </c>
      <c r="C781">
        <f t="shared" si="35"/>
        <v>30949.572770321596</v>
      </c>
      <c r="D781">
        <f t="shared" si="36"/>
        <v>0.7864728919082612</v>
      </c>
    </row>
    <row r="782" spans="1:4">
      <c r="A782">
        <v>781</v>
      </c>
      <c r="B782">
        <v>21157</v>
      </c>
      <c r="C782">
        <f t="shared" si="35"/>
        <v>30941.393327374579</v>
      </c>
      <c r="D782">
        <f t="shared" si="36"/>
        <v>0.68377657645048273</v>
      </c>
    </row>
    <row r="783" spans="1:4">
      <c r="A783">
        <v>782</v>
      </c>
      <c r="B783">
        <v>17509</v>
      </c>
      <c r="C783">
        <f t="shared" si="35"/>
        <v>30933.148776172304</v>
      </c>
      <c r="D783">
        <f t="shared" si="36"/>
        <v>0.56602708397688639</v>
      </c>
    </row>
    <row r="784" spans="1:4">
      <c r="A784">
        <v>783</v>
      </c>
      <c r="B784">
        <v>14152</v>
      </c>
      <c r="C784">
        <f t="shared" si="35"/>
        <v>30924.839158628427</v>
      </c>
      <c r="D784">
        <f t="shared" si="36"/>
        <v>0.45762566225187334</v>
      </c>
    </row>
    <row r="785" spans="1:23">
      <c r="A785">
        <v>784</v>
      </c>
      <c r="B785">
        <v>10967</v>
      </c>
      <c r="C785">
        <f t="shared" si="35"/>
        <v>30916.464517220389</v>
      </c>
      <c r="D785">
        <f t="shared" si="36"/>
        <v>0.35473008221530022</v>
      </c>
      <c r="E785">
        <f t="shared" ref="E776:E813" si="37" xml:space="preserve"> -1.179402526298E-13*A785*A785*A785*A785 + 4.020234124929E-10*A785*A785*A785 - 0.0000004743246209058*A785*A785 + 0.09282817058921*A785 + 6490.328062797</f>
        <v>6562.9629751860866</v>
      </c>
      <c r="F785">
        <f t="shared" ref="F776:F813" si="38">E785-E$790</f>
        <v>-0.46299296507913823</v>
      </c>
      <c r="G785">
        <f t="shared" ref="G776:G813" si="39">D785</f>
        <v>0.35473008221530022</v>
      </c>
    </row>
    <row r="786" spans="1:23">
      <c r="A786">
        <v>785</v>
      </c>
      <c r="B786">
        <v>8622</v>
      </c>
      <c r="C786">
        <f t="shared" si="35"/>
        <v>30908.024894989438</v>
      </c>
      <c r="D786">
        <f t="shared" si="36"/>
        <v>0.27895667967440163</v>
      </c>
      <c r="E786">
        <f t="shared" si="37"/>
        <v>6563.0555736332317</v>
      </c>
      <c r="F786">
        <f t="shared" si="38"/>
        <v>-0.37039451793407352</v>
      </c>
      <c r="G786">
        <f t="shared" si="39"/>
        <v>0.27895667967440163</v>
      </c>
    </row>
    <row r="787" spans="1:23">
      <c r="A787">
        <v>786</v>
      </c>
      <c r="B787">
        <v>6953</v>
      </c>
      <c r="C787">
        <f t="shared" si="35"/>
        <v>30899.52033554059</v>
      </c>
      <c r="D787">
        <f t="shared" si="36"/>
        <v>0.2250196742375534</v>
      </c>
      <c r="E787">
        <f t="shared" si="37"/>
        <v>6563.1481721531245</v>
      </c>
      <c r="F787">
        <f t="shared" si="38"/>
        <v>-0.2777959980412561</v>
      </c>
      <c r="G787">
        <f t="shared" si="39"/>
        <v>0.2250196742375534</v>
      </c>
    </row>
    <row r="788" spans="1:23">
      <c r="A788">
        <v>787</v>
      </c>
      <c r="B788">
        <v>6060</v>
      </c>
      <c r="C788">
        <f t="shared" si="35"/>
        <v>30890.950883042649</v>
      </c>
      <c r="D788">
        <f t="shared" si="36"/>
        <v>0.19617395472687085</v>
      </c>
      <c r="E788">
        <f t="shared" si="37"/>
        <v>6563.2407707459543</v>
      </c>
      <c r="F788">
        <f t="shared" si="38"/>
        <v>-0.18519740521151107</v>
      </c>
      <c r="G788">
        <f t="shared" si="39"/>
        <v>0.19617395472687085</v>
      </c>
    </row>
    <row r="789" spans="1:23">
      <c r="A789">
        <v>788</v>
      </c>
      <c r="B789">
        <v>5555</v>
      </c>
      <c r="C789">
        <f t="shared" si="35"/>
        <v>30882.316582228203</v>
      </c>
      <c r="D789">
        <f t="shared" si="36"/>
        <v>0.17987640225140128</v>
      </c>
      <c r="E789">
        <f t="shared" si="37"/>
        <v>6563.3333694119074</v>
      </c>
      <c r="F789">
        <f t="shared" si="38"/>
        <v>-9.2598739258392015E-2</v>
      </c>
      <c r="G789">
        <f t="shared" si="39"/>
        <v>0.17987640225140128</v>
      </c>
      <c r="H789">
        <v>6563.4259681511658</v>
      </c>
      <c r="O789">
        <v>14</v>
      </c>
    </row>
    <row r="790" spans="1:23" ht="17.25">
      <c r="A790" s="5">
        <v>789</v>
      </c>
      <c r="B790" s="5">
        <v>5482</v>
      </c>
      <c r="C790" s="5">
        <f t="shared" si="35"/>
        <v>30873.617478393629</v>
      </c>
      <c r="D790" s="5">
        <f t="shared" si="36"/>
        <v>0.17756260677377647</v>
      </c>
      <c r="E790" s="5">
        <f t="shared" si="37"/>
        <v>6563.4259681511658</v>
      </c>
      <c r="F790">
        <f t="shared" si="38"/>
        <v>0</v>
      </c>
      <c r="G790">
        <f t="shared" si="39"/>
        <v>0.17756260677377647</v>
      </c>
      <c r="H790">
        <v>6562.79</v>
      </c>
      <c r="K790" s="7">
        <v>0.43309029999999998</v>
      </c>
      <c r="L790" s="7">
        <v>-0.60260440000000004</v>
      </c>
      <c r="M790" s="7">
        <v>0.48555930000000003</v>
      </c>
      <c r="N790" s="7">
        <v>1.1334260000000001E-2</v>
      </c>
      <c r="O790" s="7">
        <v>0.17657129999999999</v>
      </c>
    </row>
    <row r="791" spans="1:23">
      <c r="A791">
        <v>790</v>
      </c>
      <c r="B791">
        <v>5574</v>
      </c>
      <c r="C791">
        <f t="shared" si="35"/>
        <v>30864.853617399101</v>
      </c>
      <c r="D791">
        <f t="shared" si="36"/>
        <v>0.18059376108162817</v>
      </c>
      <c r="E791">
        <f t="shared" si="37"/>
        <v>6563.5185669639095</v>
      </c>
      <c r="F791">
        <f t="shared" si="38"/>
        <v>9.2598812743744929E-2</v>
      </c>
      <c r="G791">
        <f t="shared" si="39"/>
        <v>0.18059376108162817</v>
      </c>
      <c r="I791" s="15"/>
      <c r="J791" s="16"/>
      <c r="K791" s="15"/>
      <c r="L791" s="15"/>
      <c r="M791" s="15"/>
      <c r="N791" s="15"/>
      <c r="O791" s="15"/>
      <c r="P791" s="15"/>
      <c r="Q791" s="15">
        <f>H790</f>
        <v>6562.79</v>
      </c>
      <c r="R791" s="15">
        <f>P793</f>
        <v>29.025175158947647</v>
      </c>
      <c r="S791" s="15">
        <f>J795</f>
        <v>0.17656030293582606</v>
      </c>
      <c r="T791" s="15">
        <f>N797</f>
        <v>58.148178756570346</v>
      </c>
      <c r="U791" s="15">
        <f>J796</f>
        <v>0.97479159173538243</v>
      </c>
      <c r="V791" s="16">
        <f>O789</f>
        <v>14</v>
      </c>
      <c r="W791" s="15">
        <f>MIN(J792:J794)*MAX(J792:J794)</f>
        <v>-8.3183019405740945E-3</v>
      </c>
    </row>
    <row r="792" spans="1:23" ht="18">
      <c r="A792">
        <v>791</v>
      </c>
      <c r="B792">
        <v>5885</v>
      </c>
      <c r="C792">
        <f t="shared" si="35"/>
        <v>30856.025045668561</v>
      </c>
      <c r="D792">
        <f t="shared" si="36"/>
        <v>0.19072450165858651</v>
      </c>
      <c r="E792">
        <f t="shared" si="37"/>
        <v>6563.6111658503169</v>
      </c>
      <c r="F792">
        <f t="shared" si="38"/>
        <v>0.18519769915110373</v>
      </c>
      <c r="G792">
        <f t="shared" si="39"/>
        <v>0.19072450165858651</v>
      </c>
      <c r="I792" s="17" t="s">
        <v>192</v>
      </c>
      <c r="J792" s="17">
        <f>6*I790*F789*F789*F789*F789*F789+5*J790*F789*F789*F789*F789+4*K790*F789*F789*F789+3*L790*F789*F789+2*M790*F789+N790</f>
        <v>-9.5466718309415402E-2</v>
      </c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</row>
    <row r="793" spans="1:23" ht="18">
      <c r="A793">
        <v>792</v>
      </c>
      <c r="B793">
        <v>6405</v>
      </c>
      <c r="C793">
        <f t="shared" si="35"/>
        <v>30847.131810189756</v>
      </c>
      <c r="D793">
        <f t="shared" si="36"/>
        <v>0.20763680848552121</v>
      </c>
      <c r="E793">
        <f t="shared" si="37"/>
        <v>6563.7037648105625</v>
      </c>
      <c r="F793">
        <f t="shared" si="38"/>
        <v>0.2777966593966994</v>
      </c>
      <c r="G793">
        <f t="shared" si="39"/>
        <v>0.20763680848552121</v>
      </c>
      <c r="I793" s="17" t="s">
        <v>192</v>
      </c>
      <c r="J793" s="17">
        <f>6*I790*F790*F790*F790*F790*F790+5*J790*F790*F790*F790*F790+4*K790*F790*F790*F790+3*L790*F790*F790+2*M790*F790+N790</f>
        <v>1.1334260000000001E-2</v>
      </c>
      <c r="K793" s="16" t="s">
        <v>193</v>
      </c>
      <c r="L793" s="16">
        <f>((F789+F790+F791)*(F789*J792+F790*J793+F791*J794)-(J792+J793+J794)*(F789*F789+F790*F790+F791*F791))/(3*(F789*J792+F790*J793+F791*J794)-(F789+F790+F791)*(J792+J793+J794))</f>
        <v>-1.0143868946987295E-3</v>
      </c>
      <c r="M793" s="17" t="s">
        <v>194</v>
      </c>
      <c r="N793" s="17">
        <f>H789+L793</f>
        <v>6563.4249537642709</v>
      </c>
      <c r="O793" s="16" t="s">
        <v>195</v>
      </c>
      <c r="P793" s="16">
        <f>300000*(N793/H790-1)</f>
        <v>29.025175158947647</v>
      </c>
      <c r="Q793" s="15"/>
      <c r="R793" s="15"/>
      <c r="S793" s="15"/>
      <c r="T793" s="15"/>
      <c r="U793" s="15"/>
      <c r="V793" s="15"/>
      <c r="W793" s="15"/>
    </row>
    <row r="794" spans="1:23" ht="18">
      <c r="A794">
        <v>793</v>
      </c>
      <c r="B794">
        <v>6961</v>
      </c>
      <c r="C794">
        <f t="shared" si="35"/>
        <v>30838.173958514213</v>
      </c>
      <c r="D794">
        <f t="shared" si="36"/>
        <v>0.22572672459025786</v>
      </c>
      <c r="E794">
        <f t="shared" si="37"/>
        <v>6563.7963638448182</v>
      </c>
      <c r="F794">
        <f t="shared" si="38"/>
        <v>0.37039569365242642</v>
      </c>
      <c r="G794">
        <f t="shared" si="39"/>
        <v>0.22572672459025786</v>
      </c>
      <c r="I794" s="17" t="s">
        <v>192</v>
      </c>
      <c r="J794" s="17">
        <f>6*I790*F791*F791*F791*F791*F791+5*J790*F791*F791*F791*F791+4*K790*F791*F791*F791+3*L790*F791*F791+2*M790*F791+N790</f>
        <v>8.7133003918850552E-2</v>
      </c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</row>
    <row r="795" spans="1:23" ht="18">
      <c r="A795">
        <v>794</v>
      </c>
      <c r="B795">
        <v>7605</v>
      </c>
      <c r="C795">
        <f t="shared" si="35"/>
        <v>30829.151538757236</v>
      </c>
      <c r="D795">
        <f t="shared" si="36"/>
        <v>0.24668210509910671</v>
      </c>
      <c r="E795">
        <f t="shared" si="37"/>
        <v>6563.8889629532514</v>
      </c>
      <c r="F795">
        <f t="shared" si="38"/>
        <v>0.46299480208563182</v>
      </c>
      <c r="G795">
        <f t="shared" si="39"/>
        <v>0.24668210509910671</v>
      </c>
      <c r="I795" s="16" t="s">
        <v>196</v>
      </c>
      <c r="J795" s="15">
        <f>I790*L793*L793*L793*L793*L793*L793+J790*L793*L793*L793*L793*L793+K790*L793*L793*L793*L793+L790*L793*L793*L793+M790*L793*L793+N790*L793+O790</f>
        <v>0.17656030293582606</v>
      </c>
      <c r="K795" s="18" t="s">
        <v>197</v>
      </c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</row>
    <row r="796" spans="1:23" ht="18">
      <c r="A796">
        <v>795</v>
      </c>
      <c r="B796">
        <v>8298</v>
      </c>
      <c r="C796">
        <f t="shared" si="35"/>
        <v>30820.064599597943</v>
      </c>
      <c r="D796">
        <f t="shared" si="36"/>
        <v>0.26924018842284486</v>
      </c>
      <c r="E796">
        <f t="shared" si="37"/>
        <v>6563.9815621360303</v>
      </c>
      <c r="F796">
        <f t="shared" si="38"/>
        <v>0.55559398486457212</v>
      </c>
      <c r="G796">
        <f t="shared" si="39"/>
        <v>0.26924018842284486</v>
      </c>
      <c r="I796" s="16" t="s">
        <v>198</v>
      </c>
      <c r="J796" s="15">
        <f>30*I790*L793*L793*L793*L793+20*J790*L793*L793*L793+12*K790*L793*L793+6*L790*L793+2*M790</f>
        <v>0.97479159173538243</v>
      </c>
      <c r="K796" s="18" t="s">
        <v>199</v>
      </c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</row>
    <row r="797" spans="1:23" ht="18">
      <c r="A797">
        <v>796</v>
      </c>
      <c r="B797">
        <v>9256</v>
      </c>
      <c r="C797">
        <f t="shared" si="35"/>
        <v>30810.913190279192</v>
      </c>
      <c r="D797">
        <f t="shared" si="36"/>
        <v>0.30041303686254445</v>
      </c>
      <c r="E797">
        <f t="shared" si="37"/>
        <v>6564.074161393316</v>
      </c>
      <c r="F797">
        <f t="shared" si="38"/>
        <v>0.64819324215022789</v>
      </c>
      <c r="G797">
        <f t="shared" si="39"/>
        <v>0.30041303686254445</v>
      </c>
      <c r="I797" s="16" t="s">
        <v>200</v>
      </c>
      <c r="J797" s="16">
        <f>120*I790*L793*L793*L793+60*J790*L793*L793+24*K790*L793+6*L790</f>
        <v>-3.6261701069889876</v>
      </c>
      <c r="K797" s="19" t="s">
        <v>201</v>
      </c>
      <c r="L797" s="19">
        <f>-J797/(3*J796*J796)</f>
        <v>1.2720476202061075</v>
      </c>
      <c r="M797" s="20" t="s">
        <v>202</v>
      </c>
      <c r="N797" s="19">
        <f>300000*L797/H790</f>
        <v>58.148178756570346</v>
      </c>
      <c r="O797" s="15"/>
      <c r="P797" s="15"/>
      <c r="Q797" s="21" t="s">
        <v>203</v>
      </c>
      <c r="R797" s="16" t="s">
        <v>204</v>
      </c>
      <c r="S797" s="16" t="s">
        <v>136</v>
      </c>
      <c r="T797" s="16" t="s">
        <v>205</v>
      </c>
      <c r="U797" s="16" t="s">
        <v>206</v>
      </c>
      <c r="V797" s="16" t="s">
        <v>207</v>
      </c>
      <c r="W797" s="16" t="s">
        <v>208</v>
      </c>
    </row>
    <row r="798" spans="1:23">
      <c r="A798">
        <v>797</v>
      </c>
      <c r="B798">
        <v>10383</v>
      </c>
      <c r="C798">
        <f t="shared" si="35"/>
        <v>30801.697360607679</v>
      </c>
      <c r="D798">
        <f t="shared" si="36"/>
        <v>0.33709181278038364</v>
      </c>
      <c r="E798">
        <f t="shared" si="37"/>
        <v>6564.1667607252712</v>
      </c>
      <c r="F798">
        <f t="shared" si="38"/>
        <v>0.74079257410539867</v>
      </c>
      <c r="G798">
        <f t="shared" si="39"/>
        <v>0.33709181278038364</v>
      </c>
    </row>
    <row r="799" spans="1:23">
      <c r="A799">
        <v>798</v>
      </c>
      <c r="B799">
        <v>12015</v>
      </c>
      <c r="C799">
        <f t="shared" si="35"/>
        <v>30792.417160953839</v>
      </c>
      <c r="D799">
        <f t="shared" si="36"/>
        <v>0.39019346669658517</v>
      </c>
    </row>
    <row r="800" spans="1:23">
      <c r="A800">
        <v>799</v>
      </c>
      <c r="B800">
        <v>14121</v>
      </c>
      <c r="C800">
        <f t="shared" si="35"/>
        <v>30783.072642251936</v>
      </c>
      <c r="D800">
        <f t="shared" si="36"/>
        <v>0.45872613705942833</v>
      </c>
    </row>
    <row r="801" spans="1:4">
      <c r="A801">
        <v>800</v>
      </c>
      <c r="B801">
        <v>16452</v>
      </c>
      <c r="C801">
        <f t="shared" si="35"/>
        <v>30773.663856000003</v>
      </c>
      <c r="D801">
        <f t="shared" si="36"/>
        <v>0.53461297546448372</v>
      </c>
    </row>
    <row r="802" spans="1:4">
      <c r="A802">
        <v>801</v>
      </c>
      <c r="B802">
        <v>18746</v>
      </c>
      <c r="C802">
        <f t="shared" si="35"/>
        <v>30764.190854259839</v>
      </c>
      <c r="D802">
        <f t="shared" si="36"/>
        <v>0.60934480899582277</v>
      </c>
    </row>
    <row r="803" spans="1:4">
      <c r="A803">
        <v>802</v>
      </c>
      <c r="B803">
        <v>20738</v>
      </c>
      <c r="C803">
        <f t="shared" si="35"/>
        <v>30754.653689657069</v>
      </c>
      <c r="D803">
        <f t="shared" si="36"/>
        <v>0.67430445516524495</v>
      </c>
    </row>
    <row r="804" spans="1:4">
      <c r="A804">
        <v>803</v>
      </c>
      <c r="B804">
        <v>22519</v>
      </c>
      <c r="C804">
        <f t="shared" si="35"/>
        <v>30745.052415381084</v>
      </c>
      <c r="D804">
        <f t="shared" si="36"/>
        <v>0.73244305118615549</v>
      </c>
    </row>
    <row r="805" spans="1:4">
      <c r="A805">
        <v>804</v>
      </c>
      <c r="B805">
        <v>23915</v>
      </c>
      <c r="C805">
        <f t="shared" si="35"/>
        <v>30735.387085185048</v>
      </c>
      <c r="D805">
        <f t="shared" si="36"/>
        <v>0.77809334021784338</v>
      </c>
    </row>
    <row r="806" spans="1:4">
      <c r="A806">
        <v>805</v>
      </c>
      <c r="B806">
        <v>25332</v>
      </c>
      <c r="C806">
        <f t="shared" si="35"/>
        <v>30725.657753385938</v>
      </c>
      <c r="D806">
        <f t="shared" si="36"/>
        <v>0.8244575332877434</v>
      </c>
    </row>
    <row r="807" spans="1:4">
      <c r="A807">
        <v>806</v>
      </c>
      <c r="B807">
        <v>26307</v>
      </c>
      <c r="C807">
        <f t="shared" si="35"/>
        <v>30715.864474864506</v>
      </c>
      <c r="D807">
        <f t="shared" si="36"/>
        <v>0.85646295325751354</v>
      </c>
    </row>
    <row r="808" spans="1:4">
      <c r="A808">
        <v>807</v>
      </c>
      <c r="B808">
        <v>27040</v>
      </c>
      <c r="C808">
        <f t="shared" si="35"/>
        <v>30706.00730506529</v>
      </c>
      <c r="D808">
        <f t="shared" si="36"/>
        <v>0.88060944333649849</v>
      </c>
    </row>
    <row r="809" spans="1:4">
      <c r="A809">
        <v>808</v>
      </c>
      <c r="B809">
        <v>27606</v>
      </c>
      <c r="C809">
        <f t="shared" si="35"/>
        <v>30696.086299996612</v>
      </c>
      <c r="D809">
        <f t="shared" si="36"/>
        <v>0.89933288987407645</v>
      </c>
    </row>
    <row r="810" spans="1:4">
      <c r="A810">
        <v>809</v>
      </c>
      <c r="B810">
        <v>27986</v>
      </c>
      <c r="C810">
        <f t="shared" si="35"/>
        <v>30686.101516230581</v>
      </c>
      <c r="D810">
        <f t="shared" si="36"/>
        <v>0.91200897530752034</v>
      </c>
    </row>
    <row r="811" spans="1:4">
      <c r="A811">
        <v>810</v>
      </c>
      <c r="B811">
        <v>28269</v>
      </c>
      <c r="C811">
        <f t="shared" si="35"/>
        <v>30676.053010903091</v>
      </c>
      <c r="D811">
        <f t="shared" si="36"/>
        <v>0.9215331578007262</v>
      </c>
    </row>
    <row r="812" spans="1:4">
      <c r="A812">
        <v>811</v>
      </c>
      <c r="B812">
        <v>28546</v>
      </c>
      <c r="C812">
        <f t="shared" si="35"/>
        <v>30665.940841713851</v>
      </c>
      <c r="D812">
        <f t="shared" si="36"/>
        <v>0.93086985810557077</v>
      </c>
    </row>
    <row r="813" spans="1:4">
      <c r="A813">
        <v>812</v>
      </c>
      <c r="B813">
        <v>28806</v>
      </c>
      <c r="C813">
        <f t="shared" si="35"/>
        <v>30655.765066926313</v>
      </c>
      <c r="D813">
        <f t="shared" si="36"/>
        <v>0.93966012386616393</v>
      </c>
    </row>
    <row r="814" spans="1:4">
      <c r="A814">
        <v>813</v>
      </c>
      <c r="B814">
        <v>29077</v>
      </c>
      <c r="C814">
        <f t="shared" si="35"/>
        <v>30645.525745367737</v>
      </c>
      <c r="D814">
        <f t="shared" si="36"/>
        <v>0.94881713701371795</v>
      </c>
    </row>
    <row r="815" spans="1:4">
      <c r="A815">
        <v>814</v>
      </c>
      <c r="B815">
        <v>29284</v>
      </c>
      <c r="C815">
        <f t="shared" si="35"/>
        <v>30635.222936429163</v>
      </c>
      <c r="D815">
        <f t="shared" si="36"/>
        <v>0.95589315804121711</v>
      </c>
    </row>
    <row r="816" spans="1:4">
      <c r="A816">
        <v>815</v>
      </c>
      <c r="B816">
        <v>29037</v>
      </c>
      <c r="C816">
        <f t="shared" si="35"/>
        <v>30624.85670006544</v>
      </c>
      <c r="D816">
        <f t="shared" si="36"/>
        <v>0.94815137534791971</v>
      </c>
    </row>
    <row r="817" spans="1:7">
      <c r="A817">
        <v>816</v>
      </c>
      <c r="B817">
        <v>28232</v>
      </c>
      <c r="C817">
        <f t="shared" si="35"/>
        <v>30614.427096795178</v>
      </c>
      <c r="D817">
        <f t="shared" si="36"/>
        <v>0.92217959561148943</v>
      </c>
    </row>
    <row r="818" spans="1:7">
      <c r="A818">
        <v>817</v>
      </c>
      <c r="B818">
        <v>27455</v>
      </c>
      <c r="C818">
        <f t="shared" si="35"/>
        <v>30603.934187700776</v>
      </c>
      <c r="D818">
        <f t="shared" si="36"/>
        <v>0.89710688278220518</v>
      </c>
    </row>
    <row r="819" spans="1:7">
      <c r="A819">
        <v>818</v>
      </c>
      <c r="B819">
        <v>26318</v>
      </c>
      <c r="C819">
        <f t="shared" si="35"/>
        <v>30593.378034428413</v>
      </c>
      <c r="D819">
        <f t="shared" si="36"/>
        <v>0.86025152143653127</v>
      </c>
    </row>
    <row r="820" spans="1:7">
      <c r="A820">
        <v>819</v>
      </c>
      <c r="B820">
        <v>25407</v>
      </c>
      <c r="C820">
        <f t="shared" si="35"/>
        <v>30582.758699188118</v>
      </c>
      <c r="D820">
        <f t="shared" si="36"/>
        <v>0.83076220330229666</v>
      </c>
    </row>
    <row r="821" spans="1:7" ht="17.25">
      <c r="A821">
        <v>820</v>
      </c>
      <c r="B821">
        <v>24763</v>
      </c>
      <c r="C821">
        <f t="shared" si="35"/>
        <v>30572.0762447536</v>
      </c>
      <c r="D821">
        <f t="shared" si="36"/>
        <v>0.80998751284514148</v>
      </c>
      <c r="F821">
        <v>821</v>
      </c>
      <c r="G821" t="s">
        <v>130</v>
      </c>
    </row>
    <row r="822" spans="1:7" ht="17.25">
      <c r="A822">
        <v>821</v>
      </c>
      <c r="B822">
        <v>24289</v>
      </c>
      <c r="C822">
        <f t="shared" si="35"/>
        <v>30561.33073446243</v>
      </c>
      <c r="D822">
        <f t="shared" si="36"/>
        <v>0.79476251250442287</v>
      </c>
      <c r="F822">
        <v>821</v>
      </c>
      <c r="G822" t="s">
        <v>131</v>
      </c>
    </row>
    <row r="823" spans="1:7">
      <c r="A823">
        <v>822</v>
      </c>
      <c r="B823">
        <v>24367</v>
      </c>
      <c r="C823">
        <f t="shared" si="35"/>
        <v>30550.522232215961</v>
      </c>
      <c r="D823">
        <f t="shared" si="36"/>
        <v>0.79759684023681443</v>
      </c>
    </row>
    <row r="824" spans="1:7">
      <c r="A824">
        <v>823</v>
      </c>
      <c r="B824">
        <v>25118</v>
      </c>
      <c r="C824">
        <f t="shared" si="35"/>
        <v>30539.6508024793</v>
      </c>
      <c r="D824">
        <f t="shared" si="36"/>
        <v>0.82247174869336903</v>
      </c>
    </row>
    <row r="825" spans="1:7">
      <c r="A825">
        <v>824</v>
      </c>
      <c r="B825">
        <v>26200</v>
      </c>
      <c r="C825">
        <f t="shared" si="35"/>
        <v>30528.716510281352</v>
      </c>
      <c r="D825">
        <f t="shared" si="36"/>
        <v>0.85820836887055041</v>
      </c>
    </row>
    <row r="826" spans="1:7">
      <c r="A826">
        <v>825</v>
      </c>
      <c r="B826">
        <v>27067</v>
      </c>
      <c r="C826">
        <f t="shared" si="35"/>
        <v>30517.719421214839</v>
      </c>
      <c r="D826">
        <f t="shared" si="36"/>
        <v>0.88692734953136698</v>
      </c>
    </row>
    <row r="827" spans="1:7">
      <c r="A827">
        <v>826</v>
      </c>
      <c r="B827">
        <v>28008</v>
      </c>
      <c r="C827">
        <f t="shared" si="35"/>
        <v>30506.659601436229</v>
      </c>
      <c r="D827">
        <f t="shared" si="36"/>
        <v>0.91809461822170146</v>
      </c>
    </row>
    <row r="828" spans="1:7">
      <c r="A828">
        <v>827</v>
      </c>
      <c r="B828">
        <v>28407</v>
      </c>
      <c r="C828">
        <f t="shared" si="35"/>
        <v>30495.537117665801</v>
      </c>
      <c r="D828">
        <f t="shared" si="36"/>
        <v>0.93151335195024554</v>
      </c>
    </row>
    <row r="829" spans="1:7">
      <c r="A829">
        <v>828</v>
      </c>
      <c r="B829">
        <v>28507</v>
      </c>
      <c r="C829">
        <f t="shared" si="35"/>
        <v>30484.352037187607</v>
      </c>
      <c r="D829">
        <f t="shared" si="36"/>
        <v>0.93513550707013704</v>
      </c>
    </row>
    <row r="830" spans="1:7">
      <c r="A830">
        <v>829</v>
      </c>
      <c r="B830">
        <v>28120</v>
      </c>
      <c r="C830">
        <f t="shared" si="35"/>
        <v>30473.104427849496</v>
      </c>
      <c r="D830">
        <f t="shared" si="36"/>
        <v>0.92278094168512137</v>
      </c>
    </row>
    <row r="831" spans="1:7">
      <c r="A831">
        <v>830</v>
      </c>
      <c r="B831">
        <v>27654</v>
      </c>
      <c r="C831">
        <f t="shared" si="35"/>
        <v>30461.794358063104</v>
      </c>
      <c r="D831">
        <f t="shared" si="36"/>
        <v>0.90782570701322152</v>
      </c>
    </row>
    <row r="832" spans="1:7">
      <c r="A832">
        <v>831</v>
      </c>
      <c r="B832">
        <v>26738</v>
      </c>
      <c r="C832">
        <f t="shared" si="35"/>
        <v>30450.421896803833</v>
      </c>
      <c r="D832">
        <f t="shared" si="36"/>
        <v>0.87808307190668189</v>
      </c>
    </row>
    <row r="833" spans="1:4">
      <c r="A833">
        <v>832</v>
      </c>
      <c r="B833">
        <v>26359</v>
      </c>
      <c r="C833">
        <f t="shared" si="35"/>
        <v>30438.987113610892</v>
      </c>
      <c r="D833">
        <f t="shared" si="36"/>
        <v>0.86596179766486014</v>
      </c>
    </row>
    <row r="834" spans="1:4">
      <c r="A834">
        <v>833</v>
      </c>
      <c r="B834">
        <v>26595</v>
      </c>
      <c r="C834">
        <f t="shared" ref="C834:C897" si="40" xml:space="preserve"> 0.00000002349111*A834*A834*A834*A834 - 0.0000664476*A834*A834*A834 + 0.03716061*A834*A834 + 10.57172*A834 + 22932.71</f>
        <v>30427.490078587281</v>
      </c>
      <c r="D834">
        <f t="shared" ref="D834:D897" si="41">B834/C834</f>
        <v>0.87404514573207215</v>
      </c>
    </row>
    <row r="835" spans="1:4">
      <c r="A835">
        <v>834</v>
      </c>
      <c r="B835">
        <v>26780</v>
      </c>
      <c r="C835">
        <f t="shared" si="40"/>
        <v>30415.930862399779</v>
      </c>
      <c r="D835">
        <f t="shared" si="41"/>
        <v>0.88045965521000968</v>
      </c>
    </row>
    <row r="836" spans="1:4">
      <c r="A836">
        <v>835</v>
      </c>
      <c r="B836">
        <v>27313</v>
      </c>
      <c r="C836">
        <f t="shared" si="40"/>
        <v>30404.309536278946</v>
      </c>
      <c r="D836">
        <f t="shared" si="41"/>
        <v>0.89832659963580686</v>
      </c>
    </row>
    <row r="837" spans="1:4">
      <c r="A837">
        <v>836</v>
      </c>
      <c r="B837">
        <v>27512</v>
      </c>
      <c r="C837">
        <f t="shared" si="40"/>
        <v>30392.626172019118</v>
      </c>
      <c r="D837">
        <f t="shared" si="41"/>
        <v>0.90521957017748078</v>
      </c>
    </row>
    <row r="838" spans="1:4">
      <c r="A838">
        <v>837</v>
      </c>
      <c r="B838">
        <v>27641</v>
      </c>
      <c r="C838">
        <f t="shared" si="40"/>
        <v>30380.880841978462</v>
      </c>
      <c r="D838">
        <f t="shared" si="41"/>
        <v>0.90981562199497978</v>
      </c>
    </row>
    <row r="839" spans="1:4">
      <c r="A839">
        <v>838</v>
      </c>
      <c r="B839">
        <v>27557</v>
      </c>
      <c r="C839">
        <f t="shared" si="40"/>
        <v>30369.073619078888</v>
      </c>
      <c r="D839">
        <f t="shared" si="41"/>
        <v>0.90740337837265317</v>
      </c>
    </row>
    <row r="840" spans="1:4">
      <c r="A840">
        <v>839</v>
      </c>
      <c r="B840">
        <v>27803</v>
      </c>
      <c r="C840">
        <f t="shared" si="40"/>
        <v>30357.204576806093</v>
      </c>
      <c r="D840">
        <f t="shared" si="41"/>
        <v>0.91586166735663177</v>
      </c>
    </row>
    <row r="841" spans="1:4">
      <c r="A841">
        <v>840</v>
      </c>
      <c r="B841">
        <v>28027</v>
      </c>
      <c r="C841">
        <f t="shared" si="40"/>
        <v>30345.27378920959</v>
      </c>
      <c r="D841">
        <f t="shared" si="41"/>
        <v>0.92360346440393826</v>
      </c>
    </row>
    <row r="842" spans="1:4">
      <c r="A842">
        <v>841</v>
      </c>
      <c r="B842">
        <v>28110</v>
      </c>
      <c r="C842">
        <f t="shared" si="40"/>
        <v>30333.281330902675</v>
      </c>
      <c r="D842">
        <f t="shared" si="41"/>
        <v>0.92670488541450147</v>
      </c>
    </row>
    <row r="843" spans="1:4">
      <c r="A843">
        <v>842</v>
      </c>
      <c r="B843">
        <v>28348</v>
      </c>
      <c r="C843">
        <f t="shared" si="40"/>
        <v>30321.227277062397</v>
      </c>
      <c r="D843">
        <f t="shared" si="41"/>
        <v>0.93492257885764685</v>
      </c>
    </row>
    <row r="844" spans="1:4">
      <c r="A844">
        <v>843</v>
      </c>
      <c r="B844">
        <v>28634</v>
      </c>
      <c r="C844">
        <f t="shared" si="40"/>
        <v>30309.111703429622</v>
      </c>
      <c r="D844">
        <f t="shared" si="41"/>
        <v>0.94473240523112811</v>
      </c>
    </row>
    <row r="845" spans="1:4">
      <c r="A845">
        <v>844</v>
      </c>
      <c r="B845">
        <v>28702</v>
      </c>
      <c r="C845">
        <f t="shared" si="40"/>
        <v>30296.934686308996</v>
      </c>
      <c r="D845">
        <f t="shared" si="41"/>
        <v>0.9473565658432852</v>
      </c>
    </row>
    <row r="846" spans="1:4">
      <c r="A846">
        <v>845</v>
      </c>
      <c r="B846">
        <v>28575</v>
      </c>
      <c r="C846">
        <f t="shared" si="40"/>
        <v>30284.696302568937</v>
      </c>
      <c r="D846">
        <f t="shared" si="41"/>
        <v>0.94354586602131751</v>
      </c>
    </row>
    <row r="847" spans="1:4">
      <c r="A847">
        <v>846</v>
      </c>
      <c r="B847">
        <v>28542</v>
      </c>
      <c r="C847">
        <f t="shared" si="40"/>
        <v>30272.396629641695</v>
      </c>
      <c r="D847">
        <f t="shared" si="41"/>
        <v>0.94283912665350889</v>
      </c>
    </row>
    <row r="848" spans="1:4">
      <c r="A848">
        <v>847</v>
      </c>
      <c r="B848">
        <v>28591</v>
      </c>
      <c r="C848">
        <f t="shared" si="40"/>
        <v>30260.03574552323</v>
      </c>
      <c r="D848">
        <f t="shared" si="41"/>
        <v>0.94484356332030595</v>
      </c>
    </row>
    <row r="849" spans="1:7">
      <c r="A849">
        <v>848</v>
      </c>
      <c r="B849">
        <v>28762</v>
      </c>
      <c r="C849">
        <f t="shared" si="40"/>
        <v>30247.613728773365</v>
      </c>
      <c r="D849">
        <f t="shared" si="41"/>
        <v>0.95088492791217583</v>
      </c>
    </row>
    <row r="850" spans="1:7">
      <c r="A850">
        <v>849</v>
      </c>
      <c r="B850">
        <v>28785</v>
      </c>
      <c r="C850">
        <f t="shared" si="40"/>
        <v>30235.130658515667</v>
      </c>
      <c r="D850">
        <f t="shared" si="41"/>
        <v>0.95203822087313383</v>
      </c>
    </row>
    <row r="851" spans="1:7">
      <c r="A851">
        <v>850</v>
      </c>
      <c r="B851">
        <v>28474</v>
      </c>
      <c r="C851">
        <f t="shared" si="40"/>
        <v>30222.586614437496</v>
      </c>
      <c r="D851">
        <f t="shared" si="41"/>
        <v>0.94214305225608364</v>
      </c>
    </row>
    <row r="852" spans="1:7">
      <c r="A852">
        <v>851</v>
      </c>
      <c r="B852">
        <v>27962</v>
      </c>
      <c r="C852">
        <f t="shared" si="40"/>
        <v>30209.981676790016</v>
      </c>
      <c r="D852">
        <f t="shared" si="41"/>
        <v>0.92558811518521655</v>
      </c>
    </row>
    <row r="853" spans="1:7">
      <c r="A853">
        <v>852</v>
      </c>
      <c r="B853">
        <v>26982</v>
      </c>
      <c r="C853">
        <f t="shared" si="40"/>
        <v>30197.315926388146</v>
      </c>
      <c r="D853">
        <f t="shared" si="41"/>
        <v>0.89352312191500372</v>
      </c>
    </row>
    <row r="854" spans="1:7">
      <c r="A854">
        <v>853</v>
      </c>
      <c r="B854">
        <v>26031</v>
      </c>
      <c r="C854">
        <f t="shared" si="40"/>
        <v>30184.589444610621</v>
      </c>
      <c r="D854">
        <f t="shared" si="41"/>
        <v>0.86239370748333188</v>
      </c>
    </row>
    <row r="855" spans="1:7">
      <c r="A855">
        <v>854</v>
      </c>
      <c r="B855">
        <v>25089</v>
      </c>
      <c r="C855">
        <f t="shared" si="40"/>
        <v>30171.802313399952</v>
      </c>
      <c r="D855">
        <f t="shared" si="41"/>
        <v>0.83153799495953318</v>
      </c>
    </row>
    <row r="856" spans="1:7">
      <c r="A856">
        <v>855</v>
      </c>
      <c r="B856">
        <v>24066</v>
      </c>
      <c r="C856">
        <f t="shared" si="40"/>
        <v>30158.954615262446</v>
      </c>
      <c r="D856">
        <f t="shared" si="41"/>
        <v>0.79797195582571667</v>
      </c>
    </row>
    <row r="857" spans="1:7">
      <c r="A857">
        <v>856</v>
      </c>
      <c r="B857">
        <v>23173</v>
      </c>
      <c r="C857">
        <f t="shared" si="40"/>
        <v>30146.046433268159</v>
      </c>
      <c r="D857">
        <f t="shared" si="41"/>
        <v>0.76869117983003765</v>
      </c>
    </row>
    <row r="858" spans="1:7">
      <c r="A858">
        <v>857</v>
      </c>
      <c r="B858">
        <v>22111</v>
      </c>
      <c r="C858">
        <f t="shared" si="40"/>
        <v>30133.077851050981</v>
      </c>
      <c r="D858">
        <f t="shared" si="41"/>
        <v>0.7337783451559633</v>
      </c>
    </row>
    <row r="859" spans="1:7" ht="17.25">
      <c r="A859">
        <v>858</v>
      </c>
      <c r="B859">
        <v>21511</v>
      </c>
      <c r="C859">
        <f t="shared" si="40"/>
        <v>30120.048952808567</v>
      </c>
      <c r="D859">
        <f t="shared" si="41"/>
        <v>0.71417546610574778</v>
      </c>
      <c r="F859">
        <v>858.5</v>
      </c>
      <c r="G859" t="s">
        <v>81</v>
      </c>
    </row>
    <row r="860" spans="1:7" ht="17.25">
      <c r="A860">
        <v>859</v>
      </c>
      <c r="B860">
        <v>21384</v>
      </c>
      <c r="C860">
        <f t="shared" si="40"/>
        <v>30106.959823302361</v>
      </c>
      <c r="D860">
        <f t="shared" si="41"/>
        <v>0.71026766320819568</v>
      </c>
      <c r="F860">
        <v>858.5</v>
      </c>
      <c r="G860" t="s">
        <v>82</v>
      </c>
    </row>
    <row r="861" spans="1:7">
      <c r="A861">
        <v>860</v>
      </c>
      <c r="B861">
        <v>21851</v>
      </c>
      <c r="C861">
        <f t="shared" si="40"/>
        <v>30093.8105478576</v>
      </c>
      <c r="D861">
        <f t="shared" si="41"/>
        <v>0.7260961507433823</v>
      </c>
    </row>
    <row r="862" spans="1:7">
      <c r="A862">
        <v>861</v>
      </c>
      <c r="B862">
        <v>22871</v>
      </c>
      <c r="C862">
        <f t="shared" si="40"/>
        <v>30080.601212363286</v>
      </c>
      <c r="D862">
        <f t="shared" si="41"/>
        <v>0.76032389906488629</v>
      </c>
    </row>
    <row r="863" spans="1:7">
      <c r="A863">
        <v>862</v>
      </c>
      <c r="B863">
        <v>24040</v>
      </c>
      <c r="C863">
        <f t="shared" si="40"/>
        <v>30067.331903272228</v>
      </c>
      <c r="D863">
        <f t="shared" si="41"/>
        <v>0.79953885091426169</v>
      </c>
    </row>
    <row r="864" spans="1:7">
      <c r="A864">
        <v>863</v>
      </c>
      <c r="B864">
        <v>25090</v>
      </c>
      <c r="C864">
        <f t="shared" si="40"/>
        <v>30054.002707601026</v>
      </c>
      <c r="D864">
        <f t="shared" si="41"/>
        <v>0.83483056297371105</v>
      </c>
    </row>
    <row r="865" spans="1:4">
      <c r="A865">
        <v>864</v>
      </c>
      <c r="B865">
        <v>25918</v>
      </c>
      <c r="C865">
        <f t="shared" si="40"/>
        <v>30040.61371293003</v>
      </c>
      <c r="D865">
        <f t="shared" si="41"/>
        <v>0.86276532988553489</v>
      </c>
    </row>
    <row r="866" spans="1:4">
      <c r="A866">
        <v>865</v>
      </c>
      <c r="B866">
        <v>26147</v>
      </c>
      <c r="C866">
        <f t="shared" si="40"/>
        <v>30027.165007403448</v>
      </c>
      <c r="D866">
        <f t="shared" si="41"/>
        <v>0.87077817681267078</v>
      </c>
    </row>
    <row r="867" spans="1:4">
      <c r="A867">
        <v>866</v>
      </c>
      <c r="B867">
        <v>26308</v>
      </c>
      <c r="C867">
        <f t="shared" si="40"/>
        <v>30013.656679729189</v>
      </c>
      <c r="D867">
        <f t="shared" si="41"/>
        <v>0.87653431505292256</v>
      </c>
    </row>
    <row r="868" spans="1:4">
      <c r="A868">
        <v>867</v>
      </c>
      <c r="B868">
        <v>26245</v>
      </c>
      <c r="C868">
        <f t="shared" si="40"/>
        <v>30000.088819179007</v>
      </c>
      <c r="D868">
        <f t="shared" si="41"/>
        <v>0.87483074327505372</v>
      </c>
    </row>
    <row r="869" spans="1:4">
      <c r="A869">
        <v>868</v>
      </c>
      <c r="B869">
        <v>26440</v>
      </c>
      <c r="C869">
        <f t="shared" si="40"/>
        <v>29986.461515588424</v>
      </c>
      <c r="D869">
        <f t="shared" si="41"/>
        <v>0.88173124348983956</v>
      </c>
    </row>
    <row r="870" spans="1:4">
      <c r="A870">
        <v>869</v>
      </c>
      <c r="B870">
        <v>26705</v>
      </c>
      <c r="C870">
        <f t="shared" si="40"/>
        <v>29972.774859356759</v>
      </c>
      <c r="D870">
        <f t="shared" si="41"/>
        <v>0.89097523086566544</v>
      </c>
    </row>
    <row r="871" spans="1:4">
      <c r="A871">
        <v>870</v>
      </c>
      <c r="B871">
        <v>27019</v>
      </c>
      <c r="C871">
        <f t="shared" si="40"/>
        <v>29959.028941447097</v>
      </c>
      <c r="D871">
        <f t="shared" si="41"/>
        <v>0.90186501214064096</v>
      </c>
    </row>
    <row r="872" spans="1:4">
      <c r="A872">
        <v>871</v>
      </c>
      <c r="B872">
        <v>27293</v>
      </c>
      <c r="C872">
        <f t="shared" si="40"/>
        <v>29945.22385338632</v>
      </c>
      <c r="D872">
        <f t="shared" si="41"/>
        <v>0.9114308222783114</v>
      </c>
    </row>
    <row r="873" spans="1:4">
      <c r="A873">
        <v>872</v>
      </c>
      <c r="B873">
        <v>27273</v>
      </c>
      <c r="C873">
        <f t="shared" si="40"/>
        <v>29931.359687265118</v>
      </c>
      <c r="D873">
        <f t="shared" si="41"/>
        <v>0.91118480032177862</v>
      </c>
    </row>
    <row r="874" spans="1:4">
      <c r="A874">
        <v>873</v>
      </c>
      <c r="B874">
        <v>26950</v>
      </c>
      <c r="C874">
        <f t="shared" si="40"/>
        <v>29917.436535737914</v>
      </c>
      <c r="D874">
        <f t="shared" si="41"/>
        <v>0.90081247328148728</v>
      </c>
    </row>
    <row r="875" spans="1:4">
      <c r="A875">
        <v>874</v>
      </c>
      <c r="B875">
        <v>26814</v>
      </c>
      <c r="C875">
        <f t="shared" si="40"/>
        <v>29903.454492022975</v>
      </c>
      <c r="D875">
        <f t="shared" si="41"/>
        <v>0.89668569921086827</v>
      </c>
    </row>
    <row r="876" spans="1:4">
      <c r="A876">
        <v>875</v>
      </c>
      <c r="B876">
        <v>26371</v>
      </c>
      <c r="C876">
        <f t="shared" si="40"/>
        <v>29889.413649902344</v>
      </c>
      <c r="D876">
        <f t="shared" si="41"/>
        <v>0.88228562490004414</v>
      </c>
    </row>
    <row r="877" spans="1:4">
      <c r="A877">
        <v>876</v>
      </c>
      <c r="B877">
        <v>26035</v>
      </c>
      <c r="C877">
        <f t="shared" si="40"/>
        <v>29875.314103721808</v>
      </c>
      <c r="D877">
        <f t="shared" si="41"/>
        <v>0.87145527272486856</v>
      </c>
    </row>
    <row r="878" spans="1:4">
      <c r="A878">
        <v>877</v>
      </c>
      <c r="B878">
        <v>25615</v>
      </c>
      <c r="C878">
        <f t="shared" si="40"/>
        <v>29861.155948390973</v>
      </c>
      <c r="D878">
        <f t="shared" si="41"/>
        <v>0.85780336314744132</v>
      </c>
    </row>
    <row r="879" spans="1:4">
      <c r="A879">
        <v>878</v>
      </c>
      <c r="B879">
        <v>25439</v>
      </c>
      <c r="C879">
        <f t="shared" si="40"/>
        <v>29846.939279383259</v>
      </c>
      <c r="D879">
        <f t="shared" si="41"/>
        <v>0.85231519928651311</v>
      </c>
    </row>
    <row r="880" spans="1:4">
      <c r="A880">
        <v>879</v>
      </c>
      <c r="B880">
        <v>25142</v>
      </c>
      <c r="C880">
        <f t="shared" si="40"/>
        <v>29832.664192735807</v>
      </c>
      <c r="D880">
        <f t="shared" si="41"/>
        <v>0.8427675060319294</v>
      </c>
    </row>
    <row r="881" spans="1:4">
      <c r="A881">
        <v>880</v>
      </c>
      <c r="B881">
        <v>24951</v>
      </c>
      <c r="C881">
        <f t="shared" si="40"/>
        <v>29818.330785049598</v>
      </c>
      <c r="D881">
        <f t="shared" si="41"/>
        <v>0.83676716110849525</v>
      </c>
    </row>
    <row r="882" spans="1:4">
      <c r="A882">
        <v>881</v>
      </c>
      <c r="B882">
        <v>24796</v>
      </c>
      <c r="C882">
        <f t="shared" si="40"/>
        <v>29803.939153489373</v>
      </c>
      <c r="D882">
        <f t="shared" si="41"/>
        <v>0.8319705617536447</v>
      </c>
    </row>
    <row r="883" spans="1:4">
      <c r="A883">
        <v>882</v>
      </c>
      <c r="B883">
        <v>25061</v>
      </c>
      <c r="C883">
        <f t="shared" si="40"/>
        <v>29789.48939578369</v>
      </c>
      <c r="D883">
        <f t="shared" si="41"/>
        <v>0.8412698743183914</v>
      </c>
    </row>
    <row r="884" spans="1:4">
      <c r="A884">
        <v>883</v>
      </c>
      <c r="B884">
        <v>25786</v>
      </c>
      <c r="C884">
        <f t="shared" si="40"/>
        <v>29774.981610224851</v>
      </c>
      <c r="D884">
        <f t="shared" si="41"/>
        <v>0.86602908232007036</v>
      </c>
    </row>
    <row r="885" spans="1:4">
      <c r="A885">
        <v>884</v>
      </c>
      <c r="B885">
        <v>26963</v>
      </c>
      <c r="C885">
        <f t="shared" si="40"/>
        <v>29760.415895668972</v>
      </c>
      <c r="D885">
        <f t="shared" si="41"/>
        <v>0.90600212357663723</v>
      </c>
    </row>
    <row r="886" spans="1:4">
      <c r="A886">
        <v>885</v>
      </c>
      <c r="B886">
        <v>28022</v>
      </c>
      <c r="C886">
        <f t="shared" si="40"/>
        <v>29745.792351535943</v>
      </c>
      <c r="D886">
        <f t="shared" si="41"/>
        <v>0.94204920376084944</v>
      </c>
    </row>
    <row r="887" spans="1:4">
      <c r="A887">
        <v>886</v>
      </c>
      <c r="B887">
        <v>28916</v>
      </c>
      <c r="C887">
        <f t="shared" si="40"/>
        <v>29731.111077809455</v>
      </c>
      <c r="D887">
        <f t="shared" si="41"/>
        <v>0.97258390123139959</v>
      </c>
    </row>
    <row r="888" spans="1:4">
      <c r="A888">
        <v>887</v>
      </c>
      <c r="B888">
        <v>29236</v>
      </c>
      <c r="C888">
        <f t="shared" si="40"/>
        <v>29716.372175036984</v>
      </c>
      <c r="D888">
        <f t="shared" si="41"/>
        <v>0.98383476380604373</v>
      </c>
    </row>
    <row r="889" spans="1:4">
      <c r="A889">
        <v>888</v>
      </c>
      <c r="B889">
        <v>29289</v>
      </c>
      <c r="C889">
        <f t="shared" si="40"/>
        <v>29701.57574432977</v>
      </c>
      <c r="D889">
        <f t="shared" si="41"/>
        <v>0.98610929777324918</v>
      </c>
    </row>
    <row r="890" spans="1:4">
      <c r="A890">
        <v>889</v>
      </c>
      <c r="B890">
        <v>28900</v>
      </c>
      <c r="C890">
        <f t="shared" si="40"/>
        <v>29686.721887362866</v>
      </c>
      <c r="D890">
        <f t="shared" si="41"/>
        <v>0.97349919973152166</v>
      </c>
    </row>
    <row r="891" spans="1:4">
      <c r="A891">
        <v>890</v>
      </c>
      <c r="B891">
        <v>28163</v>
      </c>
      <c r="C891">
        <f t="shared" si="40"/>
        <v>29671.81070637509</v>
      </c>
      <c r="D891">
        <f t="shared" si="41"/>
        <v>0.94915002925484027</v>
      </c>
    </row>
    <row r="892" spans="1:4">
      <c r="A892">
        <v>891</v>
      </c>
      <c r="B892">
        <v>26836</v>
      </c>
      <c r="C892">
        <f t="shared" si="40"/>
        <v>29656.842304169091</v>
      </c>
      <c r="D892">
        <f t="shared" si="41"/>
        <v>0.90488392947442875</v>
      </c>
    </row>
    <row r="893" spans="1:4">
      <c r="A893">
        <v>892</v>
      </c>
      <c r="B893">
        <v>25332</v>
      </c>
      <c r="C893">
        <f t="shared" si="40"/>
        <v>29641.816784111234</v>
      </c>
      <c r="D893">
        <f t="shared" si="41"/>
        <v>0.85460348751560311</v>
      </c>
    </row>
    <row r="894" spans="1:4">
      <c r="A894">
        <v>893</v>
      </c>
      <c r="B894">
        <v>23085</v>
      </c>
      <c r="C894">
        <f t="shared" si="40"/>
        <v>29626.734250131722</v>
      </c>
      <c r="D894">
        <f t="shared" si="41"/>
        <v>0.77919489219090565</v>
      </c>
    </row>
    <row r="895" spans="1:4">
      <c r="A895">
        <v>894</v>
      </c>
      <c r="B895">
        <v>20362</v>
      </c>
      <c r="C895">
        <f t="shared" si="40"/>
        <v>29611.594806724544</v>
      </c>
      <c r="D895">
        <f t="shared" si="41"/>
        <v>0.68763604705870018</v>
      </c>
    </row>
    <row r="896" spans="1:4">
      <c r="A896">
        <v>895</v>
      </c>
      <c r="B896">
        <v>17993</v>
      </c>
      <c r="C896">
        <f t="shared" si="40"/>
        <v>29596.398558947443</v>
      </c>
      <c r="D896">
        <f t="shared" si="41"/>
        <v>0.60794559054755126</v>
      </c>
    </row>
    <row r="897" spans="1:7">
      <c r="A897">
        <v>896</v>
      </c>
      <c r="B897">
        <v>16040</v>
      </c>
      <c r="C897">
        <f t="shared" si="40"/>
        <v>29581.145612421984</v>
      </c>
      <c r="D897">
        <f t="shared" si="41"/>
        <v>0.5422372821580087</v>
      </c>
    </row>
    <row r="898" spans="1:7" ht="17.25">
      <c r="A898">
        <v>897</v>
      </c>
      <c r="B898">
        <v>15216</v>
      </c>
      <c r="C898">
        <f t="shared" ref="C898:C961" si="42" xml:space="preserve"> 0.00000002349111*A898*A898*A898*A898 - 0.0000664476*A898*A898*A898 + 0.03716061*A898*A898 + 10.57172*A898 + 22932.71</f>
        <v>29565.836073333492</v>
      </c>
      <c r="D898">
        <f t="shared" ref="D898:D961" si="43">B898/C898</f>
        <v>0.51464805399918545</v>
      </c>
      <c r="F898">
        <v>897</v>
      </c>
      <c r="G898" t="s">
        <v>83</v>
      </c>
    </row>
    <row r="899" spans="1:7" ht="17.25">
      <c r="A899">
        <v>898</v>
      </c>
      <c r="B899">
        <v>15765</v>
      </c>
      <c r="C899">
        <f t="shared" si="42"/>
        <v>29550.470048431092</v>
      </c>
      <c r="D899">
        <f t="shared" si="43"/>
        <v>0.5334940518429081</v>
      </c>
      <c r="F899">
        <v>897</v>
      </c>
      <c r="G899" t="s">
        <v>84</v>
      </c>
    </row>
    <row r="900" spans="1:7">
      <c r="A900">
        <v>899</v>
      </c>
      <c r="B900">
        <v>17502</v>
      </c>
      <c r="C900">
        <f t="shared" si="42"/>
        <v>29535.047645027691</v>
      </c>
      <c r="D900">
        <f t="shared" si="43"/>
        <v>0.59258411262277111</v>
      </c>
    </row>
    <row r="901" spans="1:7">
      <c r="A901">
        <v>900</v>
      </c>
      <c r="B901">
        <v>20022</v>
      </c>
      <c r="C901">
        <f t="shared" si="42"/>
        <v>29519.56897099999</v>
      </c>
      <c r="D901">
        <f t="shared" si="43"/>
        <v>0.67826193599471607</v>
      </c>
    </row>
    <row r="902" spans="1:7">
      <c r="A902">
        <v>901</v>
      </c>
      <c r="B902">
        <v>22927</v>
      </c>
      <c r="C902">
        <f t="shared" si="42"/>
        <v>29504.034134788486</v>
      </c>
      <c r="D902">
        <f t="shared" si="43"/>
        <v>0.7770801747062297</v>
      </c>
    </row>
    <row r="903" spans="1:7">
      <c r="A903">
        <v>902</v>
      </c>
      <c r="B903">
        <v>25439</v>
      </c>
      <c r="C903">
        <f t="shared" si="42"/>
        <v>29488.443245397422</v>
      </c>
      <c r="D903">
        <f t="shared" si="43"/>
        <v>0.86267694053230626</v>
      </c>
    </row>
    <row r="904" spans="1:7">
      <c r="A904">
        <v>903</v>
      </c>
      <c r="B904">
        <v>27306</v>
      </c>
      <c r="C904">
        <f t="shared" si="42"/>
        <v>29472.79641239487</v>
      </c>
      <c r="D904">
        <f t="shared" si="43"/>
        <v>0.92648147864640296</v>
      </c>
    </row>
    <row r="905" spans="1:7">
      <c r="A905">
        <v>904</v>
      </c>
      <c r="B905">
        <v>28188</v>
      </c>
      <c r="C905">
        <f t="shared" si="42"/>
        <v>29457.093745912662</v>
      </c>
      <c r="D905">
        <f t="shared" si="43"/>
        <v>0.95691721128840979</v>
      </c>
    </row>
    <row r="906" spans="1:7">
      <c r="A906">
        <v>905</v>
      </c>
      <c r="B906">
        <v>28234</v>
      </c>
      <c r="C906">
        <f t="shared" si="42"/>
        <v>29441.335356646443</v>
      </c>
      <c r="D906">
        <f t="shared" si="43"/>
        <v>0.95899182757775681</v>
      </c>
    </row>
    <row r="907" spans="1:7">
      <c r="A907">
        <v>906</v>
      </c>
      <c r="B907">
        <v>27655</v>
      </c>
      <c r="C907">
        <f t="shared" si="42"/>
        <v>29425.52135585561</v>
      </c>
      <c r="D907">
        <f t="shared" si="43"/>
        <v>0.93983041678535018</v>
      </c>
    </row>
    <row r="908" spans="1:7">
      <c r="A908">
        <v>907</v>
      </c>
      <c r="B908">
        <v>26663</v>
      </c>
      <c r="C908">
        <f t="shared" si="42"/>
        <v>29409.65185536338</v>
      </c>
      <c r="D908">
        <f t="shared" si="43"/>
        <v>0.9066071278615806</v>
      </c>
    </row>
    <row r="909" spans="1:7">
      <c r="A909">
        <v>908</v>
      </c>
      <c r="B909">
        <v>25104</v>
      </c>
      <c r="C909">
        <f t="shared" si="42"/>
        <v>29393.72696755673</v>
      </c>
      <c r="D909">
        <f t="shared" si="43"/>
        <v>0.85405978043235187</v>
      </c>
    </row>
    <row r="910" spans="1:7">
      <c r="A910">
        <v>909</v>
      </c>
      <c r="B910">
        <v>23003</v>
      </c>
      <c r="C910">
        <f t="shared" si="42"/>
        <v>29377.746805386458</v>
      </c>
      <c r="D910">
        <f t="shared" si="43"/>
        <v>0.78300763337583001</v>
      </c>
    </row>
    <row r="911" spans="1:7">
      <c r="A911">
        <v>910</v>
      </c>
      <c r="B911">
        <v>20351</v>
      </c>
      <c r="C911">
        <f t="shared" si="42"/>
        <v>29361.7114823671</v>
      </c>
      <c r="D911">
        <f t="shared" si="43"/>
        <v>0.69311354728833163</v>
      </c>
    </row>
    <row r="912" spans="1:7">
      <c r="A912">
        <v>911</v>
      </c>
      <c r="B912">
        <v>17624</v>
      </c>
      <c r="C912">
        <f t="shared" si="42"/>
        <v>29345.621112577013</v>
      </c>
      <c r="D912">
        <f t="shared" si="43"/>
        <v>0.60056660352800184</v>
      </c>
    </row>
    <row r="913" spans="1:7" ht="17.25">
      <c r="A913">
        <v>912</v>
      </c>
      <c r="B913">
        <v>15945</v>
      </c>
      <c r="C913">
        <f t="shared" si="42"/>
        <v>29329.475810658347</v>
      </c>
      <c r="D913">
        <f t="shared" si="43"/>
        <v>0.54365103907535839</v>
      </c>
      <c r="F913">
        <v>912.5</v>
      </c>
      <c r="G913" t="s">
        <v>85</v>
      </c>
    </row>
    <row r="914" spans="1:7" ht="17.25">
      <c r="A914">
        <v>913</v>
      </c>
      <c r="B914">
        <v>15739</v>
      </c>
      <c r="C914">
        <f t="shared" si="42"/>
        <v>29313.275691817005</v>
      </c>
      <c r="D914">
        <f t="shared" si="43"/>
        <v>0.53692395778181989</v>
      </c>
      <c r="F914">
        <v>912.5</v>
      </c>
      <c r="G914" t="s">
        <v>86</v>
      </c>
    </row>
    <row r="915" spans="1:7">
      <c r="A915">
        <v>914</v>
      </c>
      <c r="B915">
        <v>16953</v>
      </c>
      <c r="C915">
        <f t="shared" si="42"/>
        <v>29297.0208718227</v>
      </c>
      <c r="D915">
        <f t="shared" si="43"/>
        <v>0.57865951880128064</v>
      </c>
    </row>
    <row r="916" spans="1:7">
      <c r="A916">
        <v>915</v>
      </c>
      <c r="B916">
        <v>18963</v>
      </c>
      <c r="C916">
        <f t="shared" si="42"/>
        <v>29280.711467008943</v>
      </c>
      <c r="D916">
        <f t="shared" si="43"/>
        <v>0.64762770608787712</v>
      </c>
    </row>
    <row r="917" spans="1:7">
      <c r="A917">
        <v>916</v>
      </c>
      <c r="B917">
        <v>20885</v>
      </c>
      <c r="C917">
        <f t="shared" si="42"/>
        <v>29264.347594272993</v>
      </c>
      <c r="D917">
        <f t="shared" si="43"/>
        <v>0.71366702888969158</v>
      </c>
    </row>
    <row r="918" spans="1:7">
      <c r="A918">
        <v>917</v>
      </c>
      <c r="B918">
        <v>21954</v>
      </c>
      <c r="C918">
        <f t="shared" si="42"/>
        <v>29247.929371075938</v>
      </c>
      <c r="D918">
        <f t="shared" si="43"/>
        <v>0.75061723930826019</v>
      </c>
    </row>
    <row r="919" spans="1:7">
      <c r="A919">
        <v>918</v>
      </c>
      <c r="B919">
        <v>21764</v>
      </c>
      <c r="C919">
        <f t="shared" si="42"/>
        <v>29231.456915442635</v>
      </c>
      <c r="D919">
        <f t="shared" si="43"/>
        <v>0.74454037863923006</v>
      </c>
    </row>
    <row r="920" spans="1:7">
      <c r="A920">
        <v>919</v>
      </c>
      <c r="B920">
        <v>20910</v>
      </c>
      <c r="C920">
        <f t="shared" si="42"/>
        <v>29214.930345961708</v>
      </c>
      <c r="D920">
        <f t="shared" si="43"/>
        <v>0.7157299282382279</v>
      </c>
    </row>
    <row r="921" spans="1:7" ht="17.25">
      <c r="A921">
        <v>920</v>
      </c>
      <c r="B921">
        <v>19793</v>
      </c>
      <c r="C921">
        <f t="shared" si="42"/>
        <v>29198.349781785604</v>
      </c>
      <c r="D921">
        <f t="shared" si="43"/>
        <v>0.67788077572614014</v>
      </c>
      <c r="F921">
        <v>921</v>
      </c>
      <c r="G921" t="s">
        <v>132</v>
      </c>
    </row>
    <row r="922" spans="1:7" ht="17.25">
      <c r="A922">
        <v>921</v>
      </c>
      <c r="B922">
        <v>19102</v>
      </c>
      <c r="C922">
        <f t="shared" si="42"/>
        <v>29181.715342630523</v>
      </c>
      <c r="D922">
        <f t="shared" si="43"/>
        <v>0.65458797660515078</v>
      </c>
      <c r="F922">
        <v>921</v>
      </c>
      <c r="G922" t="s">
        <v>133</v>
      </c>
    </row>
    <row r="923" spans="1:7">
      <c r="A923">
        <v>922</v>
      </c>
      <c r="B923">
        <v>19279</v>
      </c>
      <c r="C923">
        <f t="shared" si="42"/>
        <v>29165.027148776469</v>
      </c>
      <c r="D923">
        <f t="shared" si="43"/>
        <v>0.66103144364152566</v>
      </c>
    </row>
    <row r="924" spans="1:7">
      <c r="A924">
        <v>923</v>
      </c>
      <c r="B924">
        <v>20388</v>
      </c>
      <c r="C924">
        <f t="shared" si="42"/>
        <v>29148.285321067247</v>
      </c>
      <c r="D924">
        <f t="shared" si="43"/>
        <v>0.69945795354433238</v>
      </c>
    </row>
    <row r="925" spans="1:7">
      <c r="A925">
        <v>924</v>
      </c>
      <c r="B925">
        <v>22286</v>
      </c>
      <c r="C925">
        <f t="shared" si="42"/>
        <v>29131.489980910417</v>
      </c>
      <c r="D925">
        <f t="shared" si="43"/>
        <v>0.76501407976742009</v>
      </c>
    </row>
    <row r="926" spans="1:7">
      <c r="A926">
        <v>925</v>
      </c>
      <c r="B926">
        <v>24215</v>
      </c>
      <c r="C926">
        <f t="shared" si="42"/>
        <v>29114.641250277338</v>
      </c>
      <c r="D926">
        <f t="shared" si="43"/>
        <v>0.8317121200924753</v>
      </c>
    </row>
    <row r="927" spans="1:7">
      <c r="A927">
        <v>926</v>
      </c>
      <c r="B927">
        <v>25978</v>
      </c>
      <c r="C927">
        <f t="shared" si="42"/>
        <v>29097.739251703184</v>
      </c>
      <c r="D927">
        <f t="shared" si="43"/>
        <v>0.89278413608986562</v>
      </c>
    </row>
    <row r="928" spans="1:7">
      <c r="A928">
        <v>927</v>
      </c>
      <c r="B928">
        <v>27232</v>
      </c>
      <c r="C928">
        <f t="shared" si="42"/>
        <v>29080.784108286862</v>
      </c>
      <c r="D928">
        <f t="shared" si="43"/>
        <v>0.93642591955558607</v>
      </c>
    </row>
    <row r="929" spans="1:7">
      <c r="A929">
        <v>928</v>
      </c>
      <c r="B929">
        <v>27990</v>
      </c>
      <c r="C929">
        <f t="shared" si="42"/>
        <v>29063.7759436911</v>
      </c>
      <c r="D929">
        <f t="shared" si="43"/>
        <v>0.96305449278953081</v>
      </c>
    </row>
    <row r="930" spans="1:7">
      <c r="A930">
        <v>929</v>
      </c>
      <c r="B930">
        <v>27906</v>
      </c>
      <c r="C930">
        <f t="shared" si="42"/>
        <v>29046.714882142409</v>
      </c>
      <c r="D930">
        <f t="shared" si="43"/>
        <v>0.9607282652523399</v>
      </c>
    </row>
    <row r="931" spans="1:7">
      <c r="A931">
        <v>930</v>
      </c>
      <c r="B931">
        <v>27656</v>
      </c>
      <c r="C931">
        <f t="shared" si="42"/>
        <v>29029.601048431097</v>
      </c>
      <c r="D931">
        <f t="shared" si="43"/>
        <v>0.95268274454962465</v>
      </c>
    </row>
    <row r="932" spans="1:7">
      <c r="A932">
        <v>931</v>
      </c>
      <c r="B932">
        <v>27209</v>
      </c>
      <c r="C932">
        <f t="shared" si="42"/>
        <v>29012.434567911234</v>
      </c>
      <c r="D932">
        <f t="shared" si="43"/>
        <v>0.93783925427940829</v>
      </c>
    </row>
    <row r="933" spans="1:7">
      <c r="A933">
        <v>932</v>
      </c>
      <c r="B933">
        <v>26766</v>
      </c>
      <c r="C933">
        <f t="shared" si="42"/>
        <v>28995.215566500687</v>
      </c>
      <c r="D933">
        <f t="shared" si="43"/>
        <v>0.9231178136479804</v>
      </c>
    </row>
    <row r="934" spans="1:7">
      <c r="A934">
        <v>933</v>
      </c>
      <c r="B934">
        <v>26074</v>
      </c>
      <c r="C934">
        <f t="shared" si="42"/>
        <v>28977.944170681105</v>
      </c>
      <c r="D934">
        <f t="shared" si="43"/>
        <v>0.89978777812612332</v>
      </c>
    </row>
    <row r="935" spans="1:7">
      <c r="A935">
        <v>934</v>
      </c>
      <c r="B935">
        <v>25261</v>
      </c>
      <c r="C935">
        <f t="shared" si="42"/>
        <v>28960.620507497963</v>
      </c>
      <c r="D935">
        <f t="shared" si="43"/>
        <v>0.87225341022855074</v>
      </c>
    </row>
    <row r="936" spans="1:7" ht="17.25">
      <c r="A936">
        <v>935</v>
      </c>
      <c r="B936">
        <v>24516</v>
      </c>
      <c r="C936">
        <f t="shared" si="42"/>
        <v>28943.244704560439</v>
      </c>
      <c r="D936">
        <f t="shared" si="43"/>
        <v>0.84703702885589538</v>
      </c>
      <c r="F936">
        <v>937</v>
      </c>
      <c r="G936" t="s">
        <v>134</v>
      </c>
    </row>
    <row r="937" spans="1:7" ht="17.25">
      <c r="A937">
        <v>936</v>
      </c>
      <c r="B937">
        <v>23860</v>
      </c>
      <c r="C937">
        <f t="shared" si="42"/>
        <v>28925.816890041595</v>
      </c>
      <c r="D937">
        <f t="shared" si="43"/>
        <v>0.82486866630945088</v>
      </c>
      <c r="F937">
        <v>937</v>
      </c>
      <c r="G937" t="s">
        <v>135</v>
      </c>
    </row>
    <row r="938" spans="1:7">
      <c r="A938">
        <v>937</v>
      </c>
      <c r="B938">
        <v>23351</v>
      </c>
      <c r="C938">
        <f t="shared" si="42"/>
        <v>28908.337192678195</v>
      </c>
      <c r="D938">
        <f t="shared" si="43"/>
        <v>0.80776005359153835</v>
      </c>
    </row>
    <row r="939" spans="1:7">
      <c r="A939">
        <v>938</v>
      </c>
      <c r="B939">
        <v>23588</v>
      </c>
      <c r="C939">
        <f t="shared" si="42"/>
        <v>28890.805741770855</v>
      </c>
      <c r="D939">
        <f t="shared" si="43"/>
        <v>0.8164535184941567</v>
      </c>
    </row>
    <row r="940" spans="1:7">
      <c r="A940">
        <v>939</v>
      </c>
      <c r="B940">
        <v>24192</v>
      </c>
      <c r="C940">
        <f t="shared" si="42"/>
        <v>28873.222667183927</v>
      </c>
      <c r="D940">
        <f t="shared" si="43"/>
        <v>0.83786975492332538</v>
      </c>
    </row>
    <row r="941" spans="1:7">
      <c r="A941">
        <v>940</v>
      </c>
      <c r="B941">
        <v>24963</v>
      </c>
      <c r="C941">
        <f t="shared" si="42"/>
        <v>28855.588099345594</v>
      </c>
      <c r="D941">
        <f t="shared" si="43"/>
        <v>0.86510106514052043</v>
      </c>
    </row>
    <row r="942" spans="1:7">
      <c r="A942">
        <v>941</v>
      </c>
      <c r="B942">
        <v>25783</v>
      </c>
      <c r="C942">
        <f t="shared" si="42"/>
        <v>28837.902169247798</v>
      </c>
      <c r="D942">
        <f t="shared" si="43"/>
        <v>0.8940664216377886</v>
      </c>
    </row>
    <row r="943" spans="1:7">
      <c r="A943">
        <v>942</v>
      </c>
      <c r="B943">
        <v>26699</v>
      </c>
      <c r="C943">
        <f t="shared" si="42"/>
        <v>28820.165008446267</v>
      </c>
      <c r="D943">
        <f t="shared" si="43"/>
        <v>0.92639997002707575</v>
      </c>
    </row>
    <row r="944" spans="1:7">
      <c r="A944">
        <v>943</v>
      </c>
      <c r="B944">
        <v>27527</v>
      </c>
      <c r="C944">
        <f t="shared" si="42"/>
        <v>28802.376749060517</v>
      </c>
      <c r="D944">
        <f t="shared" si="43"/>
        <v>0.95571973937525423</v>
      </c>
    </row>
    <row r="945" spans="1:4">
      <c r="A945">
        <v>944</v>
      </c>
      <c r="B945">
        <v>28186</v>
      </c>
      <c r="C945">
        <f t="shared" si="42"/>
        <v>28784.537523773884</v>
      </c>
      <c r="D945">
        <f t="shared" si="43"/>
        <v>0.97920628312059776</v>
      </c>
    </row>
    <row r="946" spans="1:4">
      <c r="A946">
        <v>945</v>
      </c>
      <c r="B946">
        <v>28561</v>
      </c>
      <c r="C946">
        <f t="shared" si="42"/>
        <v>28766.647465833434</v>
      </c>
      <c r="D946">
        <f t="shared" si="43"/>
        <v>0.99285118413337237</v>
      </c>
    </row>
    <row r="947" spans="1:4">
      <c r="A947">
        <v>946</v>
      </c>
      <c r="B947">
        <v>28630</v>
      </c>
      <c r="C947">
        <f t="shared" si="42"/>
        <v>28748.706709050064</v>
      </c>
      <c r="D947">
        <f t="shared" si="43"/>
        <v>0.99587088524532841</v>
      </c>
    </row>
    <row r="948" spans="1:4">
      <c r="A948">
        <v>947</v>
      </c>
      <c r="B948">
        <v>28137</v>
      </c>
      <c r="C948">
        <f t="shared" si="42"/>
        <v>28730.715387798446</v>
      </c>
      <c r="D948">
        <f t="shared" si="43"/>
        <v>0.97933516865888459</v>
      </c>
    </row>
    <row r="949" spans="1:4">
      <c r="A949">
        <v>948</v>
      </c>
      <c r="B949">
        <v>27719</v>
      </c>
      <c r="C949">
        <f t="shared" si="42"/>
        <v>28712.673637017011</v>
      </c>
      <c r="D949">
        <f t="shared" si="43"/>
        <v>0.9653925075184937</v>
      </c>
    </row>
    <row r="950" spans="1:4">
      <c r="A950">
        <v>949</v>
      </c>
      <c r="B950">
        <v>27076</v>
      </c>
      <c r="C950">
        <f t="shared" si="42"/>
        <v>28694.581592208029</v>
      </c>
      <c r="D950">
        <f t="shared" si="43"/>
        <v>0.94359277945883857</v>
      </c>
    </row>
    <row r="951" spans="1:4">
      <c r="A951">
        <v>950</v>
      </c>
      <c r="B951">
        <v>26696</v>
      </c>
      <c r="C951">
        <f t="shared" si="42"/>
        <v>28676.439389437503</v>
      </c>
      <c r="D951">
        <f t="shared" si="43"/>
        <v>0.9309384487194402</v>
      </c>
    </row>
    <row r="952" spans="1:4">
      <c r="A952">
        <v>951</v>
      </c>
      <c r="B952">
        <v>26300</v>
      </c>
      <c r="C952">
        <f t="shared" si="42"/>
        <v>28658.247165335248</v>
      </c>
      <c r="D952">
        <f t="shared" si="43"/>
        <v>0.91771139554592995</v>
      </c>
    </row>
    <row r="953" spans="1:4">
      <c r="A953">
        <v>952</v>
      </c>
      <c r="B953">
        <v>26268</v>
      </c>
      <c r="C953">
        <f t="shared" si="42"/>
        <v>28640.005057094902</v>
      </c>
      <c r="D953">
        <f t="shared" si="43"/>
        <v>0.91717860899932724</v>
      </c>
    </row>
    <row r="954" spans="1:4">
      <c r="A954">
        <v>953</v>
      </c>
      <c r="B954">
        <v>26284</v>
      </c>
      <c r="C954">
        <f t="shared" si="42"/>
        <v>28621.713202473817</v>
      </c>
      <c r="D954">
        <f t="shared" si="43"/>
        <v>0.91832378495527078</v>
      </c>
    </row>
    <row r="955" spans="1:4">
      <c r="A955">
        <v>954</v>
      </c>
      <c r="B955">
        <v>26438</v>
      </c>
      <c r="C955">
        <f t="shared" si="42"/>
        <v>28603.371739793169</v>
      </c>
      <c r="D955">
        <f t="shared" si="43"/>
        <v>0.92429662630365039</v>
      </c>
    </row>
    <row r="956" spans="1:4">
      <c r="A956">
        <v>955</v>
      </c>
      <c r="B956">
        <v>26651</v>
      </c>
      <c r="C956">
        <f t="shared" si="42"/>
        <v>28584.980807937944</v>
      </c>
      <c r="D956">
        <f t="shared" si="43"/>
        <v>0.93234276346266132</v>
      </c>
    </row>
    <row r="957" spans="1:4">
      <c r="A957">
        <v>956</v>
      </c>
      <c r="B957">
        <v>26937</v>
      </c>
      <c r="C957">
        <f t="shared" si="42"/>
        <v>28566.54054635686</v>
      </c>
      <c r="D957">
        <f t="shared" si="43"/>
        <v>0.94295632179498623</v>
      </c>
    </row>
    <row r="958" spans="1:4">
      <c r="A958">
        <v>957</v>
      </c>
      <c r="B958">
        <v>26735</v>
      </c>
      <c r="C958">
        <f t="shared" si="42"/>
        <v>28548.051095062481</v>
      </c>
      <c r="D958">
        <f t="shared" si="43"/>
        <v>0.93649124807065875</v>
      </c>
    </row>
    <row r="959" spans="1:4">
      <c r="A959">
        <v>958</v>
      </c>
      <c r="B959">
        <v>26539</v>
      </c>
      <c r="C959">
        <f t="shared" si="42"/>
        <v>28529.512594631102</v>
      </c>
      <c r="D959">
        <f t="shared" si="43"/>
        <v>0.93022970203123301</v>
      </c>
    </row>
    <row r="960" spans="1:4">
      <c r="A960">
        <v>959</v>
      </c>
      <c r="B960">
        <v>26182</v>
      </c>
      <c r="C960">
        <f t="shared" si="42"/>
        <v>28510.92518620284</v>
      </c>
      <c r="D960">
        <f t="shared" si="43"/>
        <v>0.91831464005489849</v>
      </c>
    </row>
    <row r="961" spans="1:4">
      <c r="A961">
        <v>960</v>
      </c>
      <c r="B961">
        <v>25465</v>
      </c>
      <c r="C961">
        <f t="shared" si="42"/>
        <v>28492.289011481596</v>
      </c>
      <c r="D961">
        <f t="shared" si="43"/>
        <v>0.89375058598269574</v>
      </c>
    </row>
    <row r="962" spans="1:4">
      <c r="A962">
        <v>961</v>
      </c>
      <c r="B962">
        <v>24548</v>
      </c>
      <c r="C962">
        <f t="shared" ref="C962:C1025" si="44" xml:space="preserve"> 0.00000002349111*A962*A962*A962*A962 - 0.0000664476*A962*A962*A962 + 0.03716061*A962*A962 + 10.57172*A962 + 22932.71</f>
        <v>28473.604212735052</v>
      </c>
      <c r="D962">
        <f t="shared" ref="D962:D1025" si="45">B962/C962</f>
        <v>0.86213181220734625</v>
      </c>
    </row>
    <row r="963" spans="1:4">
      <c r="A963">
        <v>962</v>
      </c>
      <c r="B963">
        <v>24055</v>
      </c>
      <c r="C963">
        <f t="shared" si="44"/>
        <v>28454.870932794649</v>
      </c>
      <c r="D963">
        <f t="shared" si="45"/>
        <v>0.8453737167465506</v>
      </c>
    </row>
    <row r="964" spans="1:4">
      <c r="A964">
        <v>963</v>
      </c>
      <c r="B964">
        <v>23400</v>
      </c>
      <c r="C964">
        <f t="shared" si="44"/>
        <v>28436.089315055688</v>
      </c>
      <c r="D964">
        <f t="shared" si="45"/>
        <v>0.82289796394790138</v>
      </c>
    </row>
    <row r="965" spans="1:4">
      <c r="A965">
        <v>964</v>
      </c>
      <c r="B965">
        <v>23473</v>
      </c>
      <c r="C965">
        <f t="shared" si="44"/>
        <v>28417.259503477166</v>
      </c>
      <c r="D965">
        <f t="shared" si="45"/>
        <v>0.82601209300734357</v>
      </c>
    </row>
    <row r="966" spans="1:4">
      <c r="A966">
        <v>965</v>
      </c>
      <c r="B966">
        <v>23463</v>
      </c>
      <c r="C966">
        <f t="shared" si="44"/>
        <v>28398.381642581946</v>
      </c>
      <c r="D966">
        <f t="shared" si="45"/>
        <v>0.82620905287146407</v>
      </c>
    </row>
    <row r="967" spans="1:4">
      <c r="A967">
        <v>966</v>
      </c>
      <c r="B967">
        <v>23954</v>
      </c>
      <c r="C967">
        <f t="shared" si="44"/>
        <v>28379.455877456603</v>
      </c>
      <c r="D967">
        <f t="shared" si="45"/>
        <v>0.84406128515762024</v>
      </c>
    </row>
    <row r="968" spans="1:4">
      <c r="A968">
        <v>967</v>
      </c>
      <c r="B968">
        <v>24528</v>
      </c>
      <c r="C968">
        <f t="shared" si="44"/>
        <v>28360.482353751577</v>
      </c>
      <c r="D968">
        <f t="shared" si="45"/>
        <v>0.86486540299464942</v>
      </c>
    </row>
    <row r="969" spans="1:4">
      <c r="A969">
        <v>968</v>
      </c>
      <c r="B969">
        <v>24880</v>
      </c>
      <c r="C969">
        <f t="shared" si="44"/>
        <v>28341.461217681033</v>
      </c>
      <c r="D969">
        <f t="shared" si="45"/>
        <v>0.87786581675889119</v>
      </c>
    </row>
    <row r="970" spans="1:4">
      <c r="A970">
        <v>969</v>
      </c>
      <c r="B970">
        <v>25458</v>
      </c>
      <c r="C970">
        <f t="shared" si="44"/>
        <v>28322.392616022953</v>
      </c>
      <c r="D970">
        <f t="shared" si="45"/>
        <v>0.89886473735264627</v>
      </c>
    </row>
    <row r="971" spans="1:4">
      <c r="A971">
        <v>970</v>
      </c>
      <c r="B971">
        <v>25707</v>
      </c>
      <c r="C971">
        <f t="shared" si="44"/>
        <v>28303.276696119094</v>
      </c>
      <c r="D971">
        <f t="shared" si="45"/>
        <v>0.90826939495400927</v>
      </c>
    </row>
    <row r="972" spans="1:4">
      <c r="A972">
        <v>971</v>
      </c>
      <c r="B972">
        <v>26038</v>
      </c>
      <c r="C972">
        <f t="shared" si="44"/>
        <v>28284.113605875009</v>
      </c>
      <c r="D972">
        <f t="shared" si="45"/>
        <v>0.92058744929491232</v>
      </c>
    </row>
    <row r="973" spans="1:4">
      <c r="A973">
        <v>972</v>
      </c>
      <c r="B973">
        <v>26113</v>
      </c>
      <c r="C973">
        <f t="shared" si="44"/>
        <v>28264.903493760026</v>
      </c>
      <c r="D973">
        <f t="shared" si="45"/>
        <v>0.92386658973609814</v>
      </c>
    </row>
    <row r="974" spans="1:4">
      <c r="A974">
        <v>973</v>
      </c>
      <c r="B974">
        <v>26083</v>
      </c>
      <c r="C974">
        <f t="shared" si="44"/>
        <v>28245.646508807276</v>
      </c>
      <c r="D974">
        <f t="shared" si="45"/>
        <v>0.92343434206283992</v>
      </c>
    </row>
    <row r="975" spans="1:4">
      <c r="A975">
        <v>974</v>
      </c>
      <c r="B975">
        <v>25778</v>
      </c>
      <c r="C975">
        <f t="shared" si="44"/>
        <v>28226.342800613649</v>
      </c>
      <c r="D975">
        <f t="shared" si="45"/>
        <v>0.91326036044030401</v>
      </c>
    </row>
    <row r="976" spans="1:4">
      <c r="A976">
        <v>975</v>
      </c>
      <c r="B976">
        <v>25384</v>
      </c>
      <c r="C976">
        <f t="shared" si="44"/>
        <v>28206.992519339841</v>
      </c>
      <c r="D976">
        <f t="shared" si="45"/>
        <v>0.89991869862041174</v>
      </c>
    </row>
    <row r="977" spans="1:7">
      <c r="A977">
        <v>976</v>
      </c>
      <c r="B977">
        <v>24946</v>
      </c>
      <c r="C977">
        <f t="shared" si="44"/>
        <v>28187.595815710356</v>
      </c>
      <c r="D977">
        <f t="shared" si="45"/>
        <v>0.88499920898171625</v>
      </c>
    </row>
    <row r="978" spans="1:7">
      <c r="A978">
        <v>977</v>
      </c>
      <c r="B978">
        <v>24662</v>
      </c>
      <c r="C978">
        <f t="shared" si="44"/>
        <v>28168.152841013431</v>
      </c>
      <c r="D978">
        <f t="shared" si="45"/>
        <v>0.8755277685120908</v>
      </c>
    </row>
    <row r="979" spans="1:7">
      <c r="A979">
        <v>978</v>
      </c>
      <c r="B979">
        <v>24907</v>
      </c>
      <c r="C979">
        <f t="shared" si="44"/>
        <v>28148.663747101145</v>
      </c>
      <c r="D979">
        <f t="shared" si="45"/>
        <v>0.88483773950246625</v>
      </c>
    </row>
    <row r="980" spans="1:7">
      <c r="A980">
        <v>979</v>
      </c>
      <c r="B980">
        <v>25113</v>
      </c>
      <c r="C980">
        <f t="shared" si="44"/>
        <v>28129.128686389329</v>
      </c>
      <c r="D980">
        <f t="shared" si="45"/>
        <v>0.89277560922643417</v>
      </c>
    </row>
    <row r="981" spans="1:7">
      <c r="A981">
        <v>980</v>
      </c>
      <c r="B981">
        <v>24945</v>
      </c>
      <c r="C981">
        <f t="shared" si="44"/>
        <v>28109.547811857588</v>
      </c>
      <c r="D981">
        <f t="shared" si="45"/>
        <v>0.88742089225203857</v>
      </c>
    </row>
    <row r="982" spans="1:7">
      <c r="A982">
        <v>981</v>
      </c>
      <c r="B982">
        <v>24367</v>
      </c>
      <c r="C982">
        <f t="shared" si="44"/>
        <v>28089.921277049387</v>
      </c>
      <c r="D982">
        <f t="shared" si="45"/>
        <v>0.86746416124379933</v>
      </c>
    </row>
    <row r="983" spans="1:7">
      <c r="A983">
        <v>982</v>
      </c>
      <c r="B983">
        <v>23311</v>
      </c>
      <c r="C983">
        <f t="shared" si="44"/>
        <v>28070.249236071893</v>
      </c>
      <c r="D983">
        <f t="shared" si="45"/>
        <v>0.8304521917120713</v>
      </c>
    </row>
    <row r="984" spans="1:7">
      <c r="A984">
        <v>983</v>
      </c>
      <c r="B984">
        <v>21938</v>
      </c>
      <c r="C984">
        <f t="shared" si="44"/>
        <v>28050.531843596076</v>
      </c>
      <c r="D984">
        <f t="shared" si="45"/>
        <v>0.78208855797536103</v>
      </c>
    </row>
    <row r="985" spans="1:7">
      <c r="A985">
        <v>984</v>
      </c>
      <c r="B985">
        <v>20251</v>
      </c>
      <c r="C985">
        <f t="shared" si="44"/>
        <v>28030.769254856739</v>
      </c>
      <c r="D985">
        <f t="shared" si="45"/>
        <v>0.72245609158554291</v>
      </c>
    </row>
    <row r="986" spans="1:7">
      <c r="A986">
        <v>985</v>
      </c>
      <c r="B986">
        <v>18605</v>
      </c>
      <c r="C986">
        <f t="shared" si="44"/>
        <v>28010.96162565245</v>
      </c>
      <c r="D986">
        <f t="shared" si="45"/>
        <v>0.66420425862714882</v>
      </c>
    </row>
    <row r="987" spans="1:7" ht="17.25">
      <c r="A987">
        <v>986</v>
      </c>
      <c r="B987">
        <v>17510</v>
      </c>
      <c r="C987">
        <f t="shared" si="44"/>
        <v>27991.10911234553</v>
      </c>
      <c r="D987">
        <f t="shared" si="45"/>
        <v>0.62555577664756357</v>
      </c>
      <c r="F987">
        <v>987</v>
      </c>
      <c r="G987" t="s">
        <v>87</v>
      </c>
    </row>
    <row r="988" spans="1:7" ht="17.25">
      <c r="A988">
        <v>987</v>
      </c>
      <c r="B988">
        <v>16950</v>
      </c>
      <c r="C988">
        <f t="shared" si="44"/>
        <v>27971.211871862117</v>
      </c>
      <c r="D988">
        <f t="shared" si="45"/>
        <v>0.60598017982377805</v>
      </c>
      <c r="F988">
        <v>987</v>
      </c>
      <c r="G988" t="s">
        <v>88</v>
      </c>
    </row>
    <row r="989" spans="1:7">
      <c r="A989">
        <v>988</v>
      </c>
      <c r="B989">
        <v>17097</v>
      </c>
      <c r="C989">
        <f t="shared" si="44"/>
        <v>27951.270061692132</v>
      </c>
      <c r="D989">
        <f t="shared" si="45"/>
        <v>0.61167166866710065</v>
      </c>
    </row>
    <row r="990" spans="1:7">
      <c r="A990">
        <v>989</v>
      </c>
      <c r="B990">
        <v>18003</v>
      </c>
      <c r="C990">
        <f t="shared" si="44"/>
        <v>27931.283839889311</v>
      </c>
      <c r="D990">
        <f t="shared" si="45"/>
        <v>0.64454609760148229</v>
      </c>
    </row>
    <row r="991" spans="1:7">
      <c r="A991">
        <v>990</v>
      </c>
      <c r="B991">
        <v>19719</v>
      </c>
      <c r="C991">
        <f t="shared" si="44"/>
        <v>27911.253365071108</v>
      </c>
      <c r="D991">
        <f t="shared" si="45"/>
        <v>0.70648923364641469</v>
      </c>
    </row>
    <row r="992" spans="1:7">
      <c r="A992">
        <v>991</v>
      </c>
      <c r="B992">
        <v>21466</v>
      </c>
      <c r="C992">
        <f t="shared" si="44"/>
        <v>27891.178796418808</v>
      </c>
      <c r="D992">
        <f t="shared" si="45"/>
        <v>0.76963401786217112</v>
      </c>
    </row>
    <row r="993" spans="1:4">
      <c r="A993">
        <v>992</v>
      </c>
      <c r="B993">
        <v>22929</v>
      </c>
      <c r="C993">
        <f t="shared" si="44"/>
        <v>27871.060293677514</v>
      </c>
      <c r="D993">
        <f t="shared" si="45"/>
        <v>0.8226812958817139</v>
      </c>
    </row>
    <row r="994" spans="1:4">
      <c r="A994">
        <v>993</v>
      </c>
      <c r="B994">
        <v>24191</v>
      </c>
      <c r="C994">
        <f t="shared" si="44"/>
        <v>27850.89801715604</v>
      </c>
      <c r="D994">
        <f t="shared" si="45"/>
        <v>0.86858958677377085</v>
      </c>
    </row>
    <row r="995" spans="1:4">
      <c r="A995">
        <v>994</v>
      </c>
      <c r="B995">
        <v>24995</v>
      </c>
      <c r="C995">
        <f t="shared" si="44"/>
        <v>27830.692127727045</v>
      </c>
      <c r="D995">
        <f t="shared" si="45"/>
        <v>0.89810917692190939</v>
      </c>
    </row>
    <row r="996" spans="1:4">
      <c r="A996">
        <v>995</v>
      </c>
      <c r="B996">
        <v>25513</v>
      </c>
      <c r="C996">
        <f t="shared" si="44"/>
        <v>27810.442786826949</v>
      </c>
      <c r="D996">
        <f t="shared" si="45"/>
        <v>0.91738920503936794</v>
      </c>
    </row>
    <row r="997" spans="1:4">
      <c r="A997">
        <v>996</v>
      </c>
      <c r="B997">
        <v>25856</v>
      </c>
      <c r="C997">
        <f t="shared" si="44"/>
        <v>27790.150156455958</v>
      </c>
      <c r="D997">
        <f t="shared" si="45"/>
        <v>0.93040159388967414</v>
      </c>
    </row>
    <row r="998" spans="1:4">
      <c r="A998">
        <v>997</v>
      </c>
      <c r="B998">
        <v>26077</v>
      </c>
      <c r="C998">
        <f t="shared" si="44"/>
        <v>27769.814399178118</v>
      </c>
      <c r="D998">
        <f t="shared" si="45"/>
        <v>0.93904120586314688</v>
      </c>
    </row>
    <row r="999" spans="1:4">
      <c r="A999">
        <v>998</v>
      </c>
      <c r="B999">
        <v>26275</v>
      </c>
      <c r="C999">
        <f t="shared" si="44"/>
        <v>27749.435678121146</v>
      </c>
      <c r="D999">
        <f t="shared" si="45"/>
        <v>0.94686610224352585</v>
      </c>
    </row>
    <row r="1000" spans="1:4">
      <c r="A1000">
        <v>999</v>
      </c>
      <c r="B1000">
        <v>26449</v>
      </c>
      <c r="C1000">
        <f t="shared" si="44"/>
        <v>27729.014156976649</v>
      </c>
      <c r="D1000">
        <f t="shared" si="45"/>
        <v>0.95383845420070235</v>
      </c>
    </row>
    <row r="1001" spans="1:4">
      <c r="A1001">
        <v>1000</v>
      </c>
      <c r="B1001">
        <v>26478</v>
      </c>
      <c r="C1001">
        <f t="shared" si="44"/>
        <v>27708.55000000001</v>
      </c>
      <c r="D1001">
        <f t="shared" si="45"/>
        <v>0.95558952020224774</v>
      </c>
    </row>
    <row r="1002" spans="1:4">
      <c r="A1002">
        <v>1001</v>
      </c>
      <c r="B1002">
        <v>26488</v>
      </c>
      <c r="C1002">
        <f t="shared" si="44"/>
        <v>27688.043372010317</v>
      </c>
      <c r="D1002">
        <f t="shared" si="45"/>
        <v>0.95665842631468012</v>
      </c>
    </row>
    <row r="1003" spans="1:4">
      <c r="A1003">
        <v>1002</v>
      </c>
      <c r="B1003">
        <v>25988</v>
      </c>
      <c r="C1003">
        <f t="shared" si="44"/>
        <v>27667.494438390589</v>
      </c>
      <c r="D1003">
        <f t="shared" si="45"/>
        <v>0.93929719793997057</v>
      </c>
    </row>
    <row r="1004" spans="1:4">
      <c r="A1004">
        <v>1003</v>
      </c>
      <c r="B1004">
        <v>25629</v>
      </c>
      <c r="C1004">
        <f t="shared" si="44"/>
        <v>27646.90336508747</v>
      </c>
      <c r="D1004">
        <f t="shared" si="45"/>
        <v>0.92701159553240675</v>
      </c>
    </row>
    <row r="1005" spans="1:4">
      <c r="A1005">
        <v>1004</v>
      </c>
      <c r="B1005">
        <v>25210</v>
      </c>
      <c r="C1005">
        <f t="shared" si="44"/>
        <v>27626.270318611496</v>
      </c>
      <c r="D1005">
        <f t="shared" si="45"/>
        <v>0.91253722305816709</v>
      </c>
    </row>
    <row r="1006" spans="1:4">
      <c r="A1006">
        <v>1005</v>
      </c>
      <c r="B1006">
        <v>24875</v>
      </c>
      <c r="C1006">
        <f t="shared" si="44"/>
        <v>27605.595466036939</v>
      </c>
      <c r="D1006">
        <f t="shared" si="45"/>
        <v>0.901085435038111</v>
      </c>
    </row>
    <row r="1007" spans="1:4">
      <c r="A1007">
        <v>1006</v>
      </c>
      <c r="B1007">
        <v>24869</v>
      </c>
      <c r="C1007">
        <f t="shared" si="44"/>
        <v>27584.878975001906</v>
      </c>
      <c r="D1007">
        <f t="shared" si="45"/>
        <v>0.90154464779551502</v>
      </c>
    </row>
    <row r="1008" spans="1:4">
      <c r="A1008">
        <v>1007</v>
      </c>
      <c r="B1008">
        <v>24778</v>
      </c>
      <c r="C1008">
        <f t="shared" si="44"/>
        <v>27564.121013708282</v>
      </c>
      <c r="D1008">
        <f t="shared" si="45"/>
        <v>0.8989221890180108</v>
      </c>
    </row>
    <row r="1009" spans="1:4">
      <c r="A1009">
        <v>1008</v>
      </c>
      <c r="B1009">
        <v>24709</v>
      </c>
      <c r="C1009">
        <f t="shared" si="44"/>
        <v>27543.321750921663</v>
      </c>
      <c r="D1009">
        <f t="shared" si="45"/>
        <v>0.89709586314414602</v>
      </c>
    </row>
    <row r="1010" spans="1:4">
      <c r="A1010">
        <v>1009</v>
      </c>
      <c r="B1010">
        <v>24887</v>
      </c>
      <c r="C1010">
        <f t="shared" si="44"/>
        <v>27522.481355971533</v>
      </c>
      <c r="D1010">
        <f t="shared" si="45"/>
        <v>0.90424259637477367</v>
      </c>
    </row>
    <row r="1011" spans="1:4">
      <c r="A1011">
        <v>1010</v>
      </c>
      <c r="B1011">
        <v>25067</v>
      </c>
      <c r="C1011">
        <f t="shared" si="44"/>
        <v>27501.599998751102</v>
      </c>
      <c r="D1011">
        <f t="shared" si="45"/>
        <v>0.91147424154006818</v>
      </c>
    </row>
    <row r="1012" spans="1:4">
      <c r="A1012">
        <v>1011</v>
      </c>
      <c r="B1012">
        <v>25226</v>
      </c>
      <c r="C1012">
        <f t="shared" si="44"/>
        <v>27480.677849717373</v>
      </c>
      <c r="D1012">
        <f t="shared" si="45"/>
        <v>0.91795406714319594</v>
      </c>
    </row>
    <row r="1013" spans="1:4">
      <c r="A1013">
        <v>1012</v>
      </c>
      <c r="B1013">
        <v>25339</v>
      </c>
      <c r="C1013">
        <f t="shared" si="44"/>
        <v>27459.715079891161</v>
      </c>
      <c r="D1013">
        <f t="shared" si="45"/>
        <v>0.92276995323071775</v>
      </c>
    </row>
    <row r="1014" spans="1:4">
      <c r="A1014">
        <v>1013</v>
      </c>
      <c r="B1014">
        <v>25437</v>
      </c>
      <c r="C1014">
        <f t="shared" si="44"/>
        <v>27438.711860857074</v>
      </c>
      <c r="D1014">
        <f t="shared" si="45"/>
        <v>0.9270478923716301</v>
      </c>
    </row>
    <row r="1015" spans="1:4">
      <c r="A1015">
        <v>1014</v>
      </c>
      <c r="B1015">
        <v>25647</v>
      </c>
      <c r="C1015">
        <f t="shared" si="44"/>
        <v>27417.668364763442</v>
      </c>
      <c r="D1015">
        <f t="shared" si="45"/>
        <v>0.93541871098568452</v>
      </c>
    </row>
    <row r="1016" spans="1:4">
      <c r="A1016">
        <v>1015</v>
      </c>
      <c r="B1016">
        <v>25769</v>
      </c>
      <c r="C1016">
        <f t="shared" si="44"/>
        <v>27396.584764322448</v>
      </c>
      <c r="D1016">
        <f t="shared" si="45"/>
        <v>0.94059169132489862</v>
      </c>
    </row>
    <row r="1017" spans="1:4">
      <c r="A1017">
        <v>1016</v>
      </c>
      <c r="B1017">
        <v>26013</v>
      </c>
      <c r="C1017">
        <f t="shared" si="44"/>
        <v>27375.461232810012</v>
      </c>
      <c r="D1017">
        <f t="shared" si="45"/>
        <v>0.95023056520497717</v>
      </c>
    </row>
    <row r="1018" spans="1:4">
      <c r="A1018">
        <v>1017</v>
      </c>
      <c r="B1018">
        <v>26262</v>
      </c>
      <c r="C1018">
        <f t="shared" si="44"/>
        <v>27354.297944065911</v>
      </c>
      <c r="D1018">
        <f t="shared" si="45"/>
        <v>0.96006850746820693</v>
      </c>
    </row>
    <row r="1019" spans="1:4">
      <c r="A1019">
        <v>1018</v>
      </c>
      <c r="B1019">
        <v>26576</v>
      </c>
      <c r="C1019">
        <f t="shared" si="44"/>
        <v>27333.095072493641</v>
      </c>
      <c r="D1019">
        <f t="shared" si="45"/>
        <v>0.97230115833989339</v>
      </c>
    </row>
    <row r="1020" spans="1:4">
      <c r="A1020">
        <v>1019</v>
      </c>
      <c r="B1020">
        <v>26711</v>
      </c>
      <c r="C1020">
        <f t="shared" si="44"/>
        <v>27311.852793060512</v>
      </c>
      <c r="D1020">
        <f t="shared" si="45"/>
        <v>0.97800029175563008</v>
      </c>
    </row>
    <row r="1021" spans="1:4">
      <c r="A1021">
        <v>1020</v>
      </c>
      <c r="B1021">
        <v>26781</v>
      </c>
      <c r="C1021">
        <f t="shared" si="44"/>
        <v>27290.571281297598</v>
      </c>
      <c r="D1021">
        <f t="shared" si="45"/>
        <v>0.98132793644936223</v>
      </c>
    </row>
    <row r="1022" spans="1:4">
      <c r="A1022">
        <v>1021</v>
      </c>
      <c r="B1022">
        <v>26376</v>
      </c>
      <c r="C1022">
        <f t="shared" si="44"/>
        <v>27269.250713299793</v>
      </c>
      <c r="D1022">
        <f t="shared" si="45"/>
        <v>0.96724329822292709</v>
      </c>
    </row>
    <row r="1023" spans="1:4">
      <c r="A1023">
        <v>1022</v>
      </c>
      <c r="B1023">
        <v>25883</v>
      </c>
      <c r="C1023">
        <f t="shared" si="44"/>
        <v>27247.89126572579</v>
      </c>
      <c r="D1023">
        <f t="shared" si="45"/>
        <v>0.94990837080142632</v>
      </c>
    </row>
    <row r="1024" spans="1:4">
      <c r="A1024">
        <v>1023</v>
      </c>
      <c r="B1024">
        <v>25354</v>
      </c>
      <c r="C1024">
        <f t="shared" si="44"/>
        <v>27226.493115798003</v>
      </c>
      <c r="D1024">
        <f t="shared" si="45"/>
        <v>0.93122532865933072</v>
      </c>
    </row>
    <row r="1025" spans="1:4">
      <c r="A1025">
        <v>1024</v>
      </c>
      <c r="B1025">
        <v>25044</v>
      </c>
      <c r="C1025">
        <f t="shared" si="44"/>
        <v>27205.056441302666</v>
      </c>
      <c r="D1025">
        <f t="shared" si="45"/>
        <v>0.92056416254951212</v>
      </c>
    </row>
    <row r="1026" spans="1:4">
      <c r="A1026">
        <v>1025</v>
      </c>
      <c r="B1026">
        <v>25072</v>
      </c>
      <c r="C1026">
        <f t="shared" ref="C1026:C1089" si="46" xml:space="preserve"> 0.00000002349111*A1026*A1026*A1026*A1026 - 0.0000664476*A1026*A1026*A1026 + 0.03716061*A1026*A1026 + 10.57172*A1026 + 22932.71</f>
        <v>27183.581420589842</v>
      </c>
      <c r="D1026">
        <f t="shared" ref="D1026:D1089" si="47">B1026/C1026</f>
        <v>0.92232144146427841</v>
      </c>
    </row>
    <row r="1027" spans="1:4">
      <c r="A1027">
        <v>1026</v>
      </c>
      <c r="B1027">
        <v>25079</v>
      </c>
      <c r="C1027">
        <f t="shared" si="46"/>
        <v>27162.068232573321</v>
      </c>
      <c r="D1027">
        <f t="shared" si="47"/>
        <v>0.92330966056276742</v>
      </c>
    </row>
    <row r="1028" spans="1:4">
      <c r="A1028">
        <v>1027</v>
      </c>
      <c r="B1028">
        <v>25184</v>
      </c>
      <c r="C1028">
        <f t="shared" si="46"/>
        <v>27140.517056730714</v>
      </c>
      <c r="D1028">
        <f t="shared" si="47"/>
        <v>0.92791157763718779</v>
      </c>
    </row>
    <row r="1029" spans="1:4">
      <c r="A1029">
        <v>1028</v>
      </c>
      <c r="B1029">
        <v>25224</v>
      </c>
      <c r="C1029">
        <f t="shared" si="46"/>
        <v>27118.928073103401</v>
      </c>
      <c r="D1029">
        <f t="shared" si="47"/>
        <v>0.93012525908121002</v>
      </c>
    </row>
    <row r="1030" spans="1:4">
      <c r="A1030">
        <v>1029</v>
      </c>
      <c r="B1030">
        <v>25243</v>
      </c>
      <c r="C1030">
        <f t="shared" si="46"/>
        <v>27097.301462296527</v>
      </c>
      <c r="D1030">
        <f t="shared" si="47"/>
        <v>0.93156877761881118</v>
      </c>
    </row>
    <row r="1031" spans="1:4">
      <c r="A1031">
        <v>1030</v>
      </c>
      <c r="B1031">
        <v>25163</v>
      </c>
      <c r="C1031">
        <f t="shared" si="46"/>
        <v>27075.637405479079</v>
      </c>
      <c r="D1031">
        <f t="shared" si="47"/>
        <v>0.92935946892640708</v>
      </c>
    </row>
    <row r="1032" spans="1:4">
      <c r="A1032">
        <v>1031</v>
      </c>
      <c r="B1032">
        <v>24832</v>
      </c>
      <c r="C1032">
        <f t="shared" si="46"/>
        <v>27053.936084383829</v>
      </c>
      <c r="D1032">
        <f t="shared" si="47"/>
        <v>0.9178701362547248</v>
      </c>
    </row>
    <row r="1033" spans="1:4">
      <c r="A1033">
        <v>1032</v>
      </c>
      <c r="B1033">
        <v>24652</v>
      </c>
      <c r="C1033">
        <f t="shared" si="46"/>
        <v>27032.197681307269</v>
      </c>
      <c r="D1033">
        <f t="shared" si="47"/>
        <v>0.91194953109738564</v>
      </c>
    </row>
    <row r="1034" spans="1:4">
      <c r="A1034">
        <v>1033</v>
      </c>
      <c r="B1034">
        <v>24587</v>
      </c>
      <c r="C1034">
        <f t="shared" si="46"/>
        <v>27010.422379109739</v>
      </c>
      <c r="D1034">
        <f t="shared" si="47"/>
        <v>0.91027824944403501</v>
      </c>
    </row>
    <row r="1035" spans="1:4">
      <c r="A1035">
        <v>1034</v>
      </c>
      <c r="B1035">
        <v>24450</v>
      </c>
      <c r="C1035">
        <f t="shared" si="46"/>
        <v>26988.610361215331</v>
      </c>
      <c r="D1035">
        <f t="shared" si="47"/>
        <v>0.90593771493831687</v>
      </c>
    </row>
    <row r="1036" spans="1:4">
      <c r="A1036">
        <v>1035</v>
      </c>
      <c r="B1036">
        <v>24337</v>
      </c>
      <c r="C1036">
        <f t="shared" si="46"/>
        <v>26966.761811611941</v>
      </c>
      <c r="D1036">
        <f t="shared" si="47"/>
        <v>0.90248136465240847</v>
      </c>
    </row>
    <row r="1037" spans="1:4">
      <c r="A1037">
        <v>1036</v>
      </c>
      <c r="B1037">
        <v>24349</v>
      </c>
      <c r="C1037">
        <f t="shared" si="46"/>
        <v>26944.876914851258</v>
      </c>
      <c r="D1037">
        <f t="shared" si="47"/>
        <v>0.90365972266065597</v>
      </c>
    </row>
    <row r="1038" spans="1:4">
      <c r="A1038">
        <v>1037</v>
      </c>
      <c r="B1038">
        <v>23977</v>
      </c>
      <c r="C1038">
        <f t="shared" si="46"/>
        <v>26922.955856048728</v>
      </c>
      <c r="D1038">
        <f t="shared" si="47"/>
        <v>0.89057829044477432</v>
      </c>
    </row>
    <row r="1039" spans="1:4">
      <c r="A1039">
        <v>1038</v>
      </c>
      <c r="B1039">
        <v>23468</v>
      </c>
      <c r="C1039">
        <f t="shared" si="46"/>
        <v>26900.998820883615</v>
      </c>
      <c r="D1039">
        <f t="shared" si="47"/>
        <v>0.8723839644861614</v>
      </c>
    </row>
    <row r="1040" spans="1:4">
      <c r="A1040">
        <v>1039</v>
      </c>
      <c r="B1040">
        <v>22924</v>
      </c>
      <c r="C1040">
        <f t="shared" si="46"/>
        <v>26879.005995598956</v>
      </c>
      <c r="D1040">
        <f t="shared" si="47"/>
        <v>0.8528589191041317</v>
      </c>
    </row>
    <row r="1041" spans="1:7">
      <c r="A1041">
        <v>1040</v>
      </c>
      <c r="B1041">
        <v>21915</v>
      </c>
      <c r="C1041">
        <f t="shared" si="46"/>
        <v>26856.977567001581</v>
      </c>
      <c r="D1041">
        <f t="shared" si="47"/>
        <v>0.81598906449273534</v>
      </c>
    </row>
    <row r="1042" spans="1:7">
      <c r="A1042">
        <v>1041</v>
      </c>
      <c r="B1042">
        <v>20970</v>
      </c>
      <c r="C1042">
        <f t="shared" si="46"/>
        <v>26834.913722462115</v>
      </c>
      <c r="D1042">
        <f t="shared" si="47"/>
        <v>0.78144465888284564</v>
      </c>
    </row>
    <row r="1043" spans="1:7" ht="17.25">
      <c r="A1043">
        <v>1042</v>
      </c>
      <c r="B1043">
        <v>19806</v>
      </c>
      <c r="C1043">
        <f t="shared" si="46"/>
        <v>26812.814649914944</v>
      </c>
      <c r="D1043">
        <f t="shared" si="47"/>
        <v>0.73867664617085727</v>
      </c>
      <c r="F1043">
        <v>1043</v>
      </c>
      <c r="G1043" t="s">
        <v>89</v>
      </c>
    </row>
    <row r="1044" spans="1:7" ht="17.25">
      <c r="A1044">
        <v>1043</v>
      </c>
      <c r="B1044">
        <v>19597</v>
      </c>
      <c r="C1044">
        <f t="shared" si="46"/>
        <v>26790.680537858228</v>
      </c>
      <c r="D1044">
        <f t="shared" si="47"/>
        <v>0.73148571094740378</v>
      </c>
      <c r="F1044">
        <v>1043</v>
      </c>
      <c r="G1044" t="s">
        <v>90</v>
      </c>
    </row>
    <row r="1045" spans="1:7">
      <c r="A1045">
        <v>1044</v>
      </c>
      <c r="B1045">
        <v>20127</v>
      </c>
      <c r="C1045">
        <f t="shared" si="46"/>
        <v>26768.511575353994</v>
      </c>
      <c r="D1045">
        <f t="shared" si="47"/>
        <v>0.75189089028510303</v>
      </c>
    </row>
    <row r="1046" spans="1:7">
      <c r="A1046">
        <v>1045</v>
      </c>
      <c r="B1046">
        <v>21501</v>
      </c>
      <c r="C1046">
        <f t="shared" si="46"/>
        <v>26746.30795202795</v>
      </c>
      <c r="D1046">
        <f t="shared" si="47"/>
        <v>0.80388665376036539</v>
      </c>
    </row>
    <row r="1047" spans="1:7">
      <c r="A1047">
        <v>1046</v>
      </c>
      <c r="B1047">
        <v>23030</v>
      </c>
      <c r="C1047">
        <f t="shared" si="46"/>
        <v>26724.069858069641</v>
      </c>
      <c r="D1047">
        <f t="shared" si="47"/>
        <v>0.86176993707587646</v>
      </c>
    </row>
    <row r="1048" spans="1:7">
      <c r="A1048">
        <v>1047</v>
      </c>
      <c r="B1048">
        <v>24394</v>
      </c>
      <c r="C1048">
        <f t="shared" si="46"/>
        <v>26701.797484232455</v>
      </c>
      <c r="D1048">
        <f t="shared" si="47"/>
        <v>0.91357145579449395</v>
      </c>
    </row>
    <row r="1049" spans="1:7">
      <c r="A1049">
        <v>1048</v>
      </c>
      <c r="B1049">
        <v>25444</v>
      </c>
      <c r="C1049">
        <f t="shared" si="46"/>
        <v>26679.491021833448</v>
      </c>
      <c r="D1049">
        <f t="shared" si="47"/>
        <v>0.95369135712437803</v>
      </c>
    </row>
    <row r="1050" spans="1:7">
      <c r="A1050">
        <v>1049</v>
      </c>
      <c r="B1050">
        <v>25661</v>
      </c>
      <c r="C1050">
        <f t="shared" si="46"/>
        <v>26657.150662753556</v>
      </c>
      <c r="D1050">
        <f t="shared" si="47"/>
        <v>0.96263101501896753</v>
      </c>
    </row>
    <row r="1051" spans="1:7">
      <c r="A1051">
        <v>1050</v>
      </c>
      <c r="B1051">
        <v>25601</v>
      </c>
      <c r="C1051">
        <f t="shared" si="46"/>
        <v>26634.7765994375</v>
      </c>
      <c r="D1051">
        <f t="shared" si="47"/>
        <v>0.96118696188128216</v>
      </c>
    </row>
    <row r="1052" spans="1:7">
      <c r="A1052">
        <v>1051</v>
      </c>
      <c r="B1052">
        <v>25544</v>
      </c>
      <c r="C1052">
        <f t="shared" si="46"/>
        <v>26612.369024893684</v>
      </c>
      <c r="D1052">
        <f t="shared" si="47"/>
        <v>0.95985441867673216</v>
      </c>
    </row>
    <row r="1053" spans="1:7">
      <c r="A1053">
        <v>1052</v>
      </c>
      <c r="B1053">
        <v>25542</v>
      </c>
      <c r="C1053">
        <f t="shared" si="46"/>
        <v>26589.928132694455</v>
      </c>
      <c r="D1053">
        <f t="shared" si="47"/>
        <v>0.96058928299975577</v>
      </c>
    </row>
    <row r="1054" spans="1:7">
      <c r="A1054">
        <v>1053</v>
      </c>
      <c r="B1054">
        <v>25752</v>
      </c>
      <c r="C1054">
        <f t="shared" si="46"/>
        <v>26567.454116975809</v>
      </c>
      <c r="D1054">
        <f t="shared" si="47"/>
        <v>0.96930627551343895</v>
      </c>
    </row>
    <row r="1055" spans="1:7">
      <c r="A1055">
        <v>1054</v>
      </c>
      <c r="B1055">
        <v>26034</v>
      </c>
      <c r="C1055">
        <f t="shared" si="46"/>
        <v>26544.947172437591</v>
      </c>
      <c r="D1055">
        <f t="shared" si="47"/>
        <v>0.98075162217809486</v>
      </c>
    </row>
    <row r="1056" spans="1:7">
      <c r="A1056">
        <v>1055</v>
      </c>
      <c r="B1056">
        <v>26480</v>
      </c>
      <c r="C1056">
        <f t="shared" si="46"/>
        <v>26522.407494343432</v>
      </c>
      <c r="D1056">
        <f t="shared" si="47"/>
        <v>0.99840106919583083</v>
      </c>
    </row>
    <row r="1057" spans="1:4">
      <c r="A1057">
        <v>1056</v>
      </c>
      <c r="B1057">
        <v>26794</v>
      </c>
      <c r="C1057">
        <f t="shared" si="46"/>
        <v>26499.835278520772</v>
      </c>
      <c r="D1057">
        <f t="shared" si="47"/>
        <v>1.0111006245279441</v>
      </c>
    </row>
    <row r="1058" spans="1:4">
      <c r="A1058">
        <v>1057</v>
      </c>
      <c r="B1058">
        <v>26754</v>
      </c>
      <c r="C1058">
        <f t="shared" si="46"/>
        <v>26477.230721360782</v>
      </c>
      <c r="D1058">
        <f t="shared" si="47"/>
        <v>1.0104531052190413</v>
      </c>
    </row>
    <row r="1059" spans="1:4">
      <c r="A1059">
        <v>1058</v>
      </c>
      <c r="B1059">
        <v>26693</v>
      </c>
      <c r="C1059">
        <f t="shared" si="46"/>
        <v>26454.594019818422</v>
      </c>
      <c r="D1059">
        <f t="shared" si="47"/>
        <v>1.009011893359731</v>
      </c>
    </row>
    <row r="1060" spans="1:4">
      <c r="A1060">
        <v>1059</v>
      </c>
      <c r="B1060">
        <v>26684</v>
      </c>
      <c r="C1060">
        <f t="shared" si="46"/>
        <v>26431.925371412519</v>
      </c>
      <c r="D1060">
        <f t="shared" si="47"/>
        <v>1.0095367486494236</v>
      </c>
    </row>
    <row r="1061" spans="1:4">
      <c r="A1061">
        <v>1060</v>
      </c>
      <c r="B1061">
        <v>26508</v>
      </c>
      <c r="C1061">
        <f t="shared" si="46"/>
        <v>26409.224974225592</v>
      </c>
      <c r="D1061">
        <f t="shared" si="47"/>
        <v>1.0037401713178182</v>
      </c>
    </row>
    <row r="1062" spans="1:4">
      <c r="A1062">
        <v>1061</v>
      </c>
      <c r="B1062">
        <v>26524</v>
      </c>
      <c r="C1062">
        <f t="shared" si="46"/>
        <v>26386.493026904031</v>
      </c>
      <c r="D1062">
        <f t="shared" si="47"/>
        <v>1.0052112636929722</v>
      </c>
    </row>
    <row r="1063" spans="1:4">
      <c r="A1063">
        <v>1062</v>
      </c>
      <c r="B1063">
        <v>26826</v>
      </c>
      <c r="C1063">
        <f t="shared" si="46"/>
        <v>26363.729728657894</v>
      </c>
      <c r="D1063">
        <f t="shared" si="47"/>
        <v>1.0175343275060056</v>
      </c>
    </row>
    <row r="1064" spans="1:4">
      <c r="A1064">
        <v>1063</v>
      </c>
      <c r="B1064">
        <v>26887</v>
      </c>
      <c r="C1064">
        <f t="shared" si="46"/>
        <v>26340.935279261164</v>
      </c>
      <c r="D1064">
        <f t="shared" si="47"/>
        <v>1.0207306504096978</v>
      </c>
    </row>
    <row r="1065" spans="1:4">
      <c r="A1065">
        <v>1064</v>
      </c>
      <c r="B1065">
        <v>26841</v>
      </c>
      <c r="C1065">
        <f t="shared" si="46"/>
        <v>26318.109879051506</v>
      </c>
      <c r="D1065">
        <f t="shared" si="47"/>
        <v>1.0198680727207048</v>
      </c>
    </row>
    <row r="1066" spans="1:4">
      <c r="A1066">
        <v>1065</v>
      </c>
      <c r="B1066">
        <v>26610</v>
      </c>
      <c r="C1066">
        <f t="shared" si="46"/>
        <v>26295.253728930449</v>
      </c>
      <c r="D1066">
        <f t="shared" si="47"/>
        <v>1.0119696989545783</v>
      </c>
    </row>
    <row r="1067" spans="1:4">
      <c r="A1067">
        <v>1066</v>
      </c>
      <c r="B1067">
        <v>26313</v>
      </c>
      <c r="C1067">
        <f t="shared" si="46"/>
        <v>26272.367030363235</v>
      </c>
      <c r="D1067">
        <f t="shared" si="47"/>
        <v>1.0015466048258919</v>
      </c>
    </row>
    <row r="1068" spans="1:4">
      <c r="A1068">
        <v>1067</v>
      </c>
      <c r="B1068">
        <v>25935</v>
      </c>
      <c r="C1068">
        <f t="shared" si="46"/>
        <v>26249.449985378949</v>
      </c>
      <c r="D1068">
        <f t="shared" si="47"/>
        <v>0.98802070193645586</v>
      </c>
    </row>
    <row r="1069" spans="1:4">
      <c r="A1069">
        <v>1068</v>
      </c>
      <c r="B1069">
        <v>25555</v>
      </c>
      <c r="C1069">
        <f t="shared" si="46"/>
        <v>26226.502796570461</v>
      </c>
      <c r="D1069">
        <f t="shared" si="47"/>
        <v>0.97439602215441889</v>
      </c>
    </row>
    <row r="1070" spans="1:4">
      <c r="A1070">
        <v>1069</v>
      </c>
      <c r="B1070">
        <v>25392</v>
      </c>
      <c r="C1070">
        <f t="shared" si="46"/>
        <v>26203.525667094353</v>
      </c>
      <c r="D1070">
        <f t="shared" si="47"/>
        <v>0.96902990546369705</v>
      </c>
    </row>
    <row r="1071" spans="1:4">
      <c r="A1071">
        <v>1070</v>
      </c>
      <c r="B1071">
        <v>25270</v>
      </c>
      <c r="C1071">
        <f t="shared" si="46"/>
        <v>26180.5188006711</v>
      </c>
      <c r="D1071">
        <f t="shared" si="47"/>
        <v>0.96522151422577007</v>
      </c>
    </row>
    <row r="1072" spans="1:4">
      <c r="A1072">
        <v>1071</v>
      </c>
      <c r="B1072">
        <v>24929</v>
      </c>
      <c r="C1072">
        <f t="shared" si="46"/>
        <v>26157.482401584912</v>
      </c>
      <c r="D1072">
        <f t="shared" si="47"/>
        <v>0.95303514372199383</v>
      </c>
    </row>
    <row r="1073" spans="1:4">
      <c r="A1073">
        <v>1072</v>
      </c>
      <c r="B1073">
        <v>24451</v>
      </c>
      <c r="C1073">
        <f t="shared" si="46"/>
        <v>26134.416674683718</v>
      </c>
      <c r="D1073">
        <f t="shared" si="47"/>
        <v>0.93558621584561952</v>
      </c>
    </row>
    <row r="1074" spans="1:4">
      <c r="A1074">
        <v>1073</v>
      </c>
      <c r="B1074">
        <v>23969</v>
      </c>
      <c r="C1074">
        <f t="shared" si="46"/>
        <v>26111.321825379422</v>
      </c>
      <c r="D1074">
        <f t="shared" si="47"/>
        <v>0.91795429432082032</v>
      </c>
    </row>
    <row r="1075" spans="1:4">
      <c r="A1075">
        <v>1074</v>
      </c>
      <c r="B1075">
        <v>23634</v>
      </c>
      <c r="C1075">
        <f t="shared" si="46"/>
        <v>26088.198059647493</v>
      </c>
      <c r="D1075">
        <f t="shared" si="47"/>
        <v>0.90592688486815887</v>
      </c>
    </row>
    <row r="1076" spans="1:4">
      <c r="A1076">
        <v>1075</v>
      </c>
      <c r="B1076">
        <v>23501</v>
      </c>
      <c r="C1076">
        <f t="shared" si="46"/>
        <v>26065.045584027339</v>
      </c>
      <c r="D1076">
        <f t="shared" si="47"/>
        <v>0.90162896221449207</v>
      </c>
    </row>
    <row r="1077" spans="1:4">
      <c r="A1077">
        <v>1076</v>
      </c>
      <c r="B1077">
        <v>23834</v>
      </c>
      <c r="C1077">
        <f t="shared" si="46"/>
        <v>26041.8646056221</v>
      </c>
      <c r="D1077">
        <f t="shared" si="47"/>
        <v>0.91521864355498372</v>
      </c>
    </row>
    <row r="1078" spans="1:4">
      <c r="A1078">
        <v>1077</v>
      </c>
      <c r="B1078">
        <v>24205</v>
      </c>
      <c r="C1078">
        <f t="shared" si="46"/>
        <v>26018.655332098675</v>
      </c>
      <c r="D1078">
        <f t="shared" si="47"/>
        <v>0.93029404060473464</v>
      </c>
    </row>
    <row r="1079" spans="1:4">
      <c r="A1079">
        <v>1078</v>
      </c>
      <c r="B1079">
        <v>24427</v>
      </c>
      <c r="C1079">
        <f t="shared" si="46"/>
        <v>25995.417971687843</v>
      </c>
      <c r="D1079">
        <f t="shared" si="47"/>
        <v>0.93966559901456326</v>
      </c>
    </row>
    <row r="1080" spans="1:4">
      <c r="A1080">
        <v>1079</v>
      </c>
      <c r="B1080">
        <v>24643</v>
      </c>
      <c r="C1080">
        <f t="shared" si="46"/>
        <v>25972.152733184048</v>
      </c>
      <c r="D1080">
        <f t="shared" si="47"/>
        <v>0.94882392896581813</v>
      </c>
    </row>
    <row r="1081" spans="1:4">
      <c r="A1081">
        <v>1080</v>
      </c>
      <c r="B1081">
        <v>24703</v>
      </c>
      <c r="C1081">
        <f t="shared" si="46"/>
        <v>25948.859825945598</v>
      </c>
      <c r="D1081">
        <f t="shared" si="47"/>
        <v>0.95198787791439321</v>
      </c>
    </row>
    <row r="1082" spans="1:4">
      <c r="A1082">
        <v>1081</v>
      </c>
      <c r="B1082">
        <v>24869</v>
      </c>
      <c r="C1082">
        <f t="shared" si="46"/>
        <v>25925.539459894593</v>
      </c>
      <c r="D1082">
        <f t="shared" si="47"/>
        <v>0.95924715620560175</v>
      </c>
    </row>
    <row r="1083" spans="1:4">
      <c r="A1083">
        <v>1082</v>
      </c>
      <c r="B1083">
        <v>24985</v>
      </c>
      <c r="C1083">
        <f t="shared" si="46"/>
        <v>25902.191845516878</v>
      </c>
      <c r="D1083">
        <f t="shared" si="47"/>
        <v>0.96459018406677333</v>
      </c>
    </row>
    <row r="1084" spans="1:4">
      <c r="A1084">
        <v>1083</v>
      </c>
      <c r="B1084">
        <v>25204</v>
      </c>
      <c r="C1084">
        <f t="shared" si="46"/>
        <v>25878.817193862094</v>
      </c>
      <c r="D1084">
        <f t="shared" si="47"/>
        <v>0.97392395530263465</v>
      </c>
    </row>
    <row r="1085" spans="1:4">
      <c r="A1085">
        <v>1084</v>
      </c>
      <c r="B1085">
        <v>25756</v>
      </c>
      <c r="C1085">
        <f t="shared" si="46"/>
        <v>25855.415716543721</v>
      </c>
      <c r="D1085">
        <f t="shared" si="47"/>
        <v>0.99615493644992492</v>
      </c>
    </row>
    <row r="1086" spans="1:4">
      <c r="A1086">
        <v>1085</v>
      </c>
      <c r="B1086">
        <v>26046</v>
      </c>
      <c r="C1086">
        <f t="shared" si="46"/>
        <v>25831.987625738941</v>
      </c>
      <c r="D1086">
        <f t="shared" si="47"/>
        <v>1.0082847815414644</v>
      </c>
    </row>
    <row r="1087" spans="1:4">
      <c r="A1087">
        <v>1086</v>
      </c>
      <c r="B1087">
        <v>26259</v>
      </c>
      <c r="C1087">
        <f t="shared" si="46"/>
        <v>25808.533134188787</v>
      </c>
      <c r="D1087">
        <f t="shared" si="47"/>
        <v>1.0174541832140966</v>
      </c>
    </row>
    <row r="1088" spans="1:4">
      <c r="A1088">
        <v>1087</v>
      </c>
      <c r="B1088">
        <v>26079</v>
      </c>
      <c r="C1088">
        <f t="shared" si="46"/>
        <v>25785.052455198042</v>
      </c>
      <c r="D1088">
        <f t="shared" si="47"/>
        <v>1.011399920372964</v>
      </c>
    </row>
    <row r="1089" spans="1:4">
      <c r="A1089">
        <v>1088</v>
      </c>
      <c r="B1089">
        <v>25853</v>
      </c>
      <c r="C1089">
        <f t="shared" si="46"/>
        <v>25761.545802635308</v>
      </c>
      <c r="D1089">
        <f t="shared" si="47"/>
        <v>1.0035500275513489</v>
      </c>
    </row>
    <row r="1090" spans="1:4">
      <c r="A1090">
        <v>1089</v>
      </c>
      <c r="B1090">
        <v>25322</v>
      </c>
      <c r="C1090">
        <f t="shared" ref="C1090:C1153" si="48" xml:space="preserve"> 0.00000002349111*A1090*A1090*A1090*A1090 - 0.0000664476*A1090*A1090*A1090 + 0.03716061*A1090*A1090 + 10.57172*A1090 + 22932.71</f>
        <v>25738.013390932938</v>
      </c>
      <c r="D1090">
        <f t="shared" ref="D1090:D1153" si="49">B1090/C1090</f>
        <v>0.98383661611274587</v>
      </c>
    </row>
    <row r="1091" spans="1:4">
      <c r="A1091">
        <v>1090</v>
      </c>
      <c r="B1091">
        <v>25033</v>
      </c>
      <c r="C1091">
        <f t="shared" si="48"/>
        <v>25714.455435087097</v>
      </c>
      <c r="D1091">
        <f t="shared" si="49"/>
        <v>0.97349913021462398</v>
      </c>
    </row>
    <row r="1092" spans="1:4">
      <c r="A1092">
        <v>1091</v>
      </c>
      <c r="B1092">
        <v>24676</v>
      </c>
      <c r="C1092">
        <f t="shared" si="48"/>
        <v>25690.872150657728</v>
      </c>
      <c r="D1092">
        <f t="shared" si="49"/>
        <v>0.96049678093035296</v>
      </c>
    </row>
    <row r="1093" spans="1:4">
      <c r="A1093">
        <v>1092</v>
      </c>
      <c r="B1093">
        <v>24608</v>
      </c>
      <c r="C1093">
        <f t="shared" si="48"/>
        <v>25667.263753768581</v>
      </c>
      <c r="D1093">
        <f t="shared" si="49"/>
        <v>0.95873094366698697</v>
      </c>
    </row>
    <row r="1094" spans="1:4">
      <c r="A1094">
        <v>1093</v>
      </c>
      <c r="B1094">
        <v>24357</v>
      </c>
      <c r="C1094">
        <f t="shared" si="48"/>
        <v>25643.630461107146</v>
      </c>
      <c r="D1094">
        <f t="shared" si="49"/>
        <v>0.94982650904057686</v>
      </c>
    </row>
    <row r="1095" spans="1:4">
      <c r="A1095">
        <v>1094</v>
      </c>
      <c r="B1095">
        <v>24224</v>
      </c>
      <c r="C1095">
        <f t="shared" si="48"/>
        <v>25619.972489924752</v>
      </c>
      <c r="D1095">
        <f t="shared" si="49"/>
        <v>0.94551233454783257</v>
      </c>
    </row>
    <row r="1096" spans="1:4">
      <c r="A1096">
        <v>1095</v>
      </c>
      <c r="B1096">
        <v>23810</v>
      </c>
      <c r="C1096">
        <f t="shared" si="48"/>
        <v>25596.290058036459</v>
      </c>
      <c r="D1096">
        <f t="shared" si="49"/>
        <v>0.93021293109328484</v>
      </c>
    </row>
    <row r="1097" spans="1:4">
      <c r="A1097">
        <v>1096</v>
      </c>
      <c r="B1097">
        <v>23164</v>
      </c>
      <c r="C1097">
        <f t="shared" si="48"/>
        <v>25572.58338382114</v>
      </c>
      <c r="D1097">
        <f t="shared" si="49"/>
        <v>0.90581384181369162</v>
      </c>
    </row>
    <row r="1098" spans="1:4">
      <c r="A1098">
        <v>1097</v>
      </c>
      <c r="B1098">
        <v>22416</v>
      </c>
      <c r="C1098">
        <f t="shared" si="48"/>
        <v>25548.852686221515</v>
      </c>
      <c r="D1098">
        <f t="shared" si="49"/>
        <v>0.87737795020787523</v>
      </c>
    </row>
    <row r="1099" spans="1:4">
      <c r="A1099">
        <v>1098</v>
      </c>
      <c r="B1099">
        <v>21895</v>
      </c>
      <c r="C1099">
        <f t="shared" si="48"/>
        <v>25525.098184743976</v>
      </c>
      <c r="D1099">
        <f t="shared" si="49"/>
        <v>0.85778318428120137</v>
      </c>
    </row>
    <row r="1100" spans="1:4">
      <c r="A1100">
        <v>1099</v>
      </c>
      <c r="B1100">
        <v>21873</v>
      </c>
      <c r="C1100">
        <f t="shared" si="48"/>
        <v>25501.32009945879</v>
      </c>
      <c r="D1100">
        <f t="shared" si="49"/>
        <v>0.85772030289773926</v>
      </c>
    </row>
    <row r="1101" spans="1:4">
      <c r="A1101">
        <v>1100</v>
      </c>
      <c r="B1101">
        <v>22323</v>
      </c>
      <c r="C1101">
        <f t="shared" si="48"/>
        <v>25477.518650999991</v>
      </c>
      <c r="D1101">
        <f t="shared" si="49"/>
        <v>0.87618422758465231</v>
      </c>
    </row>
    <row r="1102" spans="1:4">
      <c r="A1102">
        <v>1101</v>
      </c>
      <c r="B1102">
        <v>22813</v>
      </c>
      <c r="C1102">
        <f t="shared" si="48"/>
        <v>25453.694060565373</v>
      </c>
      <c r="D1102">
        <f t="shared" si="49"/>
        <v>0.89625497759649275</v>
      </c>
    </row>
    <row r="1103" spans="1:4">
      <c r="A1103">
        <v>1102</v>
      </c>
      <c r="B1103">
        <v>22991</v>
      </c>
      <c r="C1103">
        <f t="shared" si="48"/>
        <v>25429.846549916532</v>
      </c>
      <c r="D1103">
        <f t="shared" si="49"/>
        <v>0.90409511338854154</v>
      </c>
    </row>
    <row r="1104" spans="1:4">
      <c r="A1104">
        <v>1103</v>
      </c>
      <c r="B1104">
        <v>23100</v>
      </c>
      <c r="C1104">
        <f t="shared" si="48"/>
        <v>25405.976341378853</v>
      </c>
      <c r="D1104">
        <f t="shared" si="49"/>
        <v>0.90923488590268831</v>
      </c>
    </row>
    <row r="1105" spans="1:7">
      <c r="A1105">
        <v>1104</v>
      </c>
      <c r="B1105">
        <v>23062</v>
      </c>
      <c r="C1105">
        <f t="shared" si="48"/>
        <v>25382.083657841496</v>
      </c>
      <c r="D1105">
        <f t="shared" si="49"/>
        <v>0.9085936486099031</v>
      </c>
    </row>
    <row r="1106" spans="1:7">
      <c r="A1106">
        <v>1105</v>
      </c>
      <c r="B1106">
        <v>23250</v>
      </c>
      <c r="C1106">
        <f t="shared" si="48"/>
        <v>25358.168722757451</v>
      </c>
      <c r="D1106">
        <f t="shared" si="49"/>
        <v>0.9168643151717224</v>
      </c>
    </row>
    <row r="1107" spans="1:7">
      <c r="A1107">
        <v>1106</v>
      </c>
      <c r="B1107">
        <v>23188</v>
      </c>
      <c r="C1107">
        <f t="shared" si="48"/>
        <v>25334.231760143412</v>
      </c>
      <c r="D1107">
        <f t="shared" si="49"/>
        <v>0.91528332966780823</v>
      </c>
    </row>
    <row r="1108" spans="1:7">
      <c r="A1108">
        <v>1107</v>
      </c>
      <c r="B1108">
        <v>22804</v>
      </c>
      <c r="C1108">
        <f t="shared" si="48"/>
        <v>25310.272994579966</v>
      </c>
      <c r="D1108">
        <f t="shared" si="49"/>
        <v>0.90097803389490627</v>
      </c>
    </row>
    <row r="1109" spans="1:7">
      <c r="A1109">
        <v>1108</v>
      </c>
      <c r="B1109">
        <v>21716</v>
      </c>
      <c r="C1109">
        <f t="shared" si="48"/>
        <v>25286.292651211392</v>
      </c>
      <c r="D1109">
        <f t="shared" si="49"/>
        <v>0.8588052151235247</v>
      </c>
    </row>
    <row r="1110" spans="1:7">
      <c r="A1110">
        <v>1109</v>
      </c>
      <c r="B1110">
        <v>20763</v>
      </c>
      <c r="C1110">
        <f t="shared" si="48"/>
        <v>25262.290955745804</v>
      </c>
      <c r="D1110">
        <f t="shared" si="49"/>
        <v>0.82189695449127664</v>
      </c>
    </row>
    <row r="1111" spans="1:7">
      <c r="A1111">
        <v>1110</v>
      </c>
      <c r="B1111">
        <v>19414</v>
      </c>
      <c r="C1111">
        <f t="shared" si="48"/>
        <v>25238.268134455102</v>
      </c>
      <c r="D1111">
        <f t="shared" si="49"/>
        <v>0.76922869257800408</v>
      </c>
    </row>
    <row r="1112" spans="1:7">
      <c r="A1112">
        <v>1111</v>
      </c>
      <c r="B1112">
        <v>18002</v>
      </c>
      <c r="C1112">
        <f t="shared" si="48"/>
        <v>25214.224414174932</v>
      </c>
      <c r="D1112">
        <f t="shared" si="49"/>
        <v>0.7139620757035714</v>
      </c>
    </row>
    <row r="1113" spans="1:7">
      <c r="A1113">
        <v>1112</v>
      </c>
      <c r="B1113">
        <v>16571</v>
      </c>
      <c r="C1113">
        <f t="shared" si="48"/>
        <v>25190.160022304808</v>
      </c>
      <c r="D1113">
        <f t="shared" si="49"/>
        <v>0.65783623388367085</v>
      </c>
    </row>
    <row r="1114" spans="1:7">
      <c r="A1114">
        <v>1113</v>
      </c>
      <c r="B1114">
        <v>15358</v>
      </c>
      <c r="C1114">
        <f t="shared" si="48"/>
        <v>25166.075186807939</v>
      </c>
      <c r="D1114">
        <f t="shared" si="49"/>
        <v>0.61026599841244478</v>
      </c>
    </row>
    <row r="1115" spans="1:7" ht="17.25">
      <c r="A1115">
        <v>1114</v>
      </c>
      <c r="B1115">
        <v>14699</v>
      </c>
      <c r="C1115">
        <f t="shared" si="48"/>
        <v>25141.970136211377</v>
      </c>
      <c r="D1115">
        <f t="shared" si="49"/>
        <v>0.58463994350344817</v>
      </c>
      <c r="F1115">
        <v>1114.5</v>
      </c>
      <c r="G1115" t="s">
        <v>91</v>
      </c>
    </row>
    <row r="1116" spans="1:7" ht="17.25">
      <c r="A1116">
        <v>1115</v>
      </c>
      <c r="B1116">
        <v>14941</v>
      </c>
      <c r="C1116">
        <f t="shared" si="48"/>
        <v>25117.845099605933</v>
      </c>
      <c r="D1116">
        <f t="shared" si="49"/>
        <v>0.59483605941317019</v>
      </c>
      <c r="F1116">
        <v>1114.5</v>
      </c>
      <c r="G1116" t="s">
        <v>92</v>
      </c>
    </row>
    <row r="1117" spans="1:7">
      <c r="A1117">
        <v>1116</v>
      </c>
      <c r="B1117">
        <v>15936</v>
      </c>
      <c r="C1117">
        <f t="shared" si="48"/>
        <v>25093.700306646235</v>
      </c>
      <c r="D1117">
        <f t="shared" si="49"/>
        <v>0.63505978812456143</v>
      </c>
    </row>
    <row r="1118" spans="1:7">
      <c r="A1118">
        <v>1117</v>
      </c>
      <c r="B1118">
        <v>17428</v>
      </c>
      <c r="C1118">
        <f t="shared" si="48"/>
        <v>25069.535987550677</v>
      </c>
      <c r="D1118">
        <f t="shared" si="49"/>
        <v>0.69518638113823084</v>
      </c>
    </row>
    <row r="1119" spans="1:7">
      <c r="A1119">
        <v>1118</v>
      </c>
      <c r="B1119">
        <v>18828</v>
      </c>
      <c r="C1119">
        <f t="shared" si="48"/>
        <v>25045.352373101465</v>
      </c>
      <c r="D1119">
        <f t="shared" si="49"/>
        <v>0.75175624281577857</v>
      </c>
    </row>
    <row r="1120" spans="1:7">
      <c r="A1120">
        <v>1119</v>
      </c>
      <c r="B1120">
        <v>19691</v>
      </c>
      <c r="C1120">
        <f t="shared" si="48"/>
        <v>25021.149694644497</v>
      </c>
      <c r="D1120">
        <f t="shared" si="49"/>
        <v>0.78697422941419204</v>
      </c>
    </row>
    <row r="1121" spans="1:7">
      <c r="A1121">
        <v>1120</v>
      </c>
      <c r="B1121">
        <v>19949</v>
      </c>
      <c r="C1121">
        <f t="shared" si="48"/>
        <v>24996.9281840896</v>
      </c>
      <c r="D1121">
        <f t="shared" si="49"/>
        <v>0.79805805949778352</v>
      </c>
    </row>
    <row r="1122" spans="1:7">
      <c r="A1122">
        <v>1121</v>
      </c>
      <c r="B1122">
        <v>19217</v>
      </c>
      <c r="C1122">
        <f t="shared" si="48"/>
        <v>24972.688073910293</v>
      </c>
      <c r="D1122">
        <f t="shared" si="49"/>
        <v>0.7695206836814884</v>
      </c>
    </row>
    <row r="1123" spans="1:7">
      <c r="A1123">
        <v>1122</v>
      </c>
      <c r="B1123">
        <v>17826</v>
      </c>
      <c r="C1123">
        <f t="shared" si="48"/>
        <v>24948.429597143884</v>
      </c>
      <c r="D1123">
        <f t="shared" si="49"/>
        <v>0.7145139108090689</v>
      </c>
    </row>
    <row r="1124" spans="1:7">
      <c r="A1124">
        <v>1123</v>
      </c>
      <c r="B1124">
        <v>16119</v>
      </c>
      <c r="C1124">
        <f t="shared" si="48"/>
        <v>24924.152987391564</v>
      </c>
      <c r="D1124">
        <f t="shared" si="49"/>
        <v>0.64672207750265998</v>
      </c>
    </row>
    <row r="1125" spans="1:7" ht="17.25">
      <c r="A1125">
        <v>1124</v>
      </c>
      <c r="B1125">
        <v>15103</v>
      </c>
      <c r="C1125">
        <f t="shared" si="48"/>
        <v>24899.858478818132</v>
      </c>
      <c r="D1125">
        <f t="shared" si="49"/>
        <v>0.60654963211328505</v>
      </c>
      <c r="F1125">
        <v>1124.5</v>
      </c>
      <c r="G1125" t="s">
        <v>93</v>
      </c>
    </row>
    <row r="1126" spans="1:7" ht="17.25">
      <c r="A1126">
        <v>1125</v>
      </c>
      <c r="B1126">
        <v>14898</v>
      </c>
      <c r="C1126">
        <f t="shared" si="48"/>
        <v>24875.546306152319</v>
      </c>
      <c r="D1126">
        <f t="shared" si="49"/>
        <v>0.59890141975757805</v>
      </c>
      <c r="F1126">
        <v>1124.5</v>
      </c>
      <c r="G1126" t="s">
        <v>94</v>
      </c>
    </row>
    <row r="1127" spans="1:7">
      <c r="A1127">
        <v>1126</v>
      </c>
      <c r="B1127">
        <v>15743</v>
      </c>
      <c r="C1127">
        <f t="shared" si="48"/>
        <v>24851.216704686667</v>
      </c>
      <c r="D1127">
        <f t="shared" si="49"/>
        <v>0.63349010984363763</v>
      </c>
    </row>
    <row r="1128" spans="1:7">
      <c r="A1128">
        <v>1127</v>
      </c>
      <c r="B1128">
        <v>17172</v>
      </c>
      <c r="C1128">
        <f t="shared" si="48"/>
        <v>24826.869910277353</v>
      </c>
      <c r="D1128">
        <f t="shared" si="49"/>
        <v>0.69166995525648056</v>
      </c>
    </row>
    <row r="1129" spans="1:7">
      <c r="A1129">
        <v>1128</v>
      </c>
      <c r="B1129">
        <v>18683</v>
      </c>
      <c r="C1129">
        <f t="shared" si="48"/>
        <v>24802.506159344484</v>
      </c>
      <c r="D1129">
        <f t="shared" si="49"/>
        <v>0.75327065256915882</v>
      </c>
    </row>
    <row r="1130" spans="1:7">
      <c r="A1130">
        <v>1129</v>
      </c>
      <c r="B1130">
        <v>20440</v>
      </c>
      <c r="C1130">
        <f t="shared" si="48"/>
        <v>24778.125688871834</v>
      </c>
      <c r="D1130">
        <f t="shared" si="49"/>
        <v>0.82492115249782028</v>
      </c>
    </row>
    <row r="1131" spans="1:7">
      <c r="A1131">
        <v>1130</v>
      </c>
      <c r="B1131">
        <v>21711</v>
      </c>
      <c r="C1131">
        <f t="shared" si="48"/>
        <v>24753.728736407094</v>
      </c>
      <c r="D1131">
        <f t="shared" si="49"/>
        <v>0.87707998383565</v>
      </c>
    </row>
    <row r="1132" spans="1:7">
      <c r="A1132">
        <v>1131</v>
      </c>
      <c r="B1132">
        <v>22596</v>
      </c>
      <c r="C1132">
        <f t="shared" si="48"/>
        <v>24729.315540061645</v>
      </c>
      <c r="D1132">
        <f t="shared" si="49"/>
        <v>0.91373333658969813</v>
      </c>
    </row>
    <row r="1133" spans="1:7">
      <c r="A1133">
        <v>1132</v>
      </c>
      <c r="B1133">
        <v>23066</v>
      </c>
      <c r="C1133">
        <f t="shared" si="48"/>
        <v>24704.886338510667</v>
      </c>
      <c r="D1133">
        <f t="shared" si="49"/>
        <v>0.933661449963608</v>
      </c>
    </row>
    <row r="1134" spans="1:7">
      <c r="A1134">
        <v>1133</v>
      </c>
      <c r="B1134">
        <v>23406</v>
      </c>
      <c r="C1134">
        <f t="shared" si="48"/>
        <v>24680.441370993147</v>
      </c>
      <c r="D1134">
        <f t="shared" si="49"/>
        <v>0.94836229418121365</v>
      </c>
    </row>
    <row r="1135" spans="1:7">
      <c r="A1135">
        <v>1134</v>
      </c>
      <c r="B1135">
        <v>23496</v>
      </c>
      <c r="C1135">
        <f t="shared" si="48"/>
        <v>24655.980877311915</v>
      </c>
      <c r="D1135">
        <f t="shared" si="49"/>
        <v>0.95295336725462365</v>
      </c>
    </row>
    <row r="1136" spans="1:7">
      <c r="A1136">
        <v>1135</v>
      </c>
      <c r="B1136">
        <v>23192</v>
      </c>
      <c r="C1136">
        <f t="shared" si="48"/>
        <v>24631.505097833426</v>
      </c>
      <c r="D1136">
        <f t="shared" si="49"/>
        <v>0.94155837850282065</v>
      </c>
    </row>
    <row r="1137" spans="1:4">
      <c r="A1137">
        <v>1136</v>
      </c>
      <c r="B1137">
        <v>22942</v>
      </c>
      <c r="C1137">
        <f t="shared" si="48"/>
        <v>24607.014273488116</v>
      </c>
      <c r="D1137">
        <f t="shared" si="49"/>
        <v>0.93233578625253932</v>
      </c>
    </row>
    <row r="1138" spans="1:4">
      <c r="A1138">
        <v>1137</v>
      </c>
      <c r="B1138">
        <v>22834</v>
      </c>
      <c r="C1138">
        <f t="shared" si="48"/>
        <v>24582.508645770045</v>
      </c>
      <c r="D1138">
        <f t="shared" si="49"/>
        <v>0.92887183846995558</v>
      </c>
    </row>
    <row r="1139" spans="1:4">
      <c r="A1139">
        <v>1138</v>
      </c>
      <c r="B1139">
        <v>22558</v>
      </c>
      <c r="C1139">
        <f t="shared" si="48"/>
        <v>24557.988456737185</v>
      </c>
      <c r="D1139">
        <f t="shared" si="49"/>
        <v>0.91856057509512701</v>
      </c>
    </row>
    <row r="1140" spans="1:4">
      <c r="A1140">
        <v>1139</v>
      </c>
      <c r="B1140" s="5">
        <v>22400</v>
      </c>
      <c r="C1140">
        <f t="shared" si="48"/>
        <v>24533.453949011215</v>
      </c>
      <c r="D1140">
        <f t="shared" si="49"/>
        <v>0.91303898939606098</v>
      </c>
    </row>
    <row r="1141" spans="1:4">
      <c r="A1141">
        <v>1140</v>
      </c>
      <c r="B1141">
        <v>22278</v>
      </c>
      <c r="C1141">
        <f t="shared" si="48"/>
        <v>24508.905365777602</v>
      </c>
      <c r="D1141">
        <f t="shared" si="49"/>
        <v>0.9089757240283497</v>
      </c>
    </row>
    <row r="1142" spans="1:4">
      <c r="A1142">
        <v>1141</v>
      </c>
      <c r="B1142">
        <v>22892</v>
      </c>
      <c r="C1142">
        <f t="shared" si="48"/>
        <v>24484.342950785642</v>
      </c>
      <c r="D1142">
        <f t="shared" si="49"/>
        <v>0.93496484859788542</v>
      </c>
    </row>
    <row r="1143" spans="1:4">
      <c r="A1143">
        <v>1142</v>
      </c>
      <c r="B1143">
        <v>23163</v>
      </c>
      <c r="C1143">
        <f t="shared" si="48"/>
        <v>24459.766948348424</v>
      </c>
      <c r="D1143">
        <f t="shared" si="49"/>
        <v>0.94698367522933469</v>
      </c>
    </row>
    <row r="1144" spans="1:4">
      <c r="A1144">
        <v>1143</v>
      </c>
      <c r="B1144">
        <v>23352</v>
      </c>
      <c r="C1144">
        <f t="shared" si="48"/>
        <v>24435.177603342741</v>
      </c>
      <c r="D1144">
        <f t="shared" si="49"/>
        <v>0.95567138406251806</v>
      </c>
    </row>
    <row r="1145" spans="1:4">
      <c r="A1145">
        <v>1144</v>
      </c>
      <c r="B1145">
        <v>23136</v>
      </c>
      <c r="C1145">
        <f t="shared" si="48"/>
        <v>24410.575161209297</v>
      </c>
      <c r="D1145">
        <f t="shared" si="49"/>
        <v>0.94778594306803887</v>
      </c>
    </row>
    <row r="1146" spans="1:4">
      <c r="A1146">
        <v>1145</v>
      </c>
      <c r="B1146">
        <v>22736</v>
      </c>
      <c r="C1146">
        <f t="shared" si="48"/>
        <v>24385.959867952446</v>
      </c>
      <c r="D1146">
        <f t="shared" si="49"/>
        <v>0.93233976120329831</v>
      </c>
    </row>
    <row r="1147" spans="1:4">
      <c r="A1147">
        <v>1146</v>
      </c>
      <c r="B1147">
        <v>22253</v>
      </c>
      <c r="C1147">
        <f t="shared" si="48"/>
        <v>24361.331970140422</v>
      </c>
      <c r="D1147">
        <f t="shared" si="49"/>
        <v>0.91345580066292786</v>
      </c>
    </row>
    <row r="1148" spans="1:4">
      <c r="A1148">
        <v>1147</v>
      </c>
      <c r="B1148">
        <v>22033</v>
      </c>
      <c r="C1148">
        <f t="shared" si="48"/>
        <v>24336.691714905286</v>
      </c>
      <c r="D1148">
        <f t="shared" si="49"/>
        <v>0.90534080219726976</v>
      </c>
    </row>
    <row r="1149" spans="1:4">
      <c r="A1149">
        <v>1148</v>
      </c>
      <c r="B1149">
        <v>22196</v>
      </c>
      <c r="C1149">
        <f t="shared" si="48"/>
        <v>24312.039349942712</v>
      </c>
      <c r="D1149">
        <f t="shared" si="49"/>
        <v>0.91296331338211256</v>
      </c>
    </row>
    <row r="1150" spans="1:4">
      <c r="A1150">
        <v>1149</v>
      </c>
      <c r="B1150">
        <v>22543</v>
      </c>
      <c r="C1150">
        <f t="shared" si="48"/>
        <v>24287.375123512331</v>
      </c>
      <c r="D1150">
        <f t="shared" si="49"/>
        <v>0.92817770077493389</v>
      </c>
    </row>
    <row r="1151" spans="1:4">
      <c r="A1151">
        <v>1150</v>
      </c>
      <c r="B1151">
        <v>22896</v>
      </c>
      <c r="C1151">
        <f t="shared" si="48"/>
        <v>24262.699284437502</v>
      </c>
      <c r="D1151">
        <f t="shared" si="49"/>
        <v>0.9436707652180264</v>
      </c>
    </row>
    <row r="1152" spans="1:4">
      <c r="A1152">
        <v>1151</v>
      </c>
      <c r="B1152">
        <v>23228</v>
      </c>
      <c r="C1152">
        <f t="shared" si="48"/>
        <v>24238.012082105332</v>
      </c>
      <c r="D1152">
        <f t="shared" si="49"/>
        <v>0.95832941749991896</v>
      </c>
    </row>
    <row r="1153" spans="1:4">
      <c r="A1153">
        <v>1152</v>
      </c>
      <c r="B1153">
        <v>23516</v>
      </c>
      <c r="C1153">
        <f t="shared" si="48"/>
        <v>24213.313766466821</v>
      </c>
      <c r="D1153">
        <f t="shared" si="49"/>
        <v>0.97120122535922626</v>
      </c>
    </row>
    <row r="1154" spans="1:4">
      <c r="A1154">
        <v>1153</v>
      </c>
      <c r="B1154">
        <v>23734</v>
      </c>
      <c r="C1154">
        <f t="shared" ref="C1154:C1217" si="50" xml:space="preserve"> 0.00000002349111*A1154*A1154*A1154*A1154 - 0.0000664476*A1154*A1154*A1154 + 0.03716061*A1154*A1154 + 10.57172*A1154 + 22932.71</f>
        <v>24188.604588036589</v>
      </c>
      <c r="D1154">
        <f t="shared" ref="D1154:D1217" si="51">B1154/C1154</f>
        <v>0.9812058365590286</v>
      </c>
    </row>
    <row r="1155" spans="1:4">
      <c r="A1155">
        <v>1154</v>
      </c>
      <c r="B1155">
        <v>23687</v>
      </c>
      <c r="C1155">
        <f t="shared" si="50"/>
        <v>24163.884797893192</v>
      </c>
      <c r="D1155">
        <f t="shared" si="51"/>
        <v>0.98026456416748142</v>
      </c>
    </row>
    <row r="1156" spans="1:4">
      <c r="A1156">
        <v>1155</v>
      </c>
      <c r="B1156">
        <v>23736</v>
      </c>
      <c r="C1156">
        <f t="shared" si="50"/>
        <v>24139.154647678934</v>
      </c>
      <c r="D1156">
        <f t="shared" si="51"/>
        <v>0.9832987255120097</v>
      </c>
    </row>
    <row r="1157" spans="1:4">
      <c r="A1157">
        <v>1156</v>
      </c>
      <c r="B1157">
        <v>23714</v>
      </c>
      <c r="C1157">
        <f t="shared" si="50"/>
        <v>24114.414389599875</v>
      </c>
      <c r="D1157">
        <f t="shared" si="51"/>
        <v>0.98339522647613753</v>
      </c>
    </row>
    <row r="1158" spans="1:4">
      <c r="A1158">
        <v>1157</v>
      </c>
      <c r="B1158">
        <v>23606</v>
      </c>
      <c r="C1158">
        <f t="shared" si="50"/>
        <v>24089.664276425876</v>
      </c>
      <c r="D1158">
        <f t="shared" si="51"/>
        <v>0.97992233221368763</v>
      </c>
    </row>
    <row r="1159" spans="1:4">
      <c r="A1159">
        <v>1158</v>
      </c>
      <c r="B1159">
        <v>23409</v>
      </c>
      <c r="C1159">
        <f t="shared" si="50"/>
        <v>24064.904561490566</v>
      </c>
      <c r="D1159">
        <f t="shared" si="51"/>
        <v>0.9727443522655741</v>
      </c>
    </row>
    <row r="1160" spans="1:4">
      <c r="A1160">
        <v>1159</v>
      </c>
      <c r="B1160">
        <v>23098</v>
      </c>
      <c r="C1160">
        <f t="shared" si="50"/>
        <v>24040.13549869139</v>
      </c>
      <c r="D1160">
        <f t="shared" si="51"/>
        <v>0.96080989232599479</v>
      </c>
    </row>
    <row r="1161" spans="1:4">
      <c r="A1161">
        <v>1160</v>
      </c>
      <c r="B1161">
        <v>22767</v>
      </c>
      <c r="C1161">
        <f t="shared" si="50"/>
        <v>24015.357342489606</v>
      </c>
      <c r="D1161">
        <f t="shared" si="51"/>
        <v>0.94801837321483751</v>
      </c>
    </row>
    <row r="1162" spans="1:4">
      <c r="A1162">
        <v>1161</v>
      </c>
      <c r="B1162">
        <v>22341</v>
      </c>
      <c r="C1162">
        <f t="shared" si="50"/>
        <v>23990.570347910176</v>
      </c>
      <c r="D1162">
        <f t="shared" si="51"/>
        <v>0.93124088656550552</v>
      </c>
    </row>
    <row r="1163" spans="1:4">
      <c r="A1163">
        <v>1162</v>
      </c>
      <c r="B1163">
        <v>22000</v>
      </c>
      <c r="C1163">
        <f t="shared" si="50"/>
        <v>23965.774770541921</v>
      </c>
      <c r="D1163">
        <f t="shared" si="51"/>
        <v>0.91797574710757124</v>
      </c>
    </row>
    <row r="1164" spans="1:4">
      <c r="A1164">
        <v>1163</v>
      </c>
      <c r="B1164">
        <v>21389</v>
      </c>
      <c r="C1164">
        <f t="shared" si="50"/>
        <v>23940.970866537435</v>
      </c>
      <c r="D1164">
        <f t="shared" si="51"/>
        <v>0.89340570686277587</v>
      </c>
    </row>
    <row r="1165" spans="1:4">
      <c r="A1165">
        <v>1164</v>
      </c>
      <c r="B1165">
        <v>21130</v>
      </c>
      <c r="C1165">
        <f t="shared" si="50"/>
        <v>23916.158892613043</v>
      </c>
      <c r="D1165">
        <f t="shared" si="51"/>
        <v>0.88350307818561946</v>
      </c>
    </row>
    <row r="1166" spans="1:4">
      <c r="A1166">
        <v>1165</v>
      </c>
      <c r="B1166">
        <v>21355</v>
      </c>
      <c r="C1166">
        <f t="shared" si="50"/>
        <v>23891.339106048959</v>
      </c>
      <c r="D1166">
        <f t="shared" si="51"/>
        <v>0.89383855401362611</v>
      </c>
    </row>
    <row r="1167" spans="1:4">
      <c r="A1167">
        <v>1166</v>
      </c>
      <c r="B1167">
        <v>21899</v>
      </c>
      <c r="C1167">
        <f t="shared" si="50"/>
        <v>23866.511764689065</v>
      </c>
      <c r="D1167">
        <f t="shared" si="51"/>
        <v>0.91756182117907847</v>
      </c>
    </row>
    <row r="1168" spans="1:4">
      <c r="A1168">
        <v>1167</v>
      </c>
      <c r="B1168">
        <v>22575</v>
      </c>
      <c r="C1168">
        <f t="shared" si="50"/>
        <v>23841.677126941126</v>
      </c>
      <c r="D1168">
        <f t="shared" si="51"/>
        <v>0.94687130774412764</v>
      </c>
    </row>
    <row r="1169" spans="1:7">
      <c r="A1169">
        <v>1168</v>
      </c>
      <c r="B1169">
        <v>23100</v>
      </c>
      <c r="C1169">
        <f t="shared" si="50"/>
        <v>23816.835451776678</v>
      </c>
      <c r="D1169">
        <f t="shared" si="51"/>
        <v>0.96990215374212507</v>
      </c>
    </row>
    <row r="1170" spans="1:7">
      <c r="A1170">
        <v>1169</v>
      </c>
      <c r="B1170">
        <v>23422</v>
      </c>
      <c r="C1170">
        <f t="shared" si="50"/>
        <v>23791.98699873095</v>
      </c>
      <c r="D1170">
        <f t="shared" si="51"/>
        <v>0.98444909209345632</v>
      </c>
    </row>
    <row r="1171" spans="1:7">
      <c r="A1171">
        <v>1170</v>
      </c>
      <c r="B1171">
        <v>23914</v>
      </c>
      <c r="C1171">
        <f t="shared" si="50"/>
        <v>23767.132027903106</v>
      </c>
      <c r="D1171">
        <f t="shared" si="51"/>
        <v>1.0061794570722487</v>
      </c>
    </row>
    <row r="1172" spans="1:7">
      <c r="A1172">
        <v>1171</v>
      </c>
      <c r="B1172">
        <v>23800</v>
      </c>
      <c r="C1172">
        <f t="shared" si="50"/>
        <v>23742.270799956001</v>
      </c>
      <c r="D1172">
        <f t="shared" si="51"/>
        <v>1.0024314944653105</v>
      </c>
    </row>
    <row r="1173" spans="1:7">
      <c r="A1173">
        <v>1172</v>
      </c>
      <c r="B1173">
        <v>23611</v>
      </c>
      <c r="C1173">
        <f t="shared" si="50"/>
        <v>23717.403576116245</v>
      </c>
      <c r="D1173">
        <f t="shared" si="51"/>
        <v>0.99551369205424345</v>
      </c>
    </row>
    <row r="1174" spans="1:7">
      <c r="A1174">
        <v>1173</v>
      </c>
      <c r="B1174">
        <v>22800</v>
      </c>
      <c r="C1174">
        <f t="shared" si="50"/>
        <v>23692.53061817438</v>
      </c>
      <c r="D1174">
        <f t="shared" si="51"/>
        <v>0.96232860758699512</v>
      </c>
    </row>
    <row r="1175" spans="1:7">
      <c r="A1175">
        <v>1174</v>
      </c>
      <c r="B1175">
        <v>21782</v>
      </c>
      <c r="C1175">
        <f t="shared" si="50"/>
        <v>23667.652188484557</v>
      </c>
      <c r="D1175">
        <f t="shared" si="51"/>
        <v>0.92032787310428632</v>
      </c>
    </row>
    <row r="1176" spans="1:7">
      <c r="A1176">
        <v>1175</v>
      </c>
      <c r="B1176">
        <v>20523</v>
      </c>
      <c r="C1176">
        <f t="shared" si="50"/>
        <v>23642.768549964814</v>
      </c>
      <c r="D1176">
        <f t="shared" si="51"/>
        <v>0.86804554875323781</v>
      </c>
    </row>
    <row r="1177" spans="1:7">
      <c r="A1177">
        <v>1176</v>
      </c>
      <c r="B1177">
        <v>18973</v>
      </c>
      <c r="C1177">
        <f t="shared" si="50"/>
        <v>23617.879966097054</v>
      </c>
      <c r="D1177">
        <f t="shared" si="51"/>
        <v>0.80333205297153354</v>
      </c>
    </row>
    <row r="1178" spans="1:7">
      <c r="A1178">
        <v>1177</v>
      </c>
      <c r="B1178">
        <v>17675</v>
      </c>
      <c r="C1178">
        <f t="shared" si="50"/>
        <v>23592.986700926718</v>
      </c>
      <c r="D1178">
        <f t="shared" si="51"/>
        <v>0.74916330959088517</v>
      </c>
    </row>
    <row r="1179" spans="1:7">
      <c r="A1179">
        <v>1178</v>
      </c>
      <c r="B1179">
        <v>16059</v>
      </c>
      <c r="C1179">
        <f t="shared" si="50"/>
        <v>23568.089019063329</v>
      </c>
      <c r="D1179">
        <f t="shared" si="51"/>
        <v>0.68138744668736129</v>
      </c>
    </row>
    <row r="1180" spans="1:7">
      <c r="A1180">
        <v>1179</v>
      </c>
      <c r="B1180">
        <v>14782</v>
      </c>
      <c r="C1180">
        <f t="shared" si="50"/>
        <v>23543.187185679948</v>
      </c>
      <c r="D1180">
        <f t="shared" si="51"/>
        <v>0.62786741163877313</v>
      </c>
    </row>
    <row r="1181" spans="1:7" ht="17.25">
      <c r="A1181">
        <v>1180</v>
      </c>
      <c r="B1181">
        <v>13732</v>
      </c>
      <c r="C1181">
        <f t="shared" si="50"/>
        <v>23518.281466513596</v>
      </c>
      <c r="D1181">
        <f t="shared" si="51"/>
        <v>0.58388620016952553</v>
      </c>
      <c r="F1181">
        <v>1181</v>
      </c>
      <c r="G1181" t="s">
        <v>95</v>
      </c>
    </row>
    <row r="1182" spans="1:7" ht="17.25">
      <c r="A1182">
        <v>1181</v>
      </c>
      <c r="B1182">
        <v>13586</v>
      </c>
      <c r="C1182">
        <f t="shared" si="50"/>
        <v>23493.372127865005</v>
      </c>
      <c r="D1182">
        <f t="shared" si="51"/>
        <v>0.57829075903011495</v>
      </c>
      <c r="F1182">
        <v>1181</v>
      </c>
      <c r="G1182" t="s">
        <v>96</v>
      </c>
    </row>
    <row r="1183" spans="1:7">
      <c r="A1183">
        <v>1182</v>
      </c>
      <c r="B1183">
        <v>14573</v>
      </c>
      <c r="C1183">
        <f t="shared" si="50"/>
        <v>23468.459436598678</v>
      </c>
      <c r="D1183">
        <f t="shared" si="51"/>
        <v>0.62096108350740931</v>
      </c>
    </row>
    <row r="1184" spans="1:7">
      <c r="A1184">
        <v>1183</v>
      </c>
      <c r="B1184">
        <v>16573</v>
      </c>
      <c r="C1184">
        <f t="shared" si="50"/>
        <v>23443.543660142939</v>
      </c>
      <c r="D1184">
        <f t="shared" si="51"/>
        <v>0.70693237508185447</v>
      </c>
    </row>
    <row r="1185" spans="1:4">
      <c r="A1185">
        <v>1184</v>
      </c>
      <c r="B1185">
        <v>18810</v>
      </c>
      <c r="C1185">
        <f t="shared" si="50"/>
        <v>23418.625066489905</v>
      </c>
      <c r="D1185">
        <f t="shared" si="51"/>
        <v>0.80320684696880595</v>
      </c>
    </row>
    <row r="1186" spans="1:4">
      <c r="A1186">
        <v>1185</v>
      </c>
      <c r="B1186">
        <v>20814</v>
      </c>
      <c r="C1186">
        <f t="shared" si="50"/>
        <v>23393.703924195441</v>
      </c>
      <c r="D1186">
        <f t="shared" si="51"/>
        <v>0.88972657204884398</v>
      </c>
    </row>
    <row r="1187" spans="1:4">
      <c r="A1187">
        <v>1186</v>
      </c>
      <c r="B1187">
        <v>22305</v>
      </c>
      <c r="C1187">
        <f t="shared" si="50"/>
        <v>23368.780502379246</v>
      </c>
      <c r="D1187">
        <f t="shared" si="51"/>
        <v>0.95447856158899946</v>
      </c>
    </row>
    <row r="1188" spans="1:4">
      <c r="A1188">
        <v>1187</v>
      </c>
      <c r="B1188">
        <v>23081</v>
      </c>
      <c r="C1188">
        <f t="shared" si="50"/>
        <v>23343.855070724778</v>
      </c>
      <c r="D1188">
        <f t="shared" si="51"/>
        <v>0.98873986023609184</v>
      </c>
    </row>
    <row r="1189" spans="1:4">
      <c r="A1189">
        <v>1188</v>
      </c>
      <c r="B1189">
        <v>23233</v>
      </c>
      <c r="C1189">
        <f t="shared" si="50"/>
        <v>23318.927899479291</v>
      </c>
      <c r="D1189">
        <f t="shared" si="51"/>
        <v>0.99631510076922492</v>
      </c>
    </row>
    <row r="1190" spans="1:4">
      <c r="A1190">
        <v>1189</v>
      </c>
      <c r="B1190">
        <v>23042</v>
      </c>
      <c r="C1190">
        <f t="shared" si="50"/>
        <v>23293.999259453769</v>
      </c>
      <c r="D1190">
        <f t="shared" si="51"/>
        <v>0.98918179499162229</v>
      </c>
    </row>
    <row r="1191" spans="1:4">
      <c r="A1191">
        <v>1190</v>
      </c>
      <c r="B1191">
        <v>23115</v>
      </c>
      <c r="C1191">
        <f t="shared" si="50"/>
        <v>23269.069422023102</v>
      </c>
      <c r="D1191">
        <f t="shared" si="51"/>
        <v>0.99337878884502007</v>
      </c>
    </row>
    <row r="1192" spans="1:4">
      <c r="A1192">
        <v>1191</v>
      </c>
      <c r="B1192">
        <v>23056</v>
      </c>
      <c r="C1192">
        <f t="shared" si="50"/>
        <v>23244.138659125842</v>
      </c>
      <c r="D1192">
        <f t="shared" si="51"/>
        <v>0.99190597415181148</v>
      </c>
    </row>
    <row r="1193" spans="1:4">
      <c r="A1193">
        <v>1192</v>
      </c>
      <c r="B1193">
        <v>23107</v>
      </c>
      <c r="C1193">
        <f t="shared" si="50"/>
        <v>23219.207243264464</v>
      </c>
      <c r="D1193">
        <f t="shared" si="51"/>
        <v>0.99516748172799852</v>
      </c>
    </row>
    <row r="1194" spans="1:4">
      <c r="A1194">
        <v>1193</v>
      </c>
      <c r="B1194">
        <v>22966</v>
      </c>
      <c r="C1194">
        <f t="shared" si="50"/>
        <v>23194.275447505053</v>
      </c>
      <c r="D1194">
        <f t="shared" si="51"/>
        <v>0.99015811259025088</v>
      </c>
    </row>
    <row r="1195" spans="1:4">
      <c r="A1195">
        <v>1194</v>
      </c>
      <c r="B1195">
        <v>22929</v>
      </c>
      <c r="C1195">
        <f t="shared" si="50"/>
        <v>23169.343545477634</v>
      </c>
      <c r="D1195">
        <f t="shared" si="51"/>
        <v>0.98962665709514475</v>
      </c>
    </row>
    <row r="1196" spans="1:4">
      <c r="A1196">
        <v>1195</v>
      </c>
      <c r="B1196">
        <v>22793</v>
      </c>
      <c r="C1196">
        <f t="shared" si="50"/>
        <v>23144.411811375947</v>
      </c>
      <c r="D1196">
        <f t="shared" si="51"/>
        <v>0.98481655899316389</v>
      </c>
    </row>
    <row r="1197" spans="1:4">
      <c r="A1197">
        <v>1196</v>
      </c>
      <c r="B1197">
        <v>22794</v>
      </c>
      <c r="C1197">
        <f t="shared" si="50"/>
        <v>23119.480519957535</v>
      </c>
      <c r="D1197">
        <f t="shared" si="51"/>
        <v>0.98592180651824901</v>
      </c>
    </row>
    <row r="1198" spans="1:4">
      <c r="A1198">
        <v>1197</v>
      </c>
      <c r="B1198">
        <v>22681</v>
      </c>
      <c r="C1198">
        <f t="shared" si="50"/>
        <v>23094.549946543724</v>
      </c>
      <c r="D1198">
        <f t="shared" si="51"/>
        <v>0.98209318010089153</v>
      </c>
    </row>
    <row r="1199" spans="1:4">
      <c r="A1199">
        <v>1198</v>
      </c>
      <c r="B1199">
        <v>22685</v>
      </c>
      <c r="C1199">
        <f t="shared" si="50"/>
        <v>23069.620367019648</v>
      </c>
      <c r="D1199">
        <f t="shared" si="51"/>
        <v>0.98332784151188279</v>
      </c>
    </row>
    <row r="1200" spans="1:4">
      <c r="A1200">
        <v>1199</v>
      </c>
      <c r="B1200">
        <v>22656</v>
      </c>
      <c r="C1200">
        <f t="shared" si="50"/>
        <v>23044.692057834152</v>
      </c>
      <c r="D1200">
        <f t="shared" si="51"/>
        <v>0.98313311990202901</v>
      </c>
    </row>
    <row r="1201" spans="1:4">
      <c r="A1201">
        <v>1200</v>
      </c>
      <c r="B1201">
        <v>22706</v>
      </c>
      <c r="C1201">
        <f t="shared" si="50"/>
        <v>23019.765296000005</v>
      </c>
      <c r="D1201">
        <f t="shared" si="51"/>
        <v>0.9863697439150465</v>
      </c>
    </row>
    <row r="1202" spans="1:4">
      <c r="A1202">
        <v>1201</v>
      </c>
      <c r="B1202">
        <v>22829</v>
      </c>
      <c r="C1202">
        <f t="shared" si="50"/>
        <v>22994.840359093621</v>
      </c>
      <c r="D1202">
        <f t="shared" si="51"/>
        <v>0.99278793170538204</v>
      </c>
    </row>
    <row r="1203" spans="1:4">
      <c r="A1203">
        <v>1202</v>
      </c>
      <c r="B1203">
        <v>22872</v>
      </c>
      <c r="C1203">
        <f t="shared" si="50"/>
        <v>22969.917525255289</v>
      </c>
      <c r="D1203">
        <f t="shared" si="51"/>
        <v>0.99573714075605069</v>
      </c>
    </row>
    <row r="1204" spans="1:4">
      <c r="A1204">
        <v>1203</v>
      </c>
      <c r="B1204">
        <v>22793</v>
      </c>
      <c r="C1204">
        <f t="shared" si="50"/>
        <v>22944.997073189043</v>
      </c>
      <c r="D1204">
        <f t="shared" si="51"/>
        <v>0.99337558977653351</v>
      </c>
    </row>
    <row r="1205" spans="1:4">
      <c r="A1205">
        <v>1204</v>
      </c>
      <c r="B1205">
        <v>22506</v>
      </c>
      <c r="C1205">
        <f t="shared" si="50"/>
        <v>22920.079282162711</v>
      </c>
      <c r="D1205">
        <f t="shared" si="51"/>
        <v>0.98193377618527855</v>
      </c>
    </row>
    <row r="1206" spans="1:4">
      <c r="A1206">
        <v>1205</v>
      </c>
      <c r="B1206">
        <v>22171</v>
      </c>
      <c r="C1206">
        <f t="shared" si="50"/>
        <v>22895.164432007943</v>
      </c>
      <c r="D1206">
        <f t="shared" si="51"/>
        <v>0.96837042013135555</v>
      </c>
    </row>
    <row r="1207" spans="1:4">
      <c r="A1207">
        <v>1206</v>
      </c>
      <c r="B1207">
        <v>22046</v>
      </c>
      <c r="C1207">
        <f t="shared" si="50"/>
        <v>22870.252803120115</v>
      </c>
      <c r="D1207">
        <f t="shared" si="51"/>
        <v>0.96395961119381834</v>
      </c>
    </row>
    <row r="1208" spans="1:4">
      <c r="A1208">
        <v>1207</v>
      </c>
      <c r="B1208">
        <v>22268</v>
      </c>
      <c r="C1208">
        <f t="shared" si="50"/>
        <v>22845.344676458459</v>
      </c>
      <c r="D1208">
        <f t="shared" si="51"/>
        <v>0.97472812581140889</v>
      </c>
    </row>
    <row r="1209" spans="1:4">
      <c r="A1209">
        <v>1208</v>
      </c>
      <c r="B1209">
        <v>22729</v>
      </c>
      <c r="C1209">
        <f t="shared" si="50"/>
        <v>22820.440333545914</v>
      </c>
      <c r="D1209">
        <f t="shared" si="51"/>
        <v>0.995993051307976</v>
      </c>
    </row>
    <row r="1210" spans="1:4">
      <c r="A1210">
        <v>1209</v>
      </c>
      <c r="B1210">
        <v>22977</v>
      </c>
      <c r="C1210">
        <f t="shared" si="50"/>
        <v>22795.540056469268</v>
      </c>
      <c r="D1210">
        <f t="shared" si="51"/>
        <v>1.0079603265849906</v>
      </c>
    </row>
    <row r="1211" spans="1:4">
      <c r="A1211">
        <v>1210</v>
      </c>
      <c r="B1211">
        <v>23204</v>
      </c>
      <c r="C1211">
        <f t="shared" si="50"/>
        <v>22770.644127879124</v>
      </c>
      <c r="D1211">
        <f t="shared" si="51"/>
        <v>1.0190313400748421</v>
      </c>
    </row>
    <row r="1212" spans="1:4">
      <c r="A1212">
        <v>1211</v>
      </c>
      <c r="B1212">
        <v>23021</v>
      </c>
      <c r="C1212">
        <f t="shared" si="50"/>
        <v>22745.752830989702</v>
      </c>
      <c r="D1212">
        <f t="shared" si="51"/>
        <v>1.0121010357870104</v>
      </c>
    </row>
    <row r="1213" spans="1:4">
      <c r="A1213">
        <v>1212</v>
      </c>
      <c r="B1213">
        <v>23042</v>
      </c>
      <c r="C1213">
        <f t="shared" si="50"/>
        <v>22720.866449579233</v>
      </c>
      <c r="D1213">
        <f t="shared" si="51"/>
        <v>1.0141338602175849</v>
      </c>
    </row>
    <row r="1214" spans="1:4">
      <c r="A1214">
        <v>1213</v>
      </c>
      <c r="B1214">
        <v>22632</v>
      </c>
      <c r="C1214">
        <f t="shared" si="50"/>
        <v>22695.985267989621</v>
      </c>
      <c r="D1214">
        <f t="shared" si="51"/>
        <v>0.99718076711655845</v>
      </c>
    </row>
    <row r="1215" spans="1:4">
      <c r="A1215">
        <v>1214</v>
      </c>
      <c r="B1215">
        <v>22377</v>
      </c>
      <c r="C1215">
        <f t="shared" si="50"/>
        <v>22671.109571126508</v>
      </c>
      <c r="D1215">
        <f t="shared" si="51"/>
        <v>0.98702712056488495</v>
      </c>
    </row>
    <row r="1216" spans="1:4">
      <c r="A1216">
        <v>1215</v>
      </c>
      <c r="B1216">
        <v>21818</v>
      </c>
      <c r="C1216">
        <f t="shared" si="50"/>
        <v>22646.239644459471</v>
      </c>
      <c r="D1216">
        <f t="shared" si="51"/>
        <v>0.96342705643574233</v>
      </c>
    </row>
    <row r="1217" spans="1:4">
      <c r="A1217">
        <v>1216</v>
      </c>
      <c r="B1217">
        <v>21486</v>
      </c>
      <c r="C1217">
        <f t="shared" si="50"/>
        <v>22621.375774021675</v>
      </c>
      <c r="D1217">
        <f t="shared" si="51"/>
        <v>0.94980960550924853</v>
      </c>
    </row>
    <row r="1218" spans="1:4">
      <c r="A1218">
        <v>1217</v>
      </c>
      <c r="B1218">
        <v>21520</v>
      </c>
      <c r="C1218">
        <f t="shared" ref="C1218:C1281" si="52" xml:space="preserve"> 0.00000002349111*A1218*A1218*A1218*A1218 - 0.0000664476*A1218*A1218*A1218 + 0.03716061*A1218*A1218 + 10.57172*A1218 + 22932.71</f>
        <v>22596.51824641024</v>
      </c>
      <c r="D1218">
        <f t="shared" ref="D1218:D1281" si="53">B1218/C1218</f>
        <v>0.95235910972340798</v>
      </c>
    </row>
    <row r="1219" spans="1:4">
      <c r="A1219">
        <v>1218</v>
      </c>
      <c r="B1219">
        <v>21747</v>
      </c>
      <c r="C1219">
        <f t="shared" si="52"/>
        <v>22571.667348786068</v>
      </c>
      <c r="D1219">
        <f t="shared" si="53"/>
        <v>0.96346449130039924</v>
      </c>
    </row>
    <row r="1220" spans="1:4">
      <c r="A1220">
        <v>1219</v>
      </c>
      <c r="B1220">
        <v>21925</v>
      </c>
      <c r="C1220">
        <f t="shared" si="52"/>
        <v>22546.823368873695</v>
      </c>
      <c r="D1220">
        <f t="shared" si="53"/>
        <v>0.9724207992096956</v>
      </c>
    </row>
    <row r="1221" spans="1:4">
      <c r="A1221">
        <v>1220</v>
      </c>
      <c r="B1221">
        <v>22170</v>
      </c>
      <c r="C1221">
        <f t="shared" si="52"/>
        <v>22521.986594961578</v>
      </c>
      <c r="D1221">
        <f t="shared" si="53"/>
        <v>0.9843714232988523</v>
      </c>
    </row>
    <row r="1222" spans="1:4">
      <c r="A1222">
        <v>1221</v>
      </c>
      <c r="B1222">
        <v>22251</v>
      </c>
      <c r="C1222">
        <f t="shared" si="52"/>
        <v>22497.157315901954</v>
      </c>
      <c r="D1222">
        <f t="shared" si="53"/>
        <v>0.98905829245688925</v>
      </c>
    </row>
    <row r="1223" spans="1:4">
      <c r="A1223">
        <v>1222</v>
      </c>
      <c r="B1223">
        <v>22184</v>
      </c>
      <c r="C1223">
        <f t="shared" si="52"/>
        <v>22472.335821110821</v>
      </c>
      <c r="D1223">
        <f t="shared" si="53"/>
        <v>0.98716929902587369</v>
      </c>
    </row>
    <row r="1224" spans="1:4">
      <c r="A1224">
        <v>1223</v>
      </c>
      <c r="B1224">
        <v>21891</v>
      </c>
      <c r="C1224">
        <f t="shared" si="52"/>
        <v>22447.522400567905</v>
      </c>
      <c r="D1224">
        <f t="shared" si="53"/>
        <v>0.97520784741242428</v>
      </c>
    </row>
    <row r="1225" spans="1:4">
      <c r="A1225">
        <v>1224</v>
      </c>
      <c r="B1225">
        <v>21224</v>
      </c>
      <c r="C1225">
        <f t="shared" si="52"/>
        <v>22422.717344816774</v>
      </c>
      <c r="D1225">
        <f t="shared" si="53"/>
        <v>0.94654005014722853</v>
      </c>
    </row>
    <row r="1226" spans="1:4">
      <c r="A1226">
        <v>1225</v>
      </c>
      <c r="B1226">
        <v>20634</v>
      </c>
      <c r="C1226">
        <f t="shared" si="52"/>
        <v>22397.920944964841</v>
      </c>
      <c r="D1226">
        <f t="shared" si="53"/>
        <v>0.92124621971391596</v>
      </c>
    </row>
    <row r="1227" spans="1:4">
      <c r="A1227">
        <v>1226</v>
      </c>
      <c r="B1227">
        <v>20272</v>
      </c>
      <c r="C1227">
        <f t="shared" si="52"/>
        <v>22373.133492683221</v>
      </c>
      <c r="D1227">
        <f t="shared" si="53"/>
        <v>0.90608675832688512</v>
      </c>
    </row>
    <row r="1228" spans="1:4">
      <c r="A1228">
        <v>1227</v>
      </c>
      <c r="B1228">
        <v>20351</v>
      </c>
      <c r="C1228">
        <f t="shared" si="52"/>
        <v>22348.355280206819</v>
      </c>
      <c r="D1228">
        <f t="shared" si="53"/>
        <v>0.91062629642478399</v>
      </c>
    </row>
    <row r="1229" spans="1:4">
      <c r="A1229">
        <v>1228</v>
      </c>
      <c r="B1229">
        <v>20936</v>
      </c>
      <c r="C1229">
        <f t="shared" si="52"/>
        <v>22323.586600334351</v>
      </c>
      <c r="D1229">
        <f t="shared" si="53"/>
        <v>0.93784212970896141</v>
      </c>
    </row>
    <row r="1230" spans="1:4">
      <c r="A1230">
        <v>1229</v>
      </c>
      <c r="B1230">
        <v>21350</v>
      </c>
      <c r="C1230">
        <f t="shared" si="52"/>
        <v>22298.827746428378</v>
      </c>
      <c r="D1230">
        <f t="shared" si="53"/>
        <v>0.95744943379006309</v>
      </c>
    </row>
    <row r="1231" spans="1:4">
      <c r="A1231">
        <v>1230</v>
      </c>
      <c r="B1231">
        <v>21888</v>
      </c>
      <c r="C1231">
        <f t="shared" si="52"/>
        <v>22274.079012415114</v>
      </c>
      <c r="D1231">
        <f t="shared" si="53"/>
        <v>0.98266689221134929</v>
      </c>
    </row>
    <row r="1232" spans="1:4">
      <c r="A1232">
        <v>1231</v>
      </c>
      <c r="B1232">
        <v>22287</v>
      </c>
      <c r="C1232">
        <f t="shared" si="52"/>
        <v>22249.340692784648</v>
      </c>
      <c r="D1232">
        <f t="shared" si="53"/>
        <v>1.0016926032881308</v>
      </c>
    </row>
    <row r="1233" spans="1:7">
      <c r="A1233">
        <v>1232</v>
      </c>
      <c r="B1233">
        <v>22548</v>
      </c>
      <c r="C1233">
        <f t="shared" si="52"/>
        <v>22224.613082590851</v>
      </c>
      <c r="D1233">
        <f t="shared" si="53"/>
        <v>1.0145508457765893</v>
      </c>
    </row>
    <row r="1234" spans="1:7">
      <c r="A1234">
        <v>1233</v>
      </c>
      <c r="B1234">
        <v>22743</v>
      </c>
      <c r="C1234">
        <f t="shared" si="52"/>
        <v>22199.896477451384</v>
      </c>
      <c r="D1234">
        <f t="shared" si="53"/>
        <v>1.0244642367184122</v>
      </c>
    </row>
    <row r="1235" spans="1:7">
      <c r="A1235">
        <v>1234</v>
      </c>
      <c r="B1235">
        <v>22722</v>
      </c>
      <c r="C1235">
        <f t="shared" si="52"/>
        <v>22175.191173547701</v>
      </c>
      <c r="D1235">
        <f t="shared" si="53"/>
        <v>1.0246585845494118</v>
      </c>
    </row>
    <row r="1236" spans="1:7">
      <c r="A1236">
        <v>1235</v>
      </c>
      <c r="B1236">
        <v>22228</v>
      </c>
      <c r="C1236">
        <f t="shared" si="52"/>
        <v>22150.497467624937</v>
      </c>
      <c r="D1236">
        <f t="shared" si="53"/>
        <v>1.0034989070781972</v>
      </c>
    </row>
    <row r="1237" spans="1:7">
      <c r="A1237">
        <v>1236</v>
      </c>
      <c r="B1237">
        <v>21497</v>
      </c>
      <c r="C1237">
        <f t="shared" si="52"/>
        <v>22125.815656992203</v>
      </c>
      <c r="D1237">
        <f t="shared" si="53"/>
        <v>0.97158000108377995</v>
      </c>
    </row>
    <row r="1238" spans="1:7">
      <c r="A1238">
        <v>1237</v>
      </c>
      <c r="B1238">
        <v>20451</v>
      </c>
      <c r="C1238">
        <f t="shared" si="52"/>
        <v>22101.146039522184</v>
      </c>
      <c r="D1238">
        <f t="shared" si="53"/>
        <v>0.92533663021042778</v>
      </c>
    </row>
    <row r="1239" spans="1:7">
      <c r="A1239">
        <v>1238</v>
      </c>
      <c r="B1239">
        <v>19365</v>
      </c>
      <c r="C1239">
        <f t="shared" si="52"/>
        <v>22076.488913651545</v>
      </c>
      <c r="D1239">
        <f t="shared" si="53"/>
        <v>0.87717752925942727</v>
      </c>
    </row>
    <row r="1240" spans="1:7">
      <c r="A1240">
        <v>1239</v>
      </c>
      <c r="B1240">
        <v>18124</v>
      </c>
      <c r="C1240">
        <f t="shared" si="52"/>
        <v>22051.844578380642</v>
      </c>
      <c r="D1240">
        <f t="shared" si="53"/>
        <v>0.82188135942915852</v>
      </c>
    </row>
    <row r="1241" spans="1:7" ht="17.25">
      <c r="A1241">
        <v>1240</v>
      </c>
      <c r="B1241">
        <v>17514</v>
      </c>
      <c r="C1241">
        <f t="shared" si="52"/>
        <v>22027.213333273601</v>
      </c>
      <c r="D1241">
        <f t="shared" si="53"/>
        <v>0.79510738535155123</v>
      </c>
      <c r="F1241">
        <v>1240</v>
      </c>
      <c r="G1241" t="s">
        <v>97</v>
      </c>
    </row>
    <row r="1242" spans="1:7" ht="17.25">
      <c r="A1242">
        <v>1241</v>
      </c>
      <c r="B1242">
        <v>17634</v>
      </c>
      <c r="C1242">
        <f t="shared" si="52"/>
        <v>22002.595478458356</v>
      </c>
      <c r="D1242">
        <f t="shared" si="53"/>
        <v>0.80145090233852501</v>
      </c>
      <c r="F1242">
        <v>1240</v>
      </c>
      <c r="G1242" t="s">
        <v>98</v>
      </c>
    </row>
    <row r="1243" spans="1:7">
      <c r="A1243">
        <v>1242</v>
      </c>
      <c r="B1243">
        <v>18501</v>
      </c>
      <c r="C1243">
        <f t="shared" si="52"/>
        <v>21977.991314626695</v>
      </c>
      <c r="D1243">
        <f t="shared" si="53"/>
        <v>0.84179667446166007</v>
      </c>
    </row>
    <row r="1244" spans="1:7">
      <c r="A1244">
        <v>1243</v>
      </c>
      <c r="B1244">
        <v>19335</v>
      </c>
      <c r="C1244">
        <f t="shared" si="52"/>
        <v>21953.401143034051</v>
      </c>
      <c r="D1244">
        <f t="shared" si="53"/>
        <v>0.88072913504498662</v>
      </c>
    </row>
    <row r="1245" spans="1:7">
      <c r="A1245">
        <v>1244</v>
      </c>
      <c r="B1245">
        <v>20289</v>
      </c>
      <c r="C1245">
        <f t="shared" si="52"/>
        <v>21928.825265499796</v>
      </c>
      <c r="D1245">
        <f t="shared" si="53"/>
        <v>0.9252205603516892</v>
      </c>
    </row>
    <row r="1246" spans="1:7">
      <c r="A1246">
        <v>1245</v>
      </c>
      <c r="B1246">
        <v>21152</v>
      </c>
      <c r="C1246">
        <f t="shared" si="52"/>
        <v>21904.263984406945</v>
      </c>
      <c r="D1246">
        <f t="shared" si="53"/>
        <v>0.96565673309349898</v>
      </c>
    </row>
    <row r="1247" spans="1:7">
      <c r="A1247">
        <v>1246</v>
      </c>
      <c r="B1247">
        <v>21613</v>
      </c>
      <c r="C1247">
        <f t="shared" si="52"/>
        <v>21879.717602702422</v>
      </c>
      <c r="D1247">
        <f t="shared" si="53"/>
        <v>0.98780982426073549</v>
      </c>
    </row>
    <row r="1248" spans="1:7">
      <c r="A1248">
        <v>1247</v>
      </c>
      <c r="B1248">
        <v>21649</v>
      </c>
      <c r="C1248">
        <f t="shared" si="52"/>
        <v>21855.186423896866</v>
      </c>
      <c r="D1248">
        <f t="shared" si="53"/>
        <v>0.99056578974446918</v>
      </c>
    </row>
    <row r="1249" spans="1:7">
      <c r="A1249">
        <v>1248</v>
      </c>
      <c r="B1249">
        <v>21459</v>
      </c>
      <c r="C1249">
        <f t="shared" si="52"/>
        <v>21830.670752064758</v>
      </c>
      <c r="D1249">
        <f t="shared" si="53"/>
        <v>0.9829748358955207</v>
      </c>
    </row>
    <row r="1250" spans="1:7">
      <c r="A1250">
        <v>1249</v>
      </c>
      <c r="B1250">
        <v>20818</v>
      </c>
      <c r="C1250">
        <f t="shared" si="52"/>
        <v>21806.170891844275</v>
      </c>
      <c r="D1250">
        <f t="shared" si="53"/>
        <v>0.95468388756808931</v>
      </c>
    </row>
    <row r="1251" spans="1:7">
      <c r="A1251">
        <v>1250</v>
      </c>
      <c r="B1251">
        <v>20430</v>
      </c>
      <c r="C1251">
        <f t="shared" si="52"/>
        <v>21781.687148437508</v>
      </c>
      <c r="D1251">
        <f t="shared" si="53"/>
        <v>0.93794387279433178</v>
      </c>
    </row>
    <row r="1252" spans="1:7">
      <c r="A1252">
        <v>1251</v>
      </c>
      <c r="B1252">
        <v>19598</v>
      </c>
      <c r="C1252">
        <f t="shared" si="52"/>
        <v>21757.219827610184</v>
      </c>
      <c r="D1252">
        <f t="shared" si="53"/>
        <v>0.90075846800655535</v>
      </c>
    </row>
    <row r="1253" spans="1:7">
      <c r="A1253">
        <v>1252</v>
      </c>
      <c r="B1253">
        <v>18835</v>
      </c>
      <c r="C1253">
        <f t="shared" si="52"/>
        <v>21732.769235691972</v>
      </c>
      <c r="D1253">
        <f t="shared" si="53"/>
        <v>0.86666359890607347</v>
      </c>
    </row>
    <row r="1254" spans="1:7">
      <c r="A1254">
        <v>1253</v>
      </c>
      <c r="B1254">
        <v>17679</v>
      </c>
      <c r="C1254">
        <f t="shared" si="52"/>
        <v>21708.335679576179</v>
      </c>
      <c r="D1254">
        <f t="shared" si="53"/>
        <v>0.81438762791165542</v>
      </c>
    </row>
    <row r="1255" spans="1:7">
      <c r="A1255">
        <v>1254</v>
      </c>
      <c r="B1255">
        <v>16787</v>
      </c>
      <c r="C1255">
        <f t="shared" si="52"/>
        <v>21683.919466720014</v>
      </c>
      <c r="D1255">
        <f t="shared" si="53"/>
        <v>0.77416815837949893</v>
      </c>
    </row>
    <row r="1256" spans="1:7" ht="17.25">
      <c r="A1256">
        <v>1255</v>
      </c>
      <c r="B1256">
        <v>16346</v>
      </c>
      <c r="C1256">
        <f t="shared" si="52"/>
        <v>21659.520905144484</v>
      </c>
      <c r="D1256">
        <f t="shared" si="53"/>
        <v>0.75467966588852675</v>
      </c>
      <c r="F1256">
        <v>1255</v>
      </c>
      <c r="G1256" t="s">
        <v>99</v>
      </c>
    </row>
    <row r="1257" spans="1:7" ht="17.25">
      <c r="A1257">
        <v>1256</v>
      </c>
      <c r="B1257">
        <v>16627</v>
      </c>
      <c r="C1257">
        <f t="shared" si="52"/>
        <v>21635.140303434178</v>
      </c>
      <c r="D1257">
        <f t="shared" si="53"/>
        <v>0.76851824239664257</v>
      </c>
      <c r="F1257">
        <v>1255</v>
      </c>
      <c r="G1257" t="s">
        <v>100</v>
      </c>
    </row>
    <row r="1258" spans="1:7">
      <c r="A1258">
        <v>1257</v>
      </c>
      <c r="B1258">
        <v>17551</v>
      </c>
      <c r="C1258">
        <f t="shared" si="52"/>
        <v>21610.777970737749</v>
      </c>
      <c r="D1258">
        <f t="shared" si="53"/>
        <v>0.81214105405020942</v>
      </c>
    </row>
    <row r="1259" spans="1:7">
      <c r="A1259">
        <v>1258</v>
      </c>
      <c r="B1259">
        <v>18559</v>
      </c>
      <c r="C1259">
        <f t="shared" si="52"/>
        <v>21586.434216767477</v>
      </c>
      <c r="D1259">
        <f t="shared" si="53"/>
        <v>0.85975292693705352</v>
      </c>
    </row>
    <row r="1260" spans="1:7">
      <c r="A1260">
        <v>1259</v>
      </c>
      <c r="B1260">
        <v>19337</v>
      </c>
      <c r="C1260">
        <f t="shared" si="52"/>
        <v>21562.109351799467</v>
      </c>
      <c r="D1260">
        <f t="shared" si="53"/>
        <v>0.89680465322314251</v>
      </c>
    </row>
    <row r="1261" spans="1:7">
      <c r="A1261">
        <v>1260</v>
      </c>
      <c r="B1261">
        <v>19657</v>
      </c>
      <c r="C1261">
        <f t="shared" si="52"/>
        <v>21537.803686673593</v>
      </c>
      <c r="D1261">
        <f t="shared" si="53"/>
        <v>0.9126743044910689</v>
      </c>
    </row>
    <row r="1262" spans="1:7">
      <c r="A1262">
        <v>1261</v>
      </c>
      <c r="B1262">
        <v>19968</v>
      </c>
      <c r="C1262">
        <f t="shared" si="52"/>
        <v>21513.517532793558</v>
      </c>
      <c r="D1262">
        <f t="shared" si="53"/>
        <v>0.92816063061571918</v>
      </c>
    </row>
    <row r="1263" spans="1:7">
      <c r="A1263">
        <v>1262</v>
      </c>
      <c r="B1263">
        <v>19829</v>
      </c>
      <c r="C1263">
        <f t="shared" si="52"/>
        <v>21489.251202126732</v>
      </c>
      <c r="D1263">
        <f t="shared" si="53"/>
        <v>0.92274038836856165</v>
      </c>
    </row>
    <row r="1264" spans="1:7">
      <c r="A1264">
        <v>1263</v>
      </c>
      <c r="B1264">
        <v>19720</v>
      </c>
      <c r="C1264">
        <f t="shared" si="52"/>
        <v>21465.005007204505</v>
      </c>
      <c r="D1264">
        <f t="shared" si="53"/>
        <v>0.91870465408143109</v>
      </c>
    </row>
    <row r="1265" spans="1:7">
      <c r="A1265">
        <v>1264</v>
      </c>
      <c r="B1265">
        <v>19353</v>
      </c>
      <c r="C1265">
        <f t="shared" si="52"/>
        <v>21440.779261121788</v>
      </c>
      <c r="D1265">
        <f t="shared" si="53"/>
        <v>0.90262577513180575</v>
      </c>
    </row>
    <row r="1266" spans="1:7">
      <c r="A1266">
        <v>1265</v>
      </c>
      <c r="B1266">
        <v>19157</v>
      </c>
      <c r="C1266">
        <f t="shared" si="52"/>
        <v>21416.574277537438</v>
      </c>
      <c r="D1266">
        <f t="shared" si="53"/>
        <v>0.89449413112220422</v>
      </c>
    </row>
    <row r="1267" spans="1:7">
      <c r="A1267">
        <v>1266</v>
      </c>
      <c r="B1267">
        <v>18928</v>
      </c>
      <c r="C1267">
        <f t="shared" si="52"/>
        <v>21392.390370674089</v>
      </c>
      <c r="D1267">
        <f t="shared" si="53"/>
        <v>0.8848006076940137</v>
      </c>
    </row>
    <row r="1268" spans="1:7">
      <c r="A1268">
        <v>1267</v>
      </c>
      <c r="B1268">
        <v>19175</v>
      </c>
      <c r="C1268">
        <f t="shared" si="52"/>
        <v>21368.22785531808</v>
      </c>
      <c r="D1268">
        <f t="shared" si="53"/>
        <v>0.89736033001107129</v>
      </c>
    </row>
    <row r="1269" spans="1:7">
      <c r="A1269">
        <v>1268</v>
      </c>
      <c r="B1269">
        <v>19309</v>
      </c>
      <c r="C1269">
        <f t="shared" si="52"/>
        <v>21344.087046819681</v>
      </c>
      <c r="D1269">
        <f t="shared" si="53"/>
        <v>0.90465335704658711</v>
      </c>
    </row>
    <row r="1270" spans="1:7">
      <c r="A1270">
        <v>1269</v>
      </c>
      <c r="B1270">
        <v>19504</v>
      </c>
      <c r="C1270">
        <f t="shared" si="52"/>
        <v>21319.968261092778</v>
      </c>
      <c r="D1270">
        <f t="shared" si="53"/>
        <v>0.91482312549185296</v>
      </c>
    </row>
    <row r="1271" spans="1:7">
      <c r="A1271">
        <v>1270</v>
      </c>
      <c r="B1271">
        <v>19570</v>
      </c>
      <c r="C1271">
        <f t="shared" si="52"/>
        <v>21295.8718146151</v>
      </c>
      <c r="D1271">
        <f t="shared" si="53"/>
        <v>0.91895744726305806</v>
      </c>
    </row>
    <row r="1272" spans="1:7">
      <c r="A1272">
        <v>1271</v>
      </c>
      <c r="B1272">
        <v>19718</v>
      </c>
      <c r="C1272">
        <f t="shared" si="52"/>
        <v>21271.798024428273</v>
      </c>
      <c r="D1272">
        <f t="shared" si="53"/>
        <v>0.92695502173140654</v>
      </c>
    </row>
    <row r="1273" spans="1:7">
      <c r="A1273">
        <v>1272</v>
      </c>
      <c r="B1273">
        <v>19394</v>
      </c>
      <c r="C1273">
        <f t="shared" si="52"/>
        <v>21247.747208137553</v>
      </c>
      <c r="D1273">
        <f t="shared" si="53"/>
        <v>0.91275558815818381</v>
      </c>
    </row>
    <row r="1274" spans="1:7">
      <c r="A1274">
        <v>1273</v>
      </c>
      <c r="B1274">
        <v>18683</v>
      </c>
      <c r="C1274">
        <f t="shared" si="52"/>
        <v>21223.719683912139</v>
      </c>
      <c r="D1274">
        <f t="shared" si="53"/>
        <v>0.88028867127198074</v>
      </c>
    </row>
    <row r="1275" spans="1:7">
      <c r="A1275">
        <v>1274</v>
      </c>
      <c r="B1275">
        <v>17531</v>
      </c>
      <c r="C1275">
        <f t="shared" si="52"/>
        <v>21199.715770484814</v>
      </c>
      <c r="D1275">
        <f t="shared" si="53"/>
        <v>0.82694504915992495</v>
      </c>
    </row>
    <row r="1276" spans="1:7">
      <c r="A1276">
        <v>1275</v>
      </c>
      <c r="B1276">
        <v>16309</v>
      </c>
      <c r="C1276">
        <f t="shared" si="52"/>
        <v>21175.735787152335</v>
      </c>
      <c r="D1276">
        <f t="shared" si="53"/>
        <v>0.77017394644180148</v>
      </c>
    </row>
    <row r="1277" spans="1:7" ht="17.25">
      <c r="A1277">
        <v>1276</v>
      </c>
      <c r="B1277">
        <v>15660</v>
      </c>
      <c r="C1277">
        <f t="shared" si="52"/>
        <v>21151.780053775154</v>
      </c>
      <c r="D1277">
        <f t="shared" si="53"/>
        <v>0.74036322050375214</v>
      </c>
      <c r="F1277">
        <v>1276.5</v>
      </c>
      <c r="G1277" t="s">
        <v>101</v>
      </c>
    </row>
    <row r="1278" spans="1:7" ht="17.25">
      <c r="A1278">
        <v>1277</v>
      </c>
      <c r="B1278">
        <v>15455</v>
      </c>
      <c r="C1278">
        <f t="shared" si="52"/>
        <v>21127.848890777583</v>
      </c>
      <c r="D1278">
        <f t="shared" si="53"/>
        <v>0.73149898410841951</v>
      </c>
      <c r="F1278">
        <v>1276.5</v>
      </c>
      <c r="G1278" t="s">
        <v>102</v>
      </c>
    </row>
    <row r="1279" spans="1:7">
      <c r="A1279">
        <v>1278</v>
      </c>
      <c r="B1279">
        <v>16108</v>
      </c>
      <c r="C1279">
        <f t="shared" si="52"/>
        <v>21103.942619147594</v>
      </c>
      <c r="D1279">
        <f t="shared" si="53"/>
        <v>0.76326970228706092</v>
      </c>
    </row>
    <row r="1280" spans="1:7">
      <c r="A1280">
        <v>1279</v>
      </c>
      <c r="B1280">
        <v>17180</v>
      </c>
      <c r="C1280">
        <f t="shared" si="52"/>
        <v>21080.061560437083</v>
      </c>
      <c r="D1280">
        <f t="shared" si="53"/>
        <v>0.81498813230428646</v>
      </c>
    </row>
    <row r="1281" spans="1:4">
      <c r="A1281">
        <v>1280</v>
      </c>
      <c r="B1281">
        <v>18296</v>
      </c>
      <c r="C1281">
        <f t="shared" si="52"/>
        <v>21056.2060367616</v>
      </c>
      <c r="D1281">
        <f t="shared" si="53"/>
        <v>0.86891247017897655</v>
      </c>
    </row>
    <row r="1282" spans="1:4">
      <c r="A1282">
        <v>1281</v>
      </c>
      <c r="B1282">
        <v>19268</v>
      </c>
      <c r="C1282">
        <f t="shared" ref="C1282:C1345" si="54" xml:space="preserve"> 0.00000002349111*A1282*A1282*A1282*A1282 - 0.0000664476*A1282*A1282*A1282 + 0.03716061*A1282*A1282 + 10.57172*A1282 + 22932.71</f>
        <v>21032.376370800594</v>
      </c>
      <c r="D1282">
        <f t="shared" ref="D1282:D1345" si="55">B1282/C1282</f>
        <v>0.91611141129776996</v>
      </c>
    </row>
    <row r="1283" spans="1:4">
      <c r="A1283">
        <v>1282</v>
      </c>
      <c r="B1283">
        <v>19968</v>
      </c>
      <c r="C1283">
        <f t="shared" si="54"/>
        <v>21008.572885797272</v>
      </c>
      <c r="D1283">
        <f t="shared" si="55"/>
        <v>0.95046913031866409</v>
      </c>
    </row>
    <row r="1284" spans="1:4">
      <c r="A1284">
        <v>1283</v>
      </c>
      <c r="B1284">
        <v>20160</v>
      </c>
      <c r="C1284">
        <f t="shared" si="54"/>
        <v>20984.795905558531</v>
      </c>
      <c r="D1284">
        <f t="shared" si="55"/>
        <v>0.96069554789712985</v>
      </c>
    </row>
    <row r="1285" spans="1:4">
      <c r="A1285">
        <v>1284</v>
      </c>
      <c r="B1285">
        <v>19922</v>
      </c>
      <c r="C1285">
        <f t="shared" si="54"/>
        <v>20961.045754455256</v>
      </c>
      <c r="D1285">
        <f t="shared" si="55"/>
        <v>0.95042967957672597</v>
      </c>
    </row>
    <row r="1286" spans="1:4">
      <c r="A1286">
        <v>1285</v>
      </c>
      <c r="B1286">
        <v>19286</v>
      </c>
      <c r="C1286">
        <f t="shared" si="54"/>
        <v>20937.322757421942</v>
      </c>
      <c r="D1286">
        <f t="shared" si="55"/>
        <v>0.92113018571887018</v>
      </c>
    </row>
    <row r="1287" spans="1:4">
      <c r="A1287">
        <v>1286</v>
      </c>
      <c r="B1287">
        <v>17998</v>
      </c>
      <c r="C1287">
        <f t="shared" si="54"/>
        <v>20913.627239956928</v>
      </c>
      <c r="D1287">
        <f t="shared" si="55"/>
        <v>0.86058720438574032</v>
      </c>
    </row>
    <row r="1288" spans="1:4">
      <c r="A1288">
        <v>1287</v>
      </c>
      <c r="B1288">
        <v>16493</v>
      </c>
      <c r="C1288">
        <f t="shared" si="54"/>
        <v>20889.959528122308</v>
      </c>
      <c r="D1288">
        <f t="shared" si="55"/>
        <v>0.78951804467581332</v>
      </c>
    </row>
    <row r="1289" spans="1:4">
      <c r="A1289">
        <v>1288</v>
      </c>
      <c r="B1289">
        <v>14904</v>
      </c>
      <c r="C1289">
        <f t="shared" si="54"/>
        <v>20866.319948544056</v>
      </c>
      <c r="D1289">
        <f t="shared" si="55"/>
        <v>0.71426106935736522</v>
      </c>
    </row>
    <row r="1290" spans="1:4">
      <c r="A1290">
        <v>1289</v>
      </c>
      <c r="B1290">
        <v>14160</v>
      </c>
      <c r="C1290">
        <f t="shared" si="54"/>
        <v>20842.708828411814</v>
      </c>
      <c r="D1290">
        <f t="shared" si="55"/>
        <v>0.67937426543606194</v>
      </c>
    </row>
    <row r="1291" spans="1:4">
      <c r="A1291">
        <v>1290</v>
      </c>
      <c r="B1291">
        <v>14060</v>
      </c>
      <c r="C1291">
        <f t="shared" si="54"/>
        <v>20819.126495479097</v>
      </c>
      <c r="D1291">
        <f t="shared" si="55"/>
        <v>0.67534053376606118</v>
      </c>
    </row>
    <row r="1292" spans="1:4">
      <c r="A1292">
        <v>1291</v>
      </c>
      <c r="B1292">
        <v>14433</v>
      </c>
      <c r="C1292">
        <f t="shared" si="54"/>
        <v>20795.573278063166</v>
      </c>
      <c r="D1292">
        <f t="shared" si="55"/>
        <v>0.69404193897482414</v>
      </c>
    </row>
    <row r="1293" spans="1:4">
      <c r="A1293">
        <v>1292</v>
      </c>
      <c r="B1293">
        <v>14494</v>
      </c>
      <c r="C1293">
        <f t="shared" si="54"/>
        <v>20772.049505045121</v>
      </c>
      <c r="D1293">
        <f t="shared" si="55"/>
        <v>0.69776456080945182</v>
      </c>
    </row>
    <row r="1294" spans="1:4">
      <c r="A1294">
        <v>1293</v>
      </c>
      <c r="B1294">
        <v>14286</v>
      </c>
      <c r="C1294">
        <f t="shared" si="54"/>
        <v>20748.555505869757</v>
      </c>
      <c r="D1294">
        <f t="shared" si="55"/>
        <v>0.68852985914891751</v>
      </c>
    </row>
    <row r="1295" spans="1:4">
      <c r="A1295">
        <v>1294</v>
      </c>
      <c r="B1295">
        <v>13751</v>
      </c>
      <c r="C1295">
        <f t="shared" si="54"/>
        <v>20725.091610545751</v>
      </c>
      <c r="D1295">
        <f t="shared" si="55"/>
        <v>0.66349525774848417</v>
      </c>
    </row>
    <row r="1296" spans="1:4">
      <c r="A1296">
        <v>1295</v>
      </c>
      <c r="B1296">
        <v>13645</v>
      </c>
      <c r="C1296">
        <f t="shared" si="54"/>
        <v>20701.658149645446</v>
      </c>
      <c r="D1296">
        <f t="shared" si="55"/>
        <v>0.65912594543706615</v>
      </c>
    </row>
    <row r="1297" spans="1:4">
      <c r="A1297">
        <v>1296</v>
      </c>
      <c r="B1297">
        <v>14142</v>
      </c>
      <c r="C1297">
        <f t="shared" si="54"/>
        <v>20678.255454305116</v>
      </c>
      <c r="D1297">
        <f t="shared" si="55"/>
        <v>0.68390682334160358</v>
      </c>
    </row>
    <row r="1298" spans="1:4">
      <c r="A1298">
        <v>1297</v>
      </c>
      <c r="B1298">
        <v>15218</v>
      </c>
      <c r="C1298">
        <f t="shared" si="54"/>
        <v>20654.883856224769</v>
      </c>
      <c r="D1298">
        <f t="shared" si="55"/>
        <v>0.73677490059639072</v>
      </c>
    </row>
    <row r="1299" spans="1:4">
      <c r="A1299">
        <v>1298</v>
      </c>
      <c r="B1299">
        <v>16780</v>
      </c>
      <c r="C1299">
        <f t="shared" si="54"/>
        <v>20631.543687668083</v>
      </c>
      <c r="D1299">
        <f t="shared" si="55"/>
        <v>0.81331771650367424</v>
      </c>
    </row>
    <row r="1300" spans="1:4">
      <c r="A1300">
        <v>1299</v>
      </c>
      <c r="B1300">
        <v>18149</v>
      </c>
      <c r="C1300">
        <f t="shared" si="54"/>
        <v>20608.235281462687</v>
      </c>
      <c r="D1300">
        <f t="shared" si="55"/>
        <v>0.88066735225627046</v>
      </c>
    </row>
    <row r="1301" spans="1:4">
      <c r="A1301">
        <v>1300</v>
      </c>
      <c r="B1301">
        <v>19033</v>
      </c>
      <c r="C1301">
        <f t="shared" si="54"/>
        <v>20584.958971000015</v>
      </c>
      <c r="D1301">
        <f t="shared" si="55"/>
        <v>0.92460713799884631</v>
      </c>
    </row>
    <row r="1302" spans="1:4">
      <c r="A1302">
        <v>1301</v>
      </c>
      <c r="B1302">
        <v>19629</v>
      </c>
      <c r="C1302">
        <f t="shared" si="54"/>
        <v>20561.715090235062</v>
      </c>
      <c r="D1302">
        <f t="shared" si="55"/>
        <v>0.95463826406786378</v>
      </c>
    </row>
    <row r="1303" spans="1:4">
      <c r="A1303">
        <v>1302</v>
      </c>
      <c r="B1303">
        <v>19700</v>
      </c>
      <c r="C1303">
        <f t="shared" si="54"/>
        <v>20538.503973686828</v>
      </c>
      <c r="D1303">
        <f t="shared" si="55"/>
        <v>0.95917404817989238</v>
      </c>
    </row>
    <row r="1304" spans="1:4">
      <c r="A1304">
        <v>1303</v>
      </c>
      <c r="B1304">
        <v>19682</v>
      </c>
      <c r="C1304">
        <f t="shared" si="54"/>
        <v>20515.325956438006</v>
      </c>
      <c r="D1304">
        <f t="shared" si="55"/>
        <v>0.95938032092653658</v>
      </c>
    </row>
    <row r="1305" spans="1:4">
      <c r="A1305">
        <v>1304</v>
      </c>
      <c r="B1305">
        <v>19767</v>
      </c>
      <c r="C1305">
        <f t="shared" si="54"/>
        <v>20492.181374135129</v>
      </c>
      <c r="D1305">
        <f t="shared" si="55"/>
        <v>0.96461180189189422</v>
      </c>
    </row>
    <row r="1306" spans="1:4">
      <c r="A1306">
        <v>1305</v>
      </c>
      <c r="B1306">
        <v>19590</v>
      </c>
      <c r="C1306">
        <f t="shared" si="54"/>
        <v>20469.070562988432</v>
      </c>
      <c r="D1306">
        <f t="shared" si="55"/>
        <v>0.95705371378327542</v>
      </c>
    </row>
    <row r="1307" spans="1:4">
      <c r="A1307">
        <v>1306</v>
      </c>
      <c r="B1307">
        <v>19787</v>
      </c>
      <c r="C1307">
        <f t="shared" si="54"/>
        <v>20445.993859772025</v>
      </c>
      <c r="D1307">
        <f t="shared" si="55"/>
        <v>0.96776904736000091</v>
      </c>
    </row>
    <row r="1308" spans="1:4">
      <c r="A1308">
        <v>1307</v>
      </c>
      <c r="B1308">
        <v>20002</v>
      </c>
      <c r="C1308">
        <f t="shared" si="54"/>
        <v>20422.951601823763</v>
      </c>
      <c r="D1308">
        <f t="shared" si="55"/>
        <v>0.97938830733035809</v>
      </c>
    </row>
    <row r="1309" spans="1:4">
      <c r="A1309">
        <v>1308</v>
      </c>
      <c r="B1309">
        <v>20237</v>
      </c>
      <c r="C1309">
        <f t="shared" si="54"/>
        <v>20399.944127045252</v>
      </c>
      <c r="D1309">
        <f t="shared" si="55"/>
        <v>0.99201252091522996</v>
      </c>
    </row>
    <row r="1310" spans="1:4">
      <c r="A1310">
        <v>1309</v>
      </c>
      <c r="B1310">
        <v>20551</v>
      </c>
      <c r="C1310">
        <f t="shared" si="54"/>
        <v>20376.971773901918</v>
      </c>
      <c r="D1310">
        <f t="shared" si="55"/>
        <v>1.0085404361368833</v>
      </c>
    </row>
    <row r="1311" spans="1:4">
      <c r="A1311">
        <v>1310</v>
      </c>
      <c r="B1311">
        <v>20613</v>
      </c>
      <c r="C1311">
        <f t="shared" si="54"/>
        <v>20354.034881423082</v>
      </c>
      <c r="D1311">
        <f t="shared" si="55"/>
        <v>1.0127230360017352</v>
      </c>
    </row>
    <row r="1312" spans="1:4">
      <c r="A1312">
        <v>1311</v>
      </c>
      <c r="B1312">
        <v>20475</v>
      </c>
      <c r="C1312">
        <f t="shared" si="54"/>
        <v>20331.133789201675</v>
      </c>
      <c r="D1312">
        <f t="shared" si="55"/>
        <v>1.007076152874206</v>
      </c>
    </row>
    <row r="1313" spans="1:4">
      <c r="A1313">
        <v>1312</v>
      </c>
      <c r="B1313">
        <v>20501</v>
      </c>
      <c r="C1313">
        <f t="shared" si="54"/>
        <v>20308.268837394466</v>
      </c>
      <c r="D1313">
        <f t="shared" si="55"/>
        <v>1.0094902802473567</v>
      </c>
    </row>
    <row r="1314" spans="1:4">
      <c r="A1314">
        <v>1313</v>
      </c>
      <c r="B1314">
        <v>20577</v>
      </c>
      <c r="C1314">
        <f t="shared" si="54"/>
        <v>20285.440366722079</v>
      </c>
      <c r="D1314">
        <f t="shared" si="55"/>
        <v>1.0143728520558133</v>
      </c>
    </row>
    <row r="1315" spans="1:4">
      <c r="A1315">
        <v>1314</v>
      </c>
      <c r="B1315">
        <v>20582</v>
      </c>
      <c r="C1315">
        <f t="shared" si="54"/>
        <v>20262.648718468827</v>
      </c>
      <c r="D1315">
        <f t="shared" si="55"/>
        <v>1.0157605891494379</v>
      </c>
    </row>
    <row r="1316" spans="1:4">
      <c r="A1316">
        <v>1315</v>
      </c>
      <c r="B1316">
        <v>20756</v>
      </c>
      <c r="C1316">
        <f t="shared" si="54"/>
        <v>20239.894234482952</v>
      </c>
      <c r="D1316">
        <f t="shared" si="55"/>
        <v>1.0254994299643005</v>
      </c>
    </row>
    <row r="1317" spans="1:4">
      <c r="A1317">
        <v>1316</v>
      </c>
      <c r="B1317">
        <v>20583</v>
      </c>
      <c r="C1317">
        <f t="shared" si="54"/>
        <v>20217.177257176296</v>
      </c>
      <c r="D1317">
        <f t="shared" si="55"/>
        <v>1.0180946498203083</v>
      </c>
    </row>
    <row r="1318" spans="1:4">
      <c r="A1318">
        <v>1317</v>
      </c>
      <c r="B1318">
        <v>20481</v>
      </c>
      <c r="C1318">
        <f t="shared" si="54"/>
        <v>20194.498129524622</v>
      </c>
      <c r="D1318">
        <f t="shared" si="55"/>
        <v>1.0141871250593997</v>
      </c>
    </row>
    <row r="1319" spans="1:4">
      <c r="A1319">
        <v>1318</v>
      </c>
      <c r="B1319">
        <v>19886</v>
      </c>
      <c r="C1319">
        <f t="shared" si="54"/>
        <v>20171.85719506747</v>
      </c>
      <c r="D1319">
        <f t="shared" si="55"/>
        <v>0.98582891043183818</v>
      </c>
    </row>
    <row r="1320" spans="1:4">
      <c r="A1320">
        <v>1319</v>
      </c>
      <c r="B1320">
        <v>19312</v>
      </c>
      <c r="C1320">
        <f t="shared" si="54"/>
        <v>20149.254797908081</v>
      </c>
      <c r="D1320">
        <f t="shared" si="55"/>
        <v>0.95844735667370662</v>
      </c>
    </row>
    <row r="1321" spans="1:4">
      <c r="A1321">
        <v>1320</v>
      </c>
      <c r="B1321">
        <v>19035</v>
      </c>
      <c r="C1321">
        <f t="shared" si="54"/>
        <v>20126.691282713586</v>
      </c>
      <c r="D1321">
        <f t="shared" si="55"/>
        <v>0.94575902877532492</v>
      </c>
    </row>
    <row r="1322" spans="1:4">
      <c r="A1322">
        <v>1321</v>
      </c>
      <c r="B1322">
        <v>20279</v>
      </c>
      <c r="C1322">
        <f t="shared" si="54"/>
        <v>20104.16699471488</v>
      </c>
      <c r="D1322">
        <f t="shared" si="55"/>
        <v>1.0086963565976685</v>
      </c>
    </row>
    <row r="1323" spans="1:4">
      <c r="A1323">
        <v>1322</v>
      </c>
      <c r="B1323">
        <v>19447</v>
      </c>
      <c r="C1323">
        <f t="shared" si="54"/>
        <v>20081.682279706514</v>
      </c>
      <c r="D1323">
        <f t="shared" si="55"/>
        <v>0.96839496458183238</v>
      </c>
    </row>
    <row r="1324" spans="1:4">
      <c r="A1324">
        <v>1323</v>
      </c>
      <c r="B1324">
        <v>19832</v>
      </c>
      <c r="C1324">
        <f t="shared" si="54"/>
        <v>20059.237484047069</v>
      </c>
      <c r="D1324">
        <f t="shared" si="55"/>
        <v>0.98867167885978768</v>
      </c>
    </row>
    <row r="1325" spans="1:4">
      <c r="A1325">
        <v>1324</v>
      </c>
      <c r="B1325">
        <v>20422</v>
      </c>
      <c r="C1325">
        <f t="shared" si="54"/>
        <v>20036.832954658643</v>
      </c>
      <c r="D1325">
        <f t="shared" si="55"/>
        <v>1.0192229503641095</v>
      </c>
    </row>
    <row r="1326" spans="1:4">
      <c r="A1326">
        <v>1325</v>
      </c>
      <c r="B1326">
        <v>20828</v>
      </c>
      <c r="C1326">
        <f t="shared" si="54"/>
        <v>20014.469039027328</v>
      </c>
      <c r="D1326">
        <f t="shared" si="55"/>
        <v>1.0406471417945848</v>
      </c>
    </row>
    <row r="1327" spans="1:4">
      <c r="A1327">
        <v>1326</v>
      </c>
      <c r="B1327">
        <v>20869</v>
      </c>
      <c r="C1327">
        <f t="shared" si="54"/>
        <v>19992.146085202952</v>
      </c>
      <c r="D1327">
        <f t="shared" si="55"/>
        <v>1.0438599193433289</v>
      </c>
    </row>
    <row r="1328" spans="1:4">
      <c r="A1328">
        <v>1327</v>
      </c>
      <c r="B1328">
        <v>20863</v>
      </c>
      <c r="C1328">
        <f t="shared" si="54"/>
        <v>19969.864441799054</v>
      </c>
      <c r="D1328">
        <f t="shared" si="55"/>
        <v>1.0447241672973762</v>
      </c>
    </row>
    <row r="1329" spans="1:7">
      <c r="A1329">
        <v>1328</v>
      </c>
      <c r="B1329">
        <v>20549</v>
      </c>
      <c r="C1329">
        <f t="shared" si="54"/>
        <v>19947.624457993054</v>
      </c>
      <c r="D1329">
        <f t="shared" si="55"/>
        <v>1.0301477272781709</v>
      </c>
    </row>
    <row r="1330" spans="1:7">
      <c r="A1330">
        <v>1329</v>
      </c>
      <c r="B1330">
        <v>20261</v>
      </c>
      <c r="C1330">
        <f t="shared" si="54"/>
        <v>19925.426483526095</v>
      </c>
      <c r="D1330">
        <f t="shared" si="55"/>
        <v>1.0168414722139749</v>
      </c>
    </row>
    <row r="1331" spans="1:7">
      <c r="A1331">
        <v>1330</v>
      </c>
      <c r="B1331">
        <v>20211</v>
      </c>
      <c r="C1331">
        <f t="shared" si="54"/>
        <v>19903.270868703101</v>
      </c>
      <c r="D1331">
        <f t="shared" si="55"/>
        <v>1.0154612341522613</v>
      </c>
    </row>
    <row r="1332" spans="1:7">
      <c r="A1332">
        <v>1331</v>
      </c>
      <c r="B1332">
        <v>20318</v>
      </c>
      <c r="C1332">
        <f t="shared" si="54"/>
        <v>19881.157964392882</v>
      </c>
      <c r="D1332">
        <f t="shared" si="55"/>
        <v>1.0219726655957113</v>
      </c>
    </row>
    <row r="1333" spans="1:7">
      <c r="A1333">
        <v>1332</v>
      </c>
      <c r="B1333">
        <v>20182</v>
      </c>
      <c r="C1333">
        <f t="shared" si="54"/>
        <v>19859.088122027872</v>
      </c>
      <c r="D1333">
        <f t="shared" si="55"/>
        <v>1.0162601563570259</v>
      </c>
    </row>
    <row r="1334" spans="1:7">
      <c r="A1334">
        <v>1333</v>
      </c>
      <c r="B1334">
        <v>19685</v>
      </c>
      <c r="C1334">
        <f t="shared" si="54"/>
        <v>19837.061693604392</v>
      </c>
      <c r="D1334">
        <f t="shared" si="55"/>
        <v>0.99233446485406573</v>
      </c>
    </row>
    <row r="1335" spans="1:7">
      <c r="A1335">
        <v>1334</v>
      </c>
      <c r="B1335">
        <v>18924</v>
      </c>
      <c r="C1335">
        <f t="shared" si="54"/>
        <v>19815.079031682653</v>
      </c>
      <c r="D1335">
        <f t="shared" si="55"/>
        <v>0.95503025598545976</v>
      </c>
    </row>
    <row r="1336" spans="1:7">
      <c r="A1336">
        <v>1335</v>
      </c>
      <c r="B1336">
        <v>17736</v>
      </c>
      <c r="C1336">
        <f t="shared" si="54"/>
        <v>19793.140489386438</v>
      </c>
      <c r="D1336">
        <f t="shared" si="55"/>
        <v>0.89606800949604093</v>
      </c>
    </row>
    <row r="1337" spans="1:7">
      <c r="A1337">
        <v>1336</v>
      </c>
      <c r="B1337">
        <v>16372</v>
      </c>
      <c r="C1337">
        <f t="shared" si="54"/>
        <v>19771.246420403455</v>
      </c>
      <c r="D1337">
        <f t="shared" si="55"/>
        <v>0.82807121270333706</v>
      </c>
    </row>
    <row r="1338" spans="1:7">
      <c r="A1338">
        <v>1337</v>
      </c>
      <c r="B1338">
        <v>15186</v>
      </c>
      <c r="C1338">
        <f t="shared" si="54"/>
        <v>19749.39717898512</v>
      </c>
      <c r="D1338">
        <f t="shared" si="55"/>
        <v>0.76893486228324348</v>
      </c>
    </row>
    <row r="1339" spans="1:7">
      <c r="A1339">
        <v>1338</v>
      </c>
      <c r="B1339">
        <v>13799</v>
      </c>
      <c r="C1339">
        <f t="shared" si="54"/>
        <v>19727.593119946709</v>
      </c>
      <c r="D1339">
        <f t="shared" si="55"/>
        <v>0.69947711898253484</v>
      </c>
    </row>
    <row r="1340" spans="1:7" ht="17.25">
      <c r="A1340">
        <v>1339</v>
      </c>
      <c r="B1340">
        <v>12963</v>
      </c>
      <c r="C1340">
        <f t="shared" si="54"/>
        <v>19705.834598667294</v>
      </c>
      <c r="D1340">
        <f t="shared" si="55"/>
        <v>0.65782547473917641</v>
      </c>
      <c r="F1340">
        <v>1339.5</v>
      </c>
      <c r="G1340" t="s">
        <v>103</v>
      </c>
    </row>
    <row r="1341" spans="1:7" ht="17.25">
      <c r="A1341">
        <v>1340</v>
      </c>
      <c r="B1341">
        <v>12809</v>
      </c>
      <c r="C1341">
        <f t="shared" si="54"/>
        <v>19684.121971089618</v>
      </c>
      <c r="D1341">
        <f t="shared" si="55"/>
        <v>0.65072752642016651</v>
      </c>
      <c r="F1341">
        <v>1339.5</v>
      </c>
      <c r="G1341" t="s">
        <v>104</v>
      </c>
    </row>
    <row r="1342" spans="1:7">
      <c r="A1342">
        <v>1341</v>
      </c>
      <c r="B1342">
        <v>13782</v>
      </c>
      <c r="C1342">
        <f t="shared" si="54"/>
        <v>19662.455593720282</v>
      </c>
      <c r="D1342">
        <f t="shared" si="55"/>
        <v>0.70092974574353983</v>
      </c>
    </row>
    <row r="1343" spans="1:7">
      <c r="A1343">
        <v>1342</v>
      </c>
      <c r="B1343">
        <v>15190</v>
      </c>
      <c r="C1343">
        <f t="shared" si="54"/>
        <v>19640.835823629757</v>
      </c>
      <c r="D1343">
        <f t="shared" si="55"/>
        <v>0.77338867532943856</v>
      </c>
    </row>
    <row r="1344" spans="1:7">
      <c r="A1344">
        <v>1343</v>
      </c>
      <c r="B1344">
        <v>16582</v>
      </c>
      <c r="C1344">
        <f t="shared" si="54"/>
        <v>19619.263018452155</v>
      </c>
      <c r="D1344">
        <f t="shared" si="55"/>
        <v>0.84518974970692973</v>
      </c>
    </row>
    <row r="1345" spans="1:4">
      <c r="A1345">
        <v>1344</v>
      </c>
      <c r="B1345">
        <v>17566</v>
      </c>
      <c r="C1345">
        <f t="shared" si="54"/>
        <v>19597.737536385474</v>
      </c>
      <c r="D1345">
        <f t="shared" si="55"/>
        <v>0.89632795456040182</v>
      </c>
    </row>
    <row r="1346" spans="1:4">
      <c r="A1346">
        <v>1345</v>
      </c>
      <c r="B1346">
        <v>18312</v>
      </c>
      <c r="C1346">
        <f t="shared" ref="C1346:C1409" si="56" xml:space="preserve"> 0.00000002349111*A1346*A1346*A1346*A1346 - 0.0000664476*A1346*A1346*A1346 + 0.03716061*A1346*A1346 + 10.57172*A1346 + 22932.71</f>
        <v>19576.259736191467</v>
      </c>
      <c r="D1346">
        <f t="shared" ref="D1346:D1409" si="57">B1346/C1346</f>
        <v>0.93541872894881062</v>
      </c>
    </row>
    <row r="1347" spans="1:4">
      <c r="A1347">
        <v>1346</v>
      </c>
      <c r="B1347">
        <v>18887</v>
      </c>
      <c r="C1347">
        <f t="shared" si="56"/>
        <v>19554.829977195586</v>
      </c>
      <c r="D1347">
        <f t="shared" si="57"/>
        <v>0.96584833629469569</v>
      </c>
    </row>
    <row r="1348" spans="1:4">
      <c r="A1348">
        <v>1347</v>
      </c>
      <c r="B1348">
        <v>19106</v>
      </c>
      <c r="C1348">
        <f t="shared" si="56"/>
        <v>19533.448619287301</v>
      </c>
      <c r="D1348">
        <f t="shared" si="57"/>
        <v>0.97811709403606084</v>
      </c>
    </row>
    <row r="1349" spans="1:4">
      <c r="A1349">
        <v>1348</v>
      </c>
      <c r="B1349">
        <v>19435</v>
      </c>
      <c r="C1349">
        <f t="shared" si="56"/>
        <v>19512.116022919618</v>
      </c>
      <c r="D1349">
        <f t="shared" si="57"/>
        <v>0.99604778780379155</v>
      </c>
    </row>
    <row r="1350" spans="1:4">
      <c r="A1350">
        <v>1349</v>
      </c>
      <c r="B1350">
        <v>19528</v>
      </c>
      <c r="C1350">
        <f t="shared" si="56"/>
        <v>19490.832549109429</v>
      </c>
      <c r="D1350">
        <f t="shared" si="57"/>
        <v>1.0019069196144865</v>
      </c>
    </row>
    <row r="1351" spans="1:4">
      <c r="A1351">
        <v>1350</v>
      </c>
      <c r="B1351">
        <v>19532</v>
      </c>
      <c r="C1351">
        <f t="shared" si="56"/>
        <v>19469.598559437502</v>
      </c>
      <c r="D1351">
        <f t="shared" si="57"/>
        <v>1.003205070734869</v>
      </c>
    </row>
    <row r="1352" spans="1:4">
      <c r="A1352">
        <v>1351</v>
      </c>
      <c r="B1352">
        <v>19335</v>
      </c>
      <c r="C1352">
        <f t="shared" si="56"/>
        <v>19448.41441604821</v>
      </c>
      <c r="D1352">
        <f t="shared" si="57"/>
        <v>0.99416844923076997</v>
      </c>
    </row>
    <row r="1353" spans="1:4">
      <c r="A1353">
        <v>1352</v>
      </c>
      <c r="B1353">
        <v>19126</v>
      </c>
      <c r="C1353">
        <f t="shared" si="56"/>
        <v>19427.280481649919</v>
      </c>
      <c r="D1353">
        <f t="shared" si="57"/>
        <v>0.98449188593666037</v>
      </c>
    </row>
    <row r="1354" spans="1:4">
      <c r="A1354">
        <v>1353</v>
      </c>
      <c r="B1354">
        <v>19108</v>
      </c>
      <c r="C1354">
        <f t="shared" si="56"/>
        <v>19406.19711951456</v>
      </c>
      <c r="D1354">
        <f t="shared" si="57"/>
        <v>0.98463392298459662</v>
      </c>
    </row>
    <row r="1355" spans="1:4">
      <c r="A1355">
        <v>1354</v>
      </c>
      <c r="B1355">
        <v>19104</v>
      </c>
      <c r="C1355">
        <f t="shared" si="56"/>
        <v>19385.164693478051</v>
      </c>
      <c r="D1355">
        <f t="shared" si="57"/>
        <v>0.98549588317025516</v>
      </c>
    </row>
    <row r="1356" spans="1:4">
      <c r="A1356">
        <v>1355</v>
      </c>
      <c r="B1356">
        <v>19062</v>
      </c>
      <c r="C1356">
        <f t="shared" si="56"/>
        <v>19364.183567939937</v>
      </c>
      <c r="D1356">
        <f t="shared" si="57"/>
        <v>0.98439471682967083</v>
      </c>
    </row>
    <row r="1357" spans="1:4">
      <c r="A1357">
        <v>1356</v>
      </c>
      <c r="B1357">
        <v>19316</v>
      </c>
      <c r="C1357">
        <f t="shared" si="56"/>
        <v>19343.254107863693</v>
      </c>
      <c r="D1357">
        <f t="shared" si="57"/>
        <v>0.99859102777062658</v>
      </c>
    </row>
    <row r="1358" spans="1:4">
      <c r="A1358">
        <v>1357</v>
      </c>
      <c r="B1358">
        <v>19379</v>
      </c>
      <c r="C1358">
        <f t="shared" si="56"/>
        <v>19322.376678776476</v>
      </c>
      <c r="D1358">
        <f t="shared" si="57"/>
        <v>1.0029304532338259</v>
      </c>
    </row>
    <row r="1359" spans="1:4">
      <c r="A1359">
        <v>1358</v>
      </c>
      <c r="B1359">
        <v>19535</v>
      </c>
      <c r="C1359">
        <f t="shared" si="56"/>
        <v>19301.551646769214</v>
      </c>
      <c r="D1359">
        <f t="shared" si="57"/>
        <v>1.0120947972216452</v>
      </c>
    </row>
    <row r="1360" spans="1:4">
      <c r="A1360">
        <v>1359</v>
      </c>
      <c r="B1360">
        <v>19626</v>
      </c>
      <c r="C1360">
        <f t="shared" si="56"/>
        <v>19280.779378496751</v>
      </c>
      <c r="D1360">
        <f t="shared" si="57"/>
        <v>1.0179049101038034</v>
      </c>
    </row>
    <row r="1361" spans="1:4">
      <c r="A1361">
        <v>1360</v>
      </c>
      <c r="B1361">
        <v>19640</v>
      </c>
      <c r="C1361">
        <f t="shared" si="56"/>
        <v>19260.060241177598</v>
      </c>
      <c r="D1361">
        <f t="shared" si="57"/>
        <v>1.0197268208959231</v>
      </c>
    </row>
    <row r="1362" spans="1:4">
      <c r="A1362">
        <v>1361</v>
      </c>
      <c r="B1362">
        <v>19533</v>
      </c>
      <c r="C1362">
        <f t="shared" si="56"/>
        <v>19239.394602594111</v>
      </c>
      <c r="D1362">
        <f t="shared" si="57"/>
        <v>1.0152606359748086</v>
      </c>
    </row>
    <row r="1363" spans="1:4">
      <c r="A1363">
        <v>1362</v>
      </c>
      <c r="B1363">
        <v>19556</v>
      </c>
      <c r="C1363">
        <f t="shared" si="56"/>
        <v>19218.782831092387</v>
      </c>
      <c r="D1363">
        <f t="shared" si="57"/>
        <v>1.0175462292212418</v>
      </c>
    </row>
    <row r="1364" spans="1:4">
      <c r="A1364">
        <v>1363</v>
      </c>
      <c r="B1364">
        <v>19600</v>
      </c>
      <c r="C1364">
        <f t="shared" si="56"/>
        <v>19198.225295582364</v>
      </c>
      <c r="D1364">
        <f t="shared" si="57"/>
        <v>1.0209277002551942</v>
      </c>
    </row>
    <row r="1365" spans="1:4">
      <c r="A1365">
        <v>1364</v>
      </c>
      <c r="B1365">
        <v>19567</v>
      </c>
      <c r="C1365">
        <f t="shared" si="56"/>
        <v>19177.722365537709</v>
      </c>
      <c r="D1365">
        <f t="shared" si="57"/>
        <v>1.020298428929278</v>
      </c>
    </row>
    <row r="1366" spans="1:4">
      <c r="A1366">
        <v>1365</v>
      </c>
      <c r="B1366">
        <v>19533</v>
      </c>
      <c r="C1366">
        <f t="shared" si="56"/>
        <v>19157.27441099596</v>
      </c>
      <c r="D1366">
        <f t="shared" si="57"/>
        <v>1.0196126850272802</v>
      </c>
    </row>
    <row r="1367" spans="1:4">
      <c r="A1367">
        <v>1366</v>
      </c>
      <c r="B1367">
        <v>19586</v>
      </c>
      <c r="C1367">
        <f t="shared" si="56"/>
        <v>19136.881802558324</v>
      </c>
      <c r="D1367">
        <f t="shared" si="57"/>
        <v>1.0234687240102844</v>
      </c>
    </row>
    <row r="1368" spans="1:4">
      <c r="A1368">
        <v>1367</v>
      </c>
      <c r="B1368">
        <v>19496</v>
      </c>
      <c r="C1368">
        <f t="shared" si="56"/>
        <v>19116.544911389879</v>
      </c>
      <c r="D1368">
        <f t="shared" si="57"/>
        <v>1.01984956436265</v>
      </c>
    </row>
    <row r="1369" spans="1:4">
      <c r="A1369">
        <v>1368</v>
      </c>
      <c r="B1369">
        <v>19138</v>
      </c>
      <c r="C1369">
        <f t="shared" si="56"/>
        <v>19096.264109219461</v>
      </c>
      <c r="D1369">
        <f t="shared" si="57"/>
        <v>1.0021855526579353</v>
      </c>
    </row>
    <row r="1370" spans="1:4">
      <c r="A1370">
        <v>1369</v>
      </c>
      <c r="B1370">
        <v>18925</v>
      </c>
      <c r="C1370">
        <f t="shared" si="56"/>
        <v>19076.039768339746</v>
      </c>
      <c r="D1370">
        <f t="shared" si="57"/>
        <v>0.99208222617618858</v>
      </c>
    </row>
    <row r="1371" spans="1:4">
      <c r="A1371">
        <v>1370</v>
      </c>
      <c r="B1371">
        <v>18831</v>
      </c>
      <c r="C1371">
        <f t="shared" si="56"/>
        <v>19055.872261607095</v>
      </c>
      <c r="D1371">
        <f t="shared" si="57"/>
        <v>0.98819931942658124</v>
      </c>
    </row>
    <row r="1372" spans="1:4">
      <c r="A1372">
        <v>1371</v>
      </c>
      <c r="B1372">
        <v>18471</v>
      </c>
      <c r="C1372">
        <f t="shared" si="56"/>
        <v>19035.761962441757</v>
      </c>
      <c r="D1372">
        <f t="shared" si="57"/>
        <v>0.97033152843810233</v>
      </c>
    </row>
    <row r="1373" spans="1:4">
      <c r="A1373">
        <v>1372</v>
      </c>
      <c r="B1373">
        <v>18391</v>
      </c>
      <c r="C1373">
        <f t="shared" si="56"/>
        <v>19015.70924482766</v>
      </c>
      <c r="D1373">
        <f t="shared" si="57"/>
        <v>0.96714772839737317</v>
      </c>
    </row>
    <row r="1374" spans="1:4">
      <c r="A1374">
        <v>1373</v>
      </c>
      <c r="B1374">
        <v>18281</v>
      </c>
      <c r="C1374">
        <f t="shared" si="56"/>
        <v>18995.714483312666</v>
      </c>
      <c r="D1374">
        <f t="shared" si="57"/>
        <v>0.96237496178727433</v>
      </c>
    </row>
    <row r="1375" spans="1:4">
      <c r="A1375">
        <v>1374</v>
      </c>
      <c r="B1375">
        <v>18286</v>
      </c>
      <c r="C1375">
        <f t="shared" si="56"/>
        <v>18975.778053008275</v>
      </c>
      <c r="D1375">
        <f t="shared" si="57"/>
        <v>0.96364955096537286</v>
      </c>
    </row>
    <row r="1376" spans="1:4">
      <c r="A1376">
        <v>1375</v>
      </c>
      <c r="B1376">
        <v>18444</v>
      </c>
      <c r="C1376">
        <f t="shared" si="56"/>
        <v>18955.900329589844</v>
      </c>
      <c r="D1376">
        <f t="shared" si="57"/>
        <v>0.97299519829238734</v>
      </c>
    </row>
    <row r="1377" spans="1:4">
      <c r="A1377">
        <v>1376</v>
      </c>
      <c r="B1377">
        <v>18621</v>
      </c>
      <c r="C1377">
        <f t="shared" si="56"/>
        <v>18936.08168929653</v>
      </c>
      <c r="D1377">
        <f t="shared" si="57"/>
        <v>0.98336077682456202</v>
      </c>
    </row>
    <row r="1378" spans="1:4">
      <c r="A1378">
        <v>1377</v>
      </c>
      <c r="B1378">
        <v>18896</v>
      </c>
      <c r="C1378">
        <f t="shared" si="56"/>
        <v>18916.322508931233</v>
      </c>
      <c r="D1378">
        <f t="shared" si="57"/>
        <v>0.99892566280144368</v>
      </c>
    </row>
    <row r="1379" spans="1:4">
      <c r="A1379">
        <v>1378</v>
      </c>
      <c r="B1379">
        <v>19247</v>
      </c>
      <c r="C1379">
        <f t="shared" si="56"/>
        <v>18896.623165860707</v>
      </c>
      <c r="D1379">
        <f t="shared" si="57"/>
        <v>1.0185417696624388</v>
      </c>
    </row>
    <row r="1380" spans="1:4">
      <c r="A1380">
        <v>1379</v>
      </c>
      <c r="B1380">
        <v>19217</v>
      </c>
      <c r="C1380">
        <f t="shared" si="56"/>
        <v>18876.984038015362</v>
      </c>
      <c r="D1380">
        <f t="shared" si="57"/>
        <v>1.0180121973563097</v>
      </c>
    </row>
    <row r="1381" spans="1:4">
      <c r="A1381">
        <v>1380</v>
      </c>
      <c r="B1381">
        <v>19285</v>
      </c>
      <c r="C1381">
        <f t="shared" si="56"/>
        <v>18857.405503889597</v>
      </c>
      <c r="D1381">
        <f t="shared" si="57"/>
        <v>1.0226751498779727</v>
      </c>
    </row>
    <row r="1382" spans="1:4">
      <c r="A1382">
        <v>1381</v>
      </c>
      <c r="B1382">
        <v>18974</v>
      </c>
      <c r="C1382">
        <f t="shared" si="56"/>
        <v>18837.887942541405</v>
      </c>
      <c r="D1382">
        <f t="shared" si="57"/>
        <v>1.0072254415077613</v>
      </c>
    </row>
    <row r="1383" spans="1:4">
      <c r="A1383">
        <v>1382</v>
      </c>
      <c r="B1383">
        <v>18898</v>
      </c>
      <c r="C1383">
        <f t="shared" si="56"/>
        <v>18818.431733592668</v>
      </c>
      <c r="D1383">
        <f t="shared" si="57"/>
        <v>1.0042282092117853</v>
      </c>
    </row>
    <row r="1384" spans="1:4">
      <c r="A1384">
        <v>1383</v>
      </c>
      <c r="B1384">
        <v>18598</v>
      </c>
      <c r="C1384">
        <f t="shared" si="56"/>
        <v>18799.037257228993</v>
      </c>
      <c r="D1384">
        <f t="shared" si="57"/>
        <v>0.98930598123307167</v>
      </c>
    </row>
    <row r="1385" spans="1:4">
      <c r="A1385">
        <v>1384</v>
      </c>
      <c r="B1385">
        <v>18754</v>
      </c>
      <c r="C1385">
        <f t="shared" si="56"/>
        <v>18779.704894199887</v>
      </c>
      <c r="D1385">
        <f t="shared" si="57"/>
        <v>0.9986312407812209</v>
      </c>
    </row>
    <row r="1386" spans="1:4">
      <c r="A1386">
        <v>1385</v>
      </c>
      <c r="B1386">
        <v>18667</v>
      </c>
      <c r="C1386">
        <f t="shared" si="56"/>
        <v>18760.435025818413</v>
      </c>
      <c r="D1386">
        <f t="shared" si="57"/>
        <v>0.99501957040495992</v>
      </c>
    </row>
    <row r="1387" spans="1:4">
      <c r="A1387">
        <v>1386</v>
      </c>
      <c r="B1387">
        <v>18695</v>
      </c>
      <c r="C1387">
        <f t="shared" si="56"/>
        <v>18741.228033961823</v>
      </c>
      <c r="D1387">
        <f t="shared" si="57"/>
        <v>0.99753335086270489</v>
      </c>
    </row>
    <row r="1388" spans="1:4">
      <c r="A1388">
        <v>1387</v>
      </c>
      <c r="B1388">
        <v>18797</v>
      </c>
      <c r="C1388">
        <f t="shared" si="56"/>
        <v>18722.084301070645</v>
      </c>
      <c r="D1388">
        <f t="shared" si="57"/>
        <v>1.0040014614678918</v>
      </c>
    </row>
    <row r="1389" spans="1:4">
      <c r="A1389">
        <v>1388</v>
      </c>
      <c r="B1389">
        <v>18315</v>
      </c>
      <c r="C1389">
        <f t="shared" si="56"/>
        <v>18703.004210149615</v>
      </c>
      <c r="D1389">
        <f t="shared" si="57"/>
        <v>0.97925444459136379</v>
      </c>
    </row>
    <row r="1390" spans="1:4">
      <c r="A1390">
        <v>1389</v>
      </c>
      <c r="B1390">
        <v>18103</v>
      </c>
      <c r="C1390">
        <f t="shared" si="56"/>
        <v>18683.988144767049</v>
      </c>
      <c r="D1390">
        <f t="shared" si="57"/>
        <v>0.96890448975532184</v>
      </c>
    </row>
    <row r="1391" spans="1:4">
      <c r="A1391">
        <v>1390</v>
      </c>
      <c r="B1391">
        <v>18167</v>
      </c>
      <c r="C1391">
        <f t="shared" si="56"/>
        <v>18665.036489055092</v>
      </c>
      <c r="D1391">
        <f t="shared" si="57"/>
        <v>0.9733171435615926</v>
      </c>
    </row>
    <row r="1392" spans="1:4">
      <c r="A1392">
        <v>1391</v>
      </c>
      <c r="B1392">
        <v>18226</v>
      </c>
      <c r="C1392">
        <f t="shared" si="56"/>
        <v>18646.149627709703</v>
      </c>
      <c r="D1392">
        <f t="shared" si="57"/>
        <v>0.97746721783861878</v>
      </c>
    </row>
    <row r="1393" spans="1:4">
      <c r="A1393">
        <v>1392</v>
      </c>
      <c r="B1393">
        <v>18239</v>
      </c>
      <c r="C1393">
        <f t="shared" si="56"/>
        <v>18627.327945990597</v>
      </c>
      <c r="D1393">
        <f t="shared" si="57"/>
        <v>0.97915278309822307</v>
      </c>
    </row>
    <row r="1394" spans="1:4">
      <c r="A1394">
        <v>1393</v>
      </c>
      <c r="B1394">
        <v>18343</v>
      </c>
      <c r="C1394">
        <f t="shared" si="56"/>
        <v>18608.57182972123</v>
      </c>
      <c r="D1394">
        <f t="shared" si="57"/>
        <v>0.98572852166456626</v>
      </c>
    </row>
    <row r="1395" spans="1:4">
      <c r="A1395">
        <v>1394</v>
      </c>
      <c r="B1395">
        <v>18605</v>
      </c>
      <c r="C1395">
        <f t="shared" si="56"/>
        <v>18589.88166528906</v>
      </c>
      <c r="D1395">
        <f t="shared" si="57"/>
        <v>1.0008132561026017</v>
      </c>
    </row>
    <row r="1396" spans="1:4">
      <c r="A1396">
        <v>1395</v>
      </c>
      <c r="B1396">
        <v>18474</v>
      </c>
      <c r="C1396">
        <f t="shared" si="56"/>
        <v>18571.257839644953</v>
      </c>
      <c r="D1396">
        <f t="shared" si="57"/>
        <v>0.99476299125860324</v>
      </c>
    </row>
    <row r="1397" spans="1:4">
      <c r="A1397">
        <v>1396</v>
      </c>
      <c r="B1397">
        <v>18327</v>
      </c>
      <c r="C1397">
        <f t="shared" si="56"/>
        <v>18552.700740303881</v>
      </c>
      <c r="D1397">
        <f t="shared" si="57"/>
        <v>0.98783461537685624</v>
      </c>
    </row>
    <row r="1398" spans="1:4">
      <c r="A1398">
        <v>1397</v>
      </c>
      <c r="B1398">
        <v>18181</v>
      </c>
      <c r="C1398">
        <f t="shared" si="56"/>
        <v>18534.210755344553</v>
      </c>
      <c r="D1398">
        <f t="shared" si="57"/>
        <v>0.98094276794372259</v>
      </c>
    </row>
    <row r="1399" spans="1:4">
      <c r="A1399">
        <v>1398</v>
      </c>
      <c r="B1399">
        <v>18218</v>
      </c>
      <c r="C1399">
        <f t="shared" si="56"/>
        <v>18515.788273409325</v>
      </c>
      <c r="D1399">
        <f t="shared" si="57"/>
        <v>0.98391706207631557</v>
      </c>
    </row>
    <row r="1400" spans="1:4">
      <c r="A1400">
        <v>1399</v>
      </c>
      <c r="B1400">
        <v>18352</v>
      </c>
      <c r="C1400">
        <f t="shared" si="56"/>
        <v>18497.433683704458</v>
      </c>
      <c r="D1400">
        <f t="shared" si="57"/>
        <v>0.99213762913324677</v>
      </c>
    </row>
    <row r="1401" spans="1:4">
      <c r="A1401">
        <v>1400</v>
      </c>
      <c r="B1401">
        <v>18551</v>
      </c>
      <c r="C1401">
        <f t="shared" si="56"/>
        <v>18479.147376000034</v>
      </c>
      <c r="D1401">
        <f t="shared" si="57"/>
        <v>1.0038883084017873</v>
      </c>
    </row>
    <row r="1402" spans="1:4">
      <c r="A1402">
        <v>1401</v>
      </c>
      <c r="B1402">
        <v>18668</v>
      </c>
      <c r="C1402">
        <f t="shared" si="56"/>
        <v>18460.929740629686</v>
      </c>
      <c r="D1402">
        <f t="shared" si="57"/>
        <v>1.0112166755564094</v>
      </c>
    </row>
    <row r="1403" spans="1:4">
      <c r="A1403">
        <v>1402</v>
      </c>
      <c r="B1403">
        <v>18556</v>
      </c>
      <c r="C1403">
        <f t="shared" si="56"/>
        <v>18442.781168491183</v>
      </c>
      <c r="D1403">
        <f t="shared" si="57"/>
        <v>1.0061389239765122</v>
      </c>
    </row>
    <row r="1404" spans="1:4">
      <c r="A1404">
        <v>1403</v>
      </c>
      <c r="B1404">
        <v>18559</v>
      </c>
      <c r="C1404">
        <f t="shared" si="56"/>
        <v>18424.702051045828</v>
      </c>
      <c r="D1404">
        <f t="shared" si="57"/>
        <v>1.0072890160493286</v>
      </c>
    </row>
    <row r="1405" spans="1:4">
      <c r="A1405">
        <v>1404</v>
      </c>
      <c r="B1405">
        <v>18556</v>
      </c>
      <c r="C1405">
        <f t="shared" si="56"/>
        <v>18406.692780318739</v>
      </c>
      <c r="D1405">
        <f t="shared" si="57"/>
        <v>1.008111572321178</v>
      </c>
    </row>
    <row r="1406" spans="1:4">
      <c r="A1406">
        <v>1405</v>
      </c>
      <c r="B1406">
        <v>18756</v>
      </c>
      <c r="C1406">
        <f t="shared" si="56"/>
        <v>18388.753748898907</v>
      </c>
      <c r="D1406">
        <f t="shared" si="57"/>
        <v>1.0199712419947482</v>
      </c>
    </row>
    <row r="1407" spans="1:4">
      <c r="A1407">
        <v>1406</v>
      </c>
      <c r="B1407">
        <v>19038</v>
      </c>
      <c r="C1407">
        <f t="shared" si="56"/>
        <v>18370.885349939123</v>
      </c>
      <c r="D1407">
        <f t="shared" si="57"/>
        <v>1.0363136907858983</v>
      </c>
    </row>
    <row r="1408" spans="1:4">
      <c r="A1408">
        <v>1407</v>
      </c>
      <c r="B1408">
        <v>19118</v>
      </c>
      <c r="C1408">
        <f t="shared" si="56"/>
        <v>18353.087977155814</v>
      </c>
      <c r="D1408">
        <f t="shared" si="57"/>
        <v>1.041677565311967</v>
      </c>
    </row>
    <row r="1409" spans="1:4">
      <c r="A1409">
        <v>1408</v>
      </c>
      <c r="B1409">
        <v>19362</v>
      </c>
      <c r="C1409">
        <f t="shared" si="56"/>
        <v>18335.362024829399</v>
      </c>
      <c r="D1409">
        <f t="shared" si="57"/>
        <v>1.0559922391377028</v>
      </c>
    </row>
    <row r="1410" spans="1:4">
      <c r="A1410">
        <v>1409</v>
      </c>
      <c r="B1410">
        <v>19390</v>
      </c>
      <c r="C1410">
        <f t="shared" ref="C1410:C1473" si="58" xml:space="preserve"> 0.00000002349111*A1410*A1410*A1410*A1410 - 0.0000664476*A1410*A1410*A1410 + 0.03716061*A1410*A1410 + 10.57172*A1410 + 22932.71</f>
        <v>18317.707887803848</v>
      </c>
      <c r="D1410">
        <f t="shared" ref="D1410:D1473" si="59">B1410/C1410</f>
        <v>1.0585385528999562</v>
      </c>
    </row>
    <row r="1411" spans="1:4">
      <c r="A1411">
        <v>1410</v>
      </c>
      <c r="B1411">
        <v>19410</v>
      </c>
      <c r="C1411">
        <f t="shared" si="58"/>
        <v>18300.125961487149</v>
      </c>
      <c r="D1411">
        <f t="shared" si="59"/>
        <v>1.060648437111777</v>
      </c>
    </row>
    <row r="1412" spans="1:4">
      <c r="A1412">
        <v>1411</v>
      </c>
      <c r="B1412">
        <v>19232</v>
      </c>
      <c r="C1412">
        <f t="shared" si="58"/>
        <v>18282.616641850869</v>
      </c>
      <c r="D1412">
        <f t="shared" si="59"/>
        <v>1.0519281991602827</v>
      </c>
    </row>
    <row r="1413" spans="1:4">
      <c r="A1413">
        <v>1412</v>
      </c>
      <c r="B1413">
        <v>19031</v>
      </c>
      <c r="C1413">
        <f t="shared" si="58"/>
        <v>18265.18032543048</v>
      </c>
      <c r="D1413">
        <f t="shared" si="59"/>
        <v>1.0419278463680577</v>
      </c>
    </row>
    <row r="1414" spans="1:4">
      <c r="A1414">
        <v>1413</v>
      </c>
      <c r="B1414">
        <v>19103</v>
      </c>
      <c r="C1414">
        <f t="shared" si="58"/>
        <v>18247.817409325351</v>
      </c>
      <c r="D1414">
        <f t="shared" si="59"/>
        <v>1.0468649248012323</v>
      </c>
    </row>
    <row r="1415" spans="1:4">
      <c r="A1415">
        <v>1414</v>
      </c>
      <c r="B1415">
        <v>19096</v>
      </c>
      <c r="C1415">
        <f t="shared" si="58"/>
        <v>18230.528291198392</v>
      </c>
      <c r="D1415">
        <f t="shared" si="59"/>
        <v>1.047473759124109</v>
      </c>
    </row>
    <row r="1416" spans="1:4">
      <c r="A1416">
        <v>1415</v>
      </c>
      <c r="B1416">
        <v>18845</v>
      </c>
      <c r="C1416">
        <f t="shared" si="58"/>
        <v>18213.313369276457</v>
      </c>
      <c r="D1416">
        <f t="shared" si="59"/>
        <v>1.0346826861162515</v>
      </c>
    </row>
    <row r="1417" spans="1:4">
      <c r="A1417">
        <v>1416</v>
      </c>
      <c r="B1417">
        <v>18788</v>
      </c>
      <c r="C1417">
        <f t="shared" si="58"/>
        <v>18196.17304235011</v>
      </c>
      <c r="D1417">
        <f t="shared" si="59"/>
        <v>1.0325248037745334</v>
      </c>
    </row>
    <row r="1418" spans="1:4">
      <c r="A1418">
        <v>1417</v>
      </c>
      <c r="B1418">
        <v>18724</v>
      </c>
      <c r="C1418">
        <f t="shared" si="58"/>
        <v>18179.107709773776</v>
      </c>
      <c r="D1418">
        <f t="shared" si="59"/>
        <v>1.0299735442974063</v>
      </c>
    </row>
    <row r="1419" spans="1:4">
      <c r="A1419">
        <v>1418</v>
      </c>
      <c r="B1419">
        <v>18499</v>
      </c>
      <c r="C1419">
        <f t="shared" si="58"/>
        <v>18162.117771465677</v>
      </c>
      <c r="D1419">
        <f t="shared" si="59"/>
        <v>1.0185486204182419</v>
      </c>
    </row>
    <row r="1420" spans="1:4">
      <c r="A1420">
        <v>1419</v>
      </c>
      <c r="B1420">
        <v>18647</v>
      </c>
      <c r="C1420">
        <f t="shared" si="58"/>
        <v>18145.203627907722</v>
      </c>
      <c r="D1420">
        <f t="shared" si="59"/>
        <v>1.0276544910920979</v>
      </c>
    </row>
    <row r="1421" spans="1:4">
      <c r="A1421">
        <v>1420</v>
      </c>
      <c r="B1421">
        <v>18903</v>
      </c>
      <c r="C1421">
        <f t="shared" si="58"/>
        <v>18128.365680145624</v>
      </c>
      <c r="D1421">
        <f t="shared" si="59"/>
        <v>1.0427305104895785</v>
      </c>
    </row>
    <row r="1422" spans="1:4">
      <c r="A1422">
        <v>1421</v>
      </c>
      <c r="B1422">
        <v>19284</v>
      </c>
      <c r="C1422">
        <f t="shared" si="58"/>
        <v>18111.604329788934</v>
      </c>
      <c r="D1422">
        <f t="shared" si="59"/>
        <v>1.0647317404280292</v>
      </c>
    </row>
    <row r="1423" spans="1:4">
      <c r="A1423">
        <v>1422</v>
      </c>
      <c r="B1423">
        <v>19218</v>
      </c>
      <c r="C1423">
        <f t="shared" si="58"/>
        <v>18094.919979011029</v>
      </c>
      <c r="D1423">
        <f t="shared" si="59"/>
        <v>1.0620660396559738</v>
      </c>
    </row>
    <row r="1424" spans="1:4">
      <c r="A1424">
        <v>1423</v>
      </c>
      <c r="B1424">
        <v>19252</v>
      </c>
      <c r="C1424">
        <f t="shared" si="58"/>
        <v>18078.313030549012</v>
      </c>
      <c r="D1424">
        <f t="shared" si="59"/>
        <v>1.0649223723180186</v>
      </c>
    </row>
    <row r="1425" spans="1:4">
      <c r="A1425">
        <v>1424</v>
      </c>
      <c r="B1425">
        <v>18936</v>
      </c>
      <c r="C1425">
        <f t="shared" si="58"/>
        <v>18061.783887703714</v>
      </c>
      <c r="D1425">
        <f t="shared" si="59"/>
        <v>1.0484014268873765</v>
      </c>
    </row>
    <row r="1426" spans="1:4">
      <c r="A1426">
        <v>1425</v>
      </c>
      <c r="B1426">
        <v>18712</v>
      </c>
      <c r="C1426">
        <f t="shared" si="58"/>
        <v>18045.332954339836</v>
      </c>
      <c r="D1426">
        <f t="shared" si="59"/>
        <v>1.0369440146849622</v>
      </c>
    </row>
    <row r="1427" spans="1:4">
      <c r="A1427">
        <v>1426</v>
      </c>
      <c r="B1427">
        <v>18438</v>
      </c>
      <c r="C1427">
        <f t="shared" si="58"/>
        <v>18028.960634885923</v>
      </c>
      <c r="D1427">
        <f t="shared" si="59"/>
        <v>1.0226879060528087</v>
      </c>
    </row>
    <row r="1428" spans="1:4">
      <c r="A1428">
        <v>1427</v>
      </c>
      <c r="B1428">
        <v>18210</v>
      </c>
      <c r="C1428">
        <f t="shared" si="58"/>
        <v>18012.667334334146</v>
      </c>
      <c r="D1428">
        <f t="shared" si="59"/>
        <v>1.010955216237726</v>
      </c>
    </row>
    <row r="1429" spans="1:4">
      <c r="A1429">
        <v>1428</v>
      </c>
      <c r="B1429">
        <v>18073</v>
      </c>
      <c r="C1429">
        <f t="shared" si="58"/>
        <v>17996.453458240503</v>
      </c>
      <c r="D1429">
        <f t="shared" si="59"/>
        <v>1.0042534237057938</v>
      </c>
    </row>
    <row r="1430" spans="1:4">
      <c r="A1430">
        <v>1429</v>
      </c>
      <c r="B1430">
        <v>17995</v>
      </c>
      <c r="C1430">
        <f t="shared" si="58"/>
        <v>17980.31941272501</v>
      </c>
      <c r="D1430">
        <f t="shared" si="59"/>
        <v>1.0008164808943605</v>
      </c>
    </row>
    <row r="1431" spans="1:4">
      <c r="A1431">
        <v>1430</v>
      </c>
      <c r="B1431">
        <v>18022</v>
      </c>
      <c r="C1431">
        <f t="shared" si="58"/>
        <v>17964.265604471075</v>
      </c>
      <c r="D1431">
        <f t="shared" si="59"/>
        <v>1.0032138466887595</v>
      </c>
    </row>
    <row r="1432" spans="1:4">
      <c r="A1432">
        <v>1431</v>
      </c>
      <c r="B1432">
        <v>18128</v>
      </c>
      <c r="C1432">
        <f t="shared" si="58"/>
        <v>17948.292440726254</v>
      </c>
      <c r="D1432">
        <f t="shared" si="59"/>
        <v>1.0100125156678399</v>
      </c>
    </row>
    <row r="1433" spans="1:4">
      <c r="A1433">
        <v>1432</v>
      </c>
      <c r="B1433">
        <v>18023</v>
      </c>
      <c r="C1433">
        <f t="shared" si="58"/>
        <v>17932.400329301672</v>
      </c>
      <c r="D1433">
        <f t="shared" si="59"/>
        <v>1.0050522890987599</v>
      </c>
    </row>
    <row r="1434" spans="1:4">
      <c r="A1434">
        <v>1433</v>
      </c>
      <c r="B1434">
        <v>17967</v>
      </c>
      <c r="C1434">
        <f t="shared" si="58"/>
        <v>17916.589678572251</v>
      </c>
      <c r="D1434">
        <f t="shared" si="59"/>
        <v>1.0028136114256185</v>
      </c>
    </row>
    <row r="1435" spans="1:4">
      <c r="A1435">
        <v>1434</v>
      </c>
      <c r="B1435">
        <v>17800</v>
      </c>
      <c r="C1435">
        <f t="shared" si="58"/>
        <v>17900.860897476858</v>
      </c>
      <c r="D1435">
        <f t="shared" si="59"/>
        <v>0.99436558397640673</v>
      </c>
    </row>
    <row r="1436" spans="1:4">
      <c r="A1436">
        <v>1435</v>
      </c>
      <c r="B1436">
        <v>17307</v>
      </c>
      <c r="C1436">
        <f t="shared" si="58"/>
        <v>17885.214395517956</v>
      </c>
      <c r="D1436">
        <f t="shared" si="59"/>
        <v>0.96767081552777712</v>
      </c>
    </row>
    <row r="1437" spans="1:4">
      <c r="A1437">
        <v>1436</v>
      </c>
      <c r="B1437">
        <v>17132</v>
      </c>
      <c r="C1437">
        <f t="shared" si="58"/>
        <v>17869.650582761926</v>
      </c>
      <c r="D1437">
        <f t="shared" si="59"/>
        <v>0.95872048088766182</v>
      </c>
    </row>
    <row r="1438" spans="1:4">
      <c r="A1438">
        <v>1437</v>
      </c>
      <c r="B1438">
        <v>17039</v>
      </c>
      <c r="C1438">
        <f t="shared" si="58"/>
        <v>17854.169869838843</v>
      </c>
      <c r="D1438">
        <f t="shared" si="59"/>
        <v>0.95434288595988359</v>
      </c>
    </row>
    <row r="1439" spans="1:4">
      <c r="A1439">
        <v>1438</v>
      </c>
      <c r="B1439">
        <v>17102</v>
      </c>
      <c r="C1439">
        <f t="shared" si="58"/>
        <v>17838.772667942714</v>
      </c>
      <c r="D1439">
        <f t="shared" si="59"/>
        <v>0.95869824221333699</v>
      </c>
    </row>
    <row r="1440" spans="1:4">
      <c r="A1440">
        <v>1439</v>
      </c>
      <c r="B1440">
        <v>17381</v>
      </c>
      <c r="C1440">
        <f t="shared" si="58"/>
        <v>17823.459388831128</v>
      </c>
      <c r="D1440">
        <f t="shared" si="59"/>
        <v>0.97517544831345193</v>
      </c>
    </row>
    <row r="1441" spans="1:4">
      <c r="A1441">
        <v>1440</v>
      </c>
      <c r="B1441">
        <v>17690</v>
      </c>
      <c r="C1441">
        <f t="shared" si="58"/>
        <v>17808.230444825589</v>
      </c>
      <c r="D1441">
        <f t="shared" si="59"/>
        <v>0.99336090999092264</v>
      </c>
    </row>
    <row r="1442" spans="1:4">
      <c r="A1442">
        <v>1441</v>
      </c>
      <c r="B1442">
        <v>17784</v>
      </c>
      <c r="C1442">
        <f t="shared" si="58"/>
        <v>17793.086248811458</v>
      </c>
      <c r="D1442">
        <f t="shared" si="59"/>
        <v>0.99948933823596431</v>
      </c>
    </row>
    <row r="1443" spans="1:4">
      <c r="A1443">
        <v>1442</v>
      </c>
      <c r="B1443">
        <v>17617</v>
      </c>
      <c r="C1443">
        <f t="shared" si="58"/>
        <v>17778.027214237634</v>
      </c>
      <c r="D1443">
        <f t="shared" si="59"/>
        <v>0.99094234628526867</v>
      </c>
    </row>
    <row r="1444" spans="1:4">
      <c r="A1444">
        <v>1443</v>
      </c>
      <c r="B1444">
        <v>17236</v>
      </c>
      <c r="C1444">
        <f t="shared" si="58"/>
        <v>17763.053755117064</v>
      </c>
      <c r="D1444">
        <f t="shared" si="59"/>
        <v>0.97032865168438542</v>
      </c>
    </row>
    <row r="1445" spans="1:4">
      <c r="A1445">
        <v>1444</v>
      </c>
      <c r="B1445">
        <v>17001</v>
      </c>
      <c r="C1445">
        <f t="shared" si="58"/>
        <v>17748.16628602639</v>
      </c>
      <c r="D1445">
        <f t="shared" si="59"/>
        <v>0.95790177565472479</v>
      </c>
    </row>
    <row r="1446" spans="1:4">
      <c r="A1446">
        <v>1445</v>
      </c>
      <c r="B1446">
        <v>16645</v>
      </c>
      <c r="C1446">
        <f t="shared" si="58"/>
        <v>17733.365222105938</v>
      </c>
      <c r="D1446">
        <f t="shared" si="59"/>
        <v>0.93862613167470255</v>
      </c>
    </row>
    <row r="1447" spans="1:4">
      <c r="A1447">
        <v>1446</v>
      </c>
      <c r="B1447">
        <v>16066</v>
      </c>
      <c r="C1447">
        <f t="shared" si="58"/>
        <v>17718.650979059967</v>
      </c>
      <c r="D1447">
        <f t="shared" si="59"/>
        <v>0.9067281712917602</v>
      </c>
    </row>
    <row r="1448" spans="1:4">
      <c r="A1448">
        <v>1447</v>
      </c>
      <c r="B1448">
        <v>15948</v>
      </c>
      <c r="C1448">
        <f t="shared" si="58"/>
        <v>17704.023973156516</v>
      </c>
      <c r="D1448">
        <f t="shared" si="59"/>
        <v>0.90081215570996387</v>
      </c>
    </row>
    <row r="1449" spans="1:4">
      <c r="A1449">
        <v>1448</v>
      </c>
      <c r="B1449">
        <v>15983</v>
      </c>
      <c r="C1449">
        <f t="shared" si="58"/>
        <v>17689.484621227253</v>
      </c>
      <c r="D1449">
        <f t="shared" si="59"/>
        <v>0.90353112836427785</v>
      </c>
    </row>
    <row r="1450" spans="1:4">
      <c r="A1450">
        <v>1449</v>
      </c>
      <c r="B1450">
        <v>16363</v>
      </c>
      <c r="C1450">
        <f t="shared" si="58"/>
        <v>17675.033340667789</v>
      </c>
      <c r="D1450">
        <f t="shared" si="59"/>
        <v>0.92576911650576732</v>
      </c>
    </row>
    <row r="1451" spans="1:4">
      <c r="A1451">
        <v>1450</v>
      </c>
      <c r="B1451">
        <v>16932</v>
      </c>
      <c r="C1451">
        <f t="shared" si="58"/>
        <v>17660.67054943752</v>
      </c>
      <c r="D1451">
        <f t="shared" si="59"/>
        <v>0.95874049360709424</v>
      </c>
    </row>
    <row r="1452" spans="1:4">
      <c r="A1452">
        <v>1451</v>
      </c>
      <c r="B1452">
        <v>17271</v>
      </c>
      <c r="C1452">
        <f t="shared" si="58"/>
        <v>17646.396666059482</v>
      </c>
      <c r="D1452">
        <f t="shared" si="59"/>
        <v>0.97872672403530925</v>
      </c>
    </row>
    <row r="1453" spans="1:4">
      <c r="A1453">
        <v>1452</v>
      </c>
      <c r="B1453">
        <v>17183</v>
      </c>
      <c r="C1453">
        <f t="shared" si="58"/>
        <v>17632.212109620683</v>
      </c>
      <c r="D1453">
        <f t="shared" si="59"/>
        <v>0.97452321314943924</v>
      </c>
    </row>
    <row r="1454" spans="1:4">
      <c r="A1454">
        <v>1453</v>
      </c>
      <c r="B1454">
        <v>16825</v>
      </c>
      <c r="C1454">
        <f t="shared" si="58"/>
        <v>17618.117299771773</v>
      </c>
      <c r="D1454">
        <f t="shared" si="59"/>
        <v>0.95498285734639499</v>
      </c>
    </row>
    <row r="1455" spans="1:4">
      <c r="A1455">
        <v>1454</v>
      </c>
      <c r="B1455">
        <v>16442</v>
      </c>
      <c r="C1455">
        <f t="shared" si="58"/>
        <v>17604.112656727244</v>
      </c>
      <c r="D1455">
        <f t="shared" si="59"/>
        <v>0.93398629744151551</v>
      </c>
    </row>
    <row r="1456" spans="1:4">
      <c r="A1456">
        <v>1455</v>
      </c>
      <c r="B1456">
        <v>16027</v>
      </c>
      <c r="C1456">
        <f t="shared" si="58"/>
        <v>17590.198601265489</v>
      </c>
      <c r="D1456">
        <f t="shared" si="59"/>
        <v>0.91113240750146918</v>
      </c>
    </row>
    <row r="1457" spans="1:7">
      <c r="A1457">
        <v>1456</v>
      </c>
      <c r="B1457">
        <v>15316</v>
      </c>
      <c r="C1457">
        <f t="shared" si="58"/>
        <v>17576.375554728394</v>
      </c>
      <c r="D1457">
        <f t="shared" si="59"/>
        <v>0.87139694712996107</v>
      </c>
    </row>
    <row r="1458" spans="1:7">
      <c r="A1458">
        <v>1457</v>
      </c>
      <c r="B1458">
        <v>14206</v>
      </c>
      <c r="C1458">
        <f t="shared" si="58"/>
        <v>17562.643939021924</v>
      </c>
      <c r="D1458">
        <f t="shared" si="59"/>
        <v>0.80887593287910964</v>
      </c>
    </row>
    <row r="1459" spans="1:7">
      <c r="A1459">
        <v>1458</v>
      </c>
      <c r="B1459">
        <v>12880</v>
      </c>
      <c r="C1459">
        <f t="shared" si="58"/>
        <v>17549.004176615737</v>
      </c>
      <c r="D1459">
        <f t="shared" si="59"/>
        <v>0.7339447794515177</v>
      </c>
    </row>
    <row r="1460" spans="1:7">
      <c r="A1460">
        <v>1459</v>
      </c>
      <c r="B1460">
        <v>11410</v>
      </c>
      <c r="C1460">
        <f t="shared" si="58"/>
        <v>17535.456690543193</v>
      </c>
      <c r="D1460">
        <f t="shared" si="59"/>
        <v>0.65068165610727269</v>
      </c>
    </row>
    <row r="1461" spans="1:7" ht="17.25">
      <c r="A1461">
        <v>1460</v>
      </c>
      <c r="B1461">
        <v>10480</v>
      </c>
      <c r="C1461">
        <f t="shared" si="58"/>
        <v>17522.001904401593</v>
      </c>
      <c r="D1461">
        <f t="shared" si="59"/>
        <v>0.59810517412210673</v>
      </c>
      <c r="F1461">
        <v>1460.5</v>
      </c>
      <c r="G1461" t="s">
        <v>105</v>
      </c>
    </row>
    <row r="1462" spans="1:7" ht="17.25">
      <c r="A1462">
        <v>1461</v>
      </c>
      <c r="B1462">
        <v>10517</v>
      </c>
      <c r="C1462">
        <f t="shared" si="58"/>
        <v>17508.640242351867</v>
      </c>
      <c r="D1462">
        <f t="shared" si="59"/>
        <v>0.6006748584941678</v>
      </c>
      <c r="F1462">
        <v>1460.5</v>
      </c>
      <c r="G1462" t="s">
        <v>106</v>
      </c>
    </row>
    <row r="1463" spans="1:7">
      <c r="A1463">
        <v>1462</v>
      </c>
      <c r="B1463">
        <v>11219</v>
      </c>
      <c r="C1463">
        <f t="shared" si="58"/>
        <v>17495.372129118798</v>
      </c>
      <c r="D1463">
        <f t="shared" si="59"/>
        <v>0.64125529409731252</v>
      </c>
    </row>
    <row r="1464" spans="1:7">
      <c r="A1464">
        <v>1463</v>
      </c>
      <c r="B1464">
        <v>12715</v>
      </c>
      <c r="C1464">
        <f t="shared" si="58"/>
        <v>17482.197989991044</v>
      </c>
      <c r="D1464">
        <f t="shared" si="59"/>
        <v>0.72731129159386176</v>
      </c>
    </row>
    <row r="1465" spans="1:7">
      <c r="A1465">
        <v>1464</v>
      </c>
      <c r="B1465">
        <v>14523</v>
      </c>
      <c r="C1465">
        <f t="shared" si="58"/>
        <v>17469.118250820844</v>
      </c>
      <c r="D1465">
        <f t="shared" si="59"/>
        <v>0.83135277874242963</v>
      </c>
    </row>
    <row r="1466" spans="1:7">
      <c r="A1466">
        <v>1465</v>
      </c>
      <c r="B1466">
        <v>15905</v>
      </c>
      <c r="C1466">
        <f t="shared" si="58"/>
        <v>17456.13333802444</v>
      </c>
      <c r="D1466">
        <f t="shared" si="59"/>
        <v>0.91114106956059804</v>
      </c>
    </row>
    <row r="1467" spans="1:7">
      <c r="A1467">
        <v>1466</v>
      </c>
      <c r="B1467">
        <v>16690</v>
      </c>
      <c r="C1467">
        <f t="shared" si="58"/>
        <v>17443.243678581697</v>
      </c>
      <c r="D1467">
        <f t="shared" si="59"/>
        <v>0.95681745365361182</v>
      </c>
    </row>
    <row r="1468" spans="1:7">
      <c r="A1468">
        <v>1467</v>
      </c>
      <c r="B1468">
        <v>17208</v>
      </c>
      <c r="C1468">
        <f t="shared" si="58"/>
        <v>17430.449700036428</v>
      </c>
      <c r="D1468">
        <f t="shared" si="59"/>
        <v>0.98723786799166957</v>
      </c>
    </row>
    <row r="1469" spans="1:7">
      <c r="A1469">
        <v>1468</v>
      </c>
      <c r="B1469">
        <v>17258</v>
      </c>
      <c r="C1469">
        <f t="shared" si="58"/>
        <v>17417.751830496069</v>
      </c>
      <c r="D1469">
        <f t="shared" si="59"/>
        <v>0.99082821755352113</v>
      </c>
    </row>
    <row r="1470" spans="1:7">
      <c r="A1470">
        <v>1469</v>
      </c>
      <c r="B1470">
        <v>17101</v>
      </c>
      <c r="C1470">
        <f t="shared" si="58"/>
        <v>17405.150498631898</v>
      </c>
      <c r="D1470">
        <f t="shared" si="59"/>
        <v>0.98252525890794196</v>
      </c>
    </row>
    <row r="1471" spans="1:7">
      <c r="A1471">
        <v>1470</v>
      </c>
      <c r="B1471">
        <v>16798</v>
      </c>
      <c r="C1471">
        <f t="shared" si="58"/>
        <v>17392.646133679111</v>
      </c>
      <c r="D1471">
        <f t="shared" si="59"/>
        <v>0.96581048512637546</v>
      </c>
    </row>
    <row r="1472" spans="1:7">
      <c r="A1472">
        <v>1471</v>
      </c>
      <c r="B1472">
        <v>16450</v>
      </c>
      <c r="C1472">
        <f t="shared" si="58"/>
        <v>17380.239165436455</v>
      </c>
      <c r="D1472">
        <f t="shared" si="59"/>
        <v>0.9464771942099397</v>
      </c>
    </row>
    <row r="1473" spans="1:4">
      <c r="A1473">
        <v>1472</v>
      </c>
      <c r="B1473">
        <v>16257</v>
      </c>
      <c r="C1473">
        <f t="shared" si="58"/>
        <v>17367.930024266592</v>
      </c>
      <c r="D1473">
        <f t="shared" si="59"/>
        <v>0.93603555387922488</v>
      </c>
    </row>
    <row r="1474" spans="1:4">
      <c r="A1474">
        <v>1473</v>
      </c>
      <c r="B1474">
        <v>16058</v>
      </c>
      <c r="C1474">
        <f t="shared" ref="C1474:C1530" si="60" xml:space="preserve"> 0.00000002349111*A1474*A1474*A1474*A1474 - 0.0000664476*A1474*A1474*A1474 + 0.03716061*A1474*A1474 + 10.57172*A1474 + 22932.71</f>
        <v>17355.719141096044</v>
      </c>
      <c r="D1474">
        <f t="shared" ref="D1474:D1530" si="61">B1474/C1474</f>
        <v>0.92522815502221301</v>
      </c>
    </row>
    <row r="1475" spans="1:4">
      <c r="A1475">
        <v>1474</v>
      </c>
      <c r="B1475">
        <v>16087</v>
      </c>
      <c r="C1475">
        <f t="shared" si="60"/>
        <v>17343.606947414926</v>
      </c>
      <c r="D1475">
        <f t="shared" si="61"/>
        <v>0.92754638921275689</v>
      </c>
    </row>
    <row r="1476" spans="1:4">
      <c r="A1476">
        <v>1475</v>
      </c>
      <c r="B1476">
        <v>16414</v>
      </c>
      <c r="C1476">
        <f t="shared" si="60"/>
        <v>17331.593875277344</v>
      </c>
      <c r="D1476">
        <f t="shared" si="61"/>
        <v>0.94705657876127336</v>
      </c>
    </row>
    <row r="1477" spans="1:4">
      <c r="A1477">
        <v>1476</v>
      </c>
      <c r="B1477">
        <v>16648</v>
      </c>
      <c r="C1477">
        <f t="shared" si="60"/>
        <v>17319.680357301069</v>
      </c>
      <c r="D1477">
        <f t="shared" si="61"/>
        <v>0.96121866319444371</v>
      </c>
    </row>
    <row r="1478" spans="1:4">
      <c r="A1478">
        <v>1477</v>
      </c>
      <c r="B1478">
        <v>17024</v>
      </c>
      <c r="C1478">
        <f t="shared" si="60"/>
        <v>17307.866826667676</v>
      </c>
      <c r="D1478">
        <f t="shared" si="61"/>
        <v>0.98359897094711302</v>
      </c>
    </row>
    <row r="1479" spans="1:4">
      <c r="A1479">
        <v>1478</v>
      </c>
      <c r="B1479">
        <v>17295</v>
      </c>
      <c r="C1479">
        <f t="shared" si="60"/>
        <v>17296.153717122579</v>
      </c>
      <c r="D1479">
        <f t="shared" si="61"/>
        <v>0.99993329631885519</v>
      </c>
    </row>
    <row r="1480" spans="1:4">
      <c r="A1480">
        <v>1479</v>
      </c>
      <c r="B1480">
        <v>17525</v>
      </c>
      <c r="C1480">
        <f t="shared" si="60"/>
        <v>17284.541462974892</v>
      </c>
      <c r="D1480">
        <f t="shared" si="61"/>
        <v>1.0139117683590388</v>
      </c>
    </row>
    <row r="1481" spans="1:4">
      <c r="A1481">
        <v>1480</v>
      </c>
      <c r="B1481">
        <v>17491</v>
      </c>
      <c r="C1481">
        <f t="shared" si="60"/>
        <v>17273.0304990976</v>
      </c>
      <c r="D1481">
        <f t="shared" si="61"/>
        <v>1.0126190653639955</v>
      </c>
    </row>
    <row r="1482" spans="1:4">
      <c r="A1482">
        <v>1481</v>
      </c>
      <c r="B1482">
        <v>17284</v>
      </c>
      <c r="C1482">
        <f t="shared" si="60"/>
        <v>17261.621260927401</v>
      </c>
      <c r="D1482">
        <f t="shared" si="61"/>
        <v>1.0012964447970629</v>
      </c>
    </row>
    <row r="1483" spans="1:4">
      <c r="A1483">
        <v>1482</v>
      </c>
      <c r="B1483">
        <v>17054</v>
      </c>
      <c r="C1483">
        <f t="shared" si="60"/>
        <v>17250.314184464834</v>
      </c>
      <c r="D1483">
        <f t="shared" si="61"/>
        <v>0.98861967484385704</v>
      </c>
    </row>
    <row r="1484" spans="1:4">
      <c r="A1484">
        <v>1483</v>
      </c>
      <c r="B1484">
        <v>16807</v>
      </c>
      <c r="C1484">
        <f t="shared" si="60"/>
        <v>17239.109706274186</v>
      </c>
      <c r="D1484">
        <f t="shared" si="61"/>
        <v>0.97493433746657343</v>
      </c>
    </row>
    <row r="1485" spans="1:4">
      <c r="A1485">
        <v>1484</v>
      </c>
      <c r="B1485">
        <v>16684</v>
      </c>
      <c r="C1485">
        <f t="shared" si="60"/>
        <v>17228.008263483618</v>
      </c>
      <c r="D1485">
        <f t="shared" si="61"/>
        <v>0.96842303212515313</v>
      </c>
    </row>
    <row r="1486" spans="1:4">
      <c r="A1486">
        <v>1485</v>
      </c>
      <c r="B1486">
        <v>16487</v>
      </c>
      <c r="C1486">
        <f t="shared" si="60"/>
        <v>17217.010293784926</v>
      </c>
      <c r="D1486">
        <f t="shared" si="61"/>
        <v>0.95759947393140332</v>
      </c>
    </row>
    <row r="1487" spans="1:4">
      <c r="A1487">
        <v>1486</v>
      </c>
      <c r="B1487">
        <v>16304</v>
      </c>
      <c r="C1487">
        <f t="shared" si="60"/>
        <v>17206.116235433863</v>
      </c>
      <c r="D1487">
        <f t="shared" si="61"/>
        <v>0.94757002550197433</v>
      </c>
    </row>
    <row r="1488" spans="1:4">
      <c r="A1488">
        <v>1487</v>
      </c>
      <c r="B1488">
        <v>15912</v>
      </c>
      <c r="C1488">
        <f t="shared" si="60"/>
        <v>17195.326527249792</v>
      </c>
      <c r="D1488">
        <f t="shared" si="61"/>
        <v>0.92536771399972673</v>
      </c>
    </row>
    <row r="1489" spans="1:4">
      <c r="A1489">
        <v>1488</v>
      </c>
      <c r="B1489">
        <v>15707</v>
      </c>
      <c r="C1489">
        <f t="shared" si="60"/>
        <v>17184.641608615977</v>
      </c>
      <c r="D1489">
        <f t="shared" si="61"/>
        <v>0.91401382453765445</v>
      </c>
    </row>
    <row r="1490" spans="1:4">
      <c r="A1490">
        <v>1489</v>
      </c>
      <c r="B1490">
        <v>15749</v>
      </c>
      <c r="C1490">
        <f t="shared" si="60"/>
        <v>17174.061919479525</v>
      </c>
      <c r="D1490">
        <f t="shared" si="61"/>
        <v>0.91702243032772801</v>
      </c>
    </row>
    <row r="1491" spans="1:4">
      <c r="A1491">
        <v>1490</v>
      </c>
      <c r="B1491">
        <v>16315</v>
      </c>
      <c r="C1491">
        <f t="shared" si="60"/>
        <v>17163.587900351096</v>
      </c>
      <c r="D1491">
        <f t="shared" si="61"/>
        <v>0.95055882806800918</v>
      </c>
    </row>
    <row r="1492" spans="1:4">
      <c r="A1492">
        <v>1491</v>
      </c>
      <c r="B1492">
        <v>16842</v>
      </c>
      <c r="C1492">
        <f t="shared" si="60"/>
        <v>17153.219992305396</v>
      </c>
      <c r="D1492">
        <f t="shared" si="61"/>
        <v>0.98185646820567785</v>
      </c>
    </row>
    <row r="1493" spans="1:4">
      <c r="A1493">
        <v>1492</v>
      </c>
      <c r="B1493">
        <v>17188</v>
      </c>
      <c r="C1493">
        <f t="shared" si="60"/>
        <v>17142.958636980886</v>
      </c>
      <c r="D1493">
        <f t="shared" si="61"/>
        <v>1.0026273972873008</v>
      </c>
    </row>
    <row r="1494" spans="1:4">
      <c r="A1494">
        <v>1493</v>
      </c>
      <c r="B1494">
        <v>17082</v>
      </c>
      <c r="C1494">
        <f t="shared" si="60"/>
        <v>17132.80427657958</v>
      </c>
      <c r="D1494">
        <f t="shared" si="61"/>
        <v>0.99703467828386805</v>
      </c>
    </row>
    <row r="1495" spans="1:4">
      <c r="A1495">
        <v>1494</v>
      </c>
      <c r="B1495">
        <v>16799</v>
      </c>
      <c r="C1495">
        <f t="shared" si="60"/>
        <v>17122.757353867539</v>
      </c>
      <c r="D1495">
        <f t="shared" si="61"/>
        <v>0.98109198494280991</v>
      </c>
    </row>
    <row r="1496" spans="1:4">
      <c r="A1496">
        <v>1495</v>
      </c>
      <c r="B1496">
        <v>16505</v>
      </c>
      <c r="C1496">
        <f t="shared" si="60"/>
        <v>17112.818312174448</v>
      </c>
      <c r="D1496">
        <f t="shared" si="61"/>
        <v>0.96448169430151476</v>
      </c>
    </row>
    <row r="1497" spans="1:4">
      <c r="A1497">
        <v>1496</v>
      </c>
      <c r="B1497">
        <v>16388</v>
      </c>
      <c r="C1497">
        <f t="shared" si="60"/>
        <v>17102.987595393894</v>
      </c>
      <c r="D1497">
        <f t="shared" si="61"/>
        <v>0.95819516377440095</v>
      </c>
    </row>
    <row r="1498" spans="1:4">
      <c r="A1498">
        <v>1497</v>
      </c>
      <c r="B1498">
        <v>16365</v>
      </c>
      <c r="C1498">
        <f t="shared" si="60"/>
        <v>17093.265647983175</v>
      </c>
      <c r="D1498">
        <f t="shared" si="61"/>
        <v>0.95739458667635569</v>
      </c>
    </row>
    <row r="1499" spans="1:4">
      <c r="A1499">
        <v>1498</v>
      </c>
      <c r="B1499">
        <v>16636</v>
      </c>
      <c r="C1499">
        <f t="shared" si="60"/>
        <v>17083.652914963375</v>
      </c>
      <c r="D1499">
        <f t="shared" si="61"/>
        <v>0.97379641712509379</v>
      </c>
    </row>
    <row r="1500" spans="1:4">
      <c r="A1500">
        <v>1499</v>
      </c>
      <c r="B1500">
        <v>16944</v>
      </c>
      <c r="C1500">
        <f t="shared" si="60"/>
        <v>17074.149841919392</v>
      </c>
      <c r="D1500">
        <f t="shared" si="61"/>
        <v>0.9923773749718503</v>
      </c>
    </row>
    <row r="1501" spans="1:4">
      <c r="A1501">
        <v>1500</v>
      </c>
      <c r="B1501">
        <v>17150</v>
      </c>
      <c r="C1501">
        <f t="shared" si="60"/>
        <v>17064.756875000025</v>
      </c>
      <c r="D1501">
        <f t="shared" si="61"/>
        <v>1.0049952733358221</v>
      </c>
    </row>
    <row r="1502" spans="1:4">
      <c r="A1502">
        <v>1501</v>
      </c>
      <c r="B1502">
        <v>16883</v>
      </c>
      <c r="C1502">
        <f t="shared" si="60"/>
        <v>17055.474460917536</v>
      </c>
      <c r="D1502">
        <f t="shared" si="61"/>
        <v>0.98988744280830421</v>
      </c>
    </row>
    <row r="1503" spans="1:4">
      <c r="A1503">
        <v>1502</v>
      </c>
      <c r="B1503">
        <v>16660</v>
      </c>
      <c r="C1503">
        <f t="shared" si="60"/>
        <v>17046.303046948338</v>
      </c>
      <c r="D1503">
        <f t="shared" si="61"/>
        <v>0.97733801599769776</v>
      </c>
    </row>
    <row r="1504" spans="1:4">
      <c r="A1504">
        <v>1503</v>
      </c>
      <c r="B1504">
        <v>16372</v>
      </c>
      <c r="C1504">
        <f t="shared" si="60"/>
        <v>17037.243080932381</v>
      </c>
      <c r="D1504">
        <f t="shared" si="61"/>
        <v>0.96095359573305006</v>
      </c>
    </row>
    <row r="1505" spans="1:7">
      <c r="A1505">
        <v>1504</v>
      </c>
      <c r="B1505">
        <v>16207</v>
      </c>
      <c r="C1505">
        <f t="shared" si="60"/>
        <v>17028.295011273574</v>
      </c>
      <c r="D1505">
        <f t="shared" si="61"/>
        <v>0.9517688053484018</v>
      </c>
    </row>
    <row r="1506" spans="1:7">
      <c r="A1506">
        <v>1505</v>
      </c>
      <c r="B1506">
        <v>16318</v>
      </c>
      <c r="C1506">
        <f t="shared" si="60"/>
        <v>17019.459286939455</v>
      </c>
      <c r="D1506">
        <f t="shared" si="61"/>
        <v>0.95878486648058514</v>
      </c>
    </row>
    <row r="1507" spans="1:7">
      <c r="A1507">
        <v>1506</v>
      </c>
      <c r="B1507">
        <v>16498</v>
      </c>
      <c r="C1507">
        <f t="shared" si="60"/>
        <v>17010.736357461465</v>
      </c>
      <c r="D1507">
        <f t="shared" si="61"/>
        <v>0.96985807394301526</v>
      </c>
    </row>
    <row r="1508" spans="1:7">
      <c r="A1508">
        <v>1507</v>
      </c>
      <c r="B1508">
        <v>16639</v>
      </c>
      <c r="C1508">
        <f t="shared" si="60"/>
        <v>17002.126672934697</v>
      </c>
      <c r="D1508">
        <f t="shared" si="61"/>
        <v>0.97864227929128711</v>
      </c>
    </row>
    <row r="1509" spans="1:7">
      <c r="A1509">
        <v>1508</v>
      </c>
      <c r="B1509">
        <v>16670</v>
      </c>
      <c r="C1509">
        <f t="shared" si="60"/>
        <v>16993.630684018317</v>
      </c>
      <c r="D1509">
        <f t="shared" si="61"/>
        <v>0.98095576571976018</v>
      </c>
    </row>
    <row r="1510" spans="1:7">
      <c r="A1510">
        <v>1509</v>
      </c>
      <c r="B1510">
        <v>16829</v>
      </c>
      <c r="C1510">
        <f t="shared" si="60"/>
        <v>16985.24884193491</v>
      </c>
      <c r="D1510">
        <f t="shared" si="61"/>
        <v>0.99080090946038146</v>
      </c>
    </row>
    <row r="1511" spans="1:7">
      <c r="A1511">
        <v>1510</v>
      </c>
      <c r="B1511">
        <v>16563</v>
      </c>
      <c r="C1511">
        <f t="shared" si="60"/>
        <v>16976.981598471153</v>
      </c>
      <c r="D1511">
        <f t="shared" si="61"/>
        <v>0.9756151235677587</v>
      </c>
    </row>
    <row r="1512" spans="1:7">
      <c r="A1512">
        <v>1511</v>
      </c>
      <c r="B1512">
        <v>16188</v>
      </c>
      <c r="C1512">
        <f t="shared" si="60"/>
        <v>16968.829405977216</v>
      </c>
      <c r="D1512">
        <f t="shared" si="61"/>
        <v>0.95398448606583486</v>
      </c>
    </row>
    <row r="1513" spans="1:7">
      <c r="A1513">
        <v>1512</v>
      </c>
      <c r="B1513">
        <v>15120</v>
      </c>
      <c r="C1513">
        <f t="shared" si="60"/>
        <v>16960.792717367331</v>
      </c>
      <c r="D1513">
        <f t="shared" si="61"/>
        <v>0.89146776639263947</v>
      </c>
    </row>
    <row r="1514" spans="1:7">
      <c r="A1514">
        <v>1513</v>
      </c>
      <c r="B1514">
        <v>13951</v>
      </c>
      <c r="C1514">
        <f t="shared" si="60"/>
        <v>16952.87198611944</v>
      </c>
      <c r="D1514">
        <f t="shared" si="61"/>
        <v>0.82292841068007283</v>
      </c>
    </row>
    <row r="1515" spans="1:7">
      <c r="A1515">
        <v>1514</v>
      </c>
      <c r="B1515">
        <v>12796</v>
      </c>
      <c r="C1515">
        <f t="shared" si="60"/>
        <v>16945.067666275143</v>
      </c>
      <c r="D1515">
        <f t="shared" si="61"/>
        <v>0.75514599599193044</v>
      </c>
    </row>
    <row r="1516" spans="1:7" ht="17.25">
      <c r="A1516">
        <v>1515</v>
      </c>
      <c r="B1516">
        <v>12121</v>
      </c>
      <c r="C1516">
        <f t="shared" si="60"/>
        <v>16937.380212439937</v>
      </c>
      <c r="D1516">
        <f t="shared" si="61"/>
        <v>0.71563605752308335</v>
      </c>
      <c r="F1516">
        <v>1515</v>
      </c>
      <c r="G1516" t="s">
        <v>107</v>
      </c>
    </row>
    <row r="1517" spans="1:7" ht="17.25">
      <c r="A1517">
        <v>1516</v>
      </c>
      <c r="B1517">
        <v>12708</v>
      </c>
      <c r="C1517">
        <f t="shared" si="60"/>
        <v>16929.810079783136</v>
      </c>
      <c r="D1517">
        <f t="shared" si="61"/>
        <v>0.75062862135561448</v>
      </c>
      <c r="F1517">
        <v>1515</v>
      </c>
      <c r="G1517" t="s">
        <v>108</v>
      </c>
    </row>
    <row r="1518" spans="1:7">
      <c r="A1518">
        <v>1517</v>
      </c>
      <c r="B1518">
        <v>13723</v>
      </c>
      <c r="C1518">
        <f t="shared" si="60"/>
        <v>16922.357724037764</v>
      </c>
      <c r="D1518">
        <f t="shared" si="61"/>
        <v>0.81093900884194403</v>
      </c>
    </row>
    <row r="1519" spans="1:7">
      <c r="A1519">
        <v>1518</v>
      </c>
      <c r="B1519">
        <v>15007</v>
      </c>
      <c r="C1519">
        <f t="shared" si="60"/>
        <v>16915.023601500703</v>
      </c>
      <c r="D1519">
        <f t="shared" si="61"/>
        <v>0.88719947152001477</v>
      </c>
    </row>
    <row r="1520" spans="1:7">
      <c r="A1520">
        <v>1519</v>
      </c>
      <c r="B1520">
        <v>15880</v>
      </c>
      <c r="C1520">
        <f t="shared" si="60"/>
        <v>16907.808169032476</v>
      </c>
      <c r="D1520">
        <f t="shared" si="61"/>
        <v>0.93921103440746623</v>
      </c>
    </row>
    <row r="1521" spans="1:4">
      <c r="A1521">
        <v>1520</v>
      </c>
      <c r="B1521">
        <v>16596</v>
      </c>
      <c r="C1521">
        <f t="shared" si="60"/>
        <v>16900.711884057593</v>
      </c>
      <c r="D1521">
        <f t="shared" si="61"/>
        <v>0.98197047046609753</v>
      </c>
    </row>
    <row r="1522" spans="1:4">
      <c r="A1522">
        <v>1521</v>
      </c>
      <c r="B1522">
        <v>16818</v>
      </c>
      <c r="C1522">
        <f t="shared" si="60"/>
        <v>16893.735204564262</v>
      </c>
      <c r="D1522">
        <f t="shared" si="61"/>
        <v>0.9955169650969905</v>
      </c>
    </row>
    <row r="1523" spans="1:4">
      <c r="A1523">
        <v>1522</v>
      </c>
      <c r="B1523">
        <v>17038</v>
      </c>
      <c r="C1523">
        <f t="shared" si="60"/>
        <v>16886.878589104388</v>
      </c>
      <c r="D1523">
        <f t="shared" si="61"/>
        <v>1.0089490434894888</v>
      </c>
    </row>
    <row r="1524" spans="1:4">
      <c r="A1524">
        <v>1523</v>
      </c>
      <c r="B1524">
        <v>16959</v>
      </c>
      <c r="C1524">
        <f t="shared" si="60"/>
        <v>16880.142496793735</v>
      </c>
      <c r="D1524">
        <f t="shared" si="61"/>
        <v>1.0046716135969376</v>
      </c>
    </row>
    <row r="1525" spans="1:4">
      <c r="A1525">
        <v>1524</v>
      </c>
      <c r="B1525">
        <v>16775</v>
      </c>
      <c r="C1525">
        <f t="shared" si="60"/>
        <v>16873.527387311922</v>
      </c>
      <c r="D1525">
        <f t="shared" si="61"/>
        <v>0.99416083045054293</v>
      </c>
    </row>
    <row r="1526" spans="1:4">
      <c r="A1526">
        <v>1525</v>
      </c>
      <c r="B1526">
        <v>16624</v>
      </c>
      <c r="C1526">
        <f t="shared" si="60"/>
        <v>16867.033720902327</v>
      </c>
      <c r="D1526">
        <f t="shared" si="61"/>
        <v>0.98559119967839104</v>
      </c>
    </row>
    <row r="1527" spans="1:4">
      <c r="A1527">
        <v>1526</v>
      </c>
      <c r="B1527">
        <v>16179</v>
      </c>
      <c r="C1527">
        <f t="shared" si="60"/>
        <v>16860.661958372038</v>
      </c>
      <c r="D1527">
        <f t="shared" si="61"/>
        <v>0.95957086619404264</v>
      </c>
    </row>
    <row r="1528" spans="1:4">
      <c r="A1528">
        <v>1527</v>
      </c>
      <c r="B1528">
        <v>16125</v>
      </c>
      <c r="C1528">
        <f t="shared" si="60"/>
        <v>16854.412561091929</v>
      </c>
      <c r="D1528">
        <f t="shared" si="61"/>
        <v>0.95672275385166716</v>
      </c>
    </row>
    <row r="1529" spans="1:4">
      <c r="A1529">
        <v>1528</v>
      </c>
      <c r="B1529">
        <v>16596</v>
      </c>
      <c r="C1529">
        <f t="shared" si="60"/>
        <v>16848.285990996832</v>
      </c>
      <c r="D1529">
        <f t="shared" si="61"/>
        <v>0.98502601444849369</v>
      </c>
    </row>
    <row r="1530" spans="1:4">
      <c r="A1530">
        <v>1529</v>
      </c>
      <c r="B1530">
        <v>16845</v>
      </c>
      <c r="C1530">
        <f t="shared" si="60"/>
        <v>16842.282710585132</v>
      </c>
      <c r="D1530">
        <f t="shared" si="61"/>
        <v>1.0001613373591669</v>
      </c>
    </row>
  </sheetData>
  <sortState xmlns:xlrd2="http://schemas.microsoft.com/office/spreadsheetml/2017/richdata2" ref="M86:R97">
    <sortCondition ref="R86:R97"/>
  </sortState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2E379-E3C4-41B8-AC8A-0F570EA62E40}">
  <dimension ref="A1:AE1530"/>
  <sheetViews>
    <sheetView tabSelected="1" topLeftCell="J28" workbookViewId="0">
      <selection activeCell="AG60" sqref="AG60"/>
    </sheetView>
  </sheetViews>
  <sheetFormatPr baseColWidth="10" defaultRowHeight="15"/>
  <cols>
    <col min="22" max="22" width="7.28515625" bestFit="1" customWidth="1"/>
    <col min="23" max="23" width="2" bestFit="1" customWidth="1"/>
  </cols>
  <sheetData>
    <row r="1" spans="1:27">
      <c r="A1">
        <v>0</v>
      </c>
      <c r="B1">
        <v>22743</v>
      </c>
      <c r="C1">
        <f xml:space="preserve"> 0.00000002349111*A1*A1*A1*A1 - 0.0000664476*A1*A1*A1 + 0.03716061*A1*A1 + 10.57172*A1 + 22932.71</f>
        <v>22932.71</v>
      </c>
      <c r="D1">
        <f>B1/C1</f>
        <v>0.99172753678043291</v>
      </c>
    </row>
    <row r="2" spans="1:27">
      <c r="A2">
        <v>1</v>
      </c>
      <c r="B2">
        <v>22755</v>
      </c>
      <c r="C2">
        <f t="shared" ref="C2:C65" si="0" xml:space="preserve"> 0.00000002349111*A2*A2*A2*A2 - 0.0000664476*A2*A2*A2 + 0.03716061*A2*A2 + 10.57172*A2 + 22932.71</f>
        <v>22943.318814185892</v>
      </c>
      <c r="D2">
        <f t="shared" ref="D2:D65" si="1">B2/C2</f>
        <v>0.9917919976743097</v>
      </c>
      <c r="M2" s="3" t="s">
        <v>39</v>
      </c>
      <c r="N2" s="3" t="s">
        <v>40</v>
      </c>
      <c r="O2" s="3" t="s">
        <v>41</v>
      </c>
      <c r="P2" s="3" t="s">
        <v>42</v>
      </c>
      <c r="Q2" s="3" t="s">
        <v>43</v>
      </c>
      <c r="S2" s="3" t="s">
        <v>109</v>
      </c>
      <c r="T2" s="8" t="s">
        <v>110</v>
      </c>
      <c r="U2" s="3" t="s">
        <v>136</v>
      </c>
      <c r="X2" s="2" t="s">
        <v>4</v>
      </c>
      <c r="Z2" s="3" t="s">
        <v>116</v>
      </c>
      <c r="AA2" s="11" t="s">
        <v>143</v>
      </c>
    </row>
    <row r="3" spans="1:27">
      <c r="A3">
        <v>2</v>
      </c>
      <c r="B3">
        <v>22094</v>
      </c>
      <c r="C3">
        <f t="shared" si="0"/>
        <v>22954.001551235058</v>
      </c>
      <c r="D3">
        <f t="shared" si="1"/>
        <v>0.96253369813034695</v>
      </c>
    </row>
    <row r="4" spans="1:27">
      <c r="A4">
        <v>3</v>
      </c>
      <c r="B4">
        <v>20499</v>
      </c>
      <c r="C4">
        <f t="shared" si="0"/>
        <v>22964.75781330758</v>
      </c>
      <c r="D4">
        <f t="shared" si="1"/>
        <v>0.89262861671117966</v>
      </c>
      <c r="G4">
        <v>5</v>
      </c>
      <c r="M4">
        <v>5.5</v>
      </c>
      <c r="N4">
        <v>8.8000000000000005E-3</v>
      </c>
      <c r="O4">
        <v>-0.1072</v>
      </c>
      <c r="P4">
        <v>-8.8999999999999999E-3</v>
      </c>
      <c r="Q4">
        <v>-1.4455</v>
      </c>
      <c r="S4">
        <f t="shared" ref="S4:S37" si="2">M4+(-2*O4-SQRT(4*O4*O4-12*N4*P4))/(6*N4)</f>
        <v>5.4586988466930153</v>
      </c>
      <c r="T4">
        <f xml:space="preserve"> -3.600522996612E-13*S4*S4*S4*S4 + 1.066229076724E-09*S4*S4*S4 - 0.0000009856353200613*S4*S4 + 0.09290311830026*S4 + 6490.335754191</f>
        <v>6490.8428551394645</v>
      </c>
      <c r="U4">
        <f t="shared" ref="U4:U37" si="3">1-EXP(Q4)</f>
        <v>0.76437176701906562</v>
      </c>
      <c r="V4" s="9" t="s">
        <v>115</v>
      </c>
      <c r="W4" s="3">
        <v>1</v>
      </c>
      <c r="X4">
        <v>6490.1809999999996</v>
      </c>
      <c r="Z4">
        <f t="shared" ref="Z4:Z10" si="4">300000*(T4/X4-1)</f>
        <v>30.593375106113818</v>
      </c>
      <c r="AA4">
        <f>T4-X4</f>
        <v>0.66185513946493302</v>
      </c>
    </row>
    <row r="5" spans="1:27">
      <c r="A5">
        <v>4</v>
      </c>
      <c r="B5">
        <v>18788</v>
      </c>
      <c r="C5">
        <f t="shared" si="0"/>
        <v>22975.587203127325</v>
      </c>
      <c r="D5">
        <f t="shared" si="1"/>
        <v>0.81773753305607222</v>
      </c>
      <c r="G5">
        <v>44</v>
      </c>
      <c r="M5">
        <v>44.5</v>
      </c>
      <c r="N5">
        <v>7.0000000000000001E-3</v>
      </c>
      <c r="O5">
        <v>-5.28E-2</v>
      </c>
      <c r="P5">
        <v>-3.7100000000000001E-2</v>
      </c>
      <c r="Q5">
        <v>-1.0539000000000001</v>
      </c>
      <c r="S5">
        <f t="shared" si="2"/>
        <v>44.170292163004717</v>
      </c>
      <c r="T5">
        <f xml:space="preserve"> -3.600522996612E-13*S5*S5*S5*S5 + 1.066229076724E-09*S5*S5*S5 - 0.0000009856353200613*S5*S5 + 0.09290311830026*S5 + 6490.335754191</f>
        <v>6494.4374795939502</v>
      </c>
      <c r="U5">
        <f t="shared" si="3"/>
        <v>0.65142435029008516</v>
      </c>
      <c r="V5" t="s">
        <v>111</v>
      </c>
      <c r="W5">
        <v>1</v>
      </c>
      <c r="X5">
        <v>6493.7809999999999</v>
      </c>
      <c r="Z5">
        <f t="shared" si="4"/>
        <v>30.328075151442313</v>
      </c>
      <c r="AA5">
        <f t="shared" ref="AA5:AA37" si="5">T5-X5</f>
        <v>0.6564795939502801</v>
      </c>
    </row>
    <row r="6" spans="1:27">
      <c r="A6">
        <v>5</v>
      </c>
      <c r="B6">
        <v>17687</v>
      </c>
      <c r="C6">
        <f t="shared" si="0"/>
        <v>22986.489323981943</v>
      </c>
      <c r="D6">
        <f t="shared" si="1"/>
        <v>0.76945199202503034</v>
      </c>
      <c r="G6">
        <v>58</v>
      </c>
      <c r="M6">
        <v>57.5</v>
      </c>
      <c r="N6">
        <v>-8.0000000000000004E-4</v>
      </c>
      <c r="O6">
        <v>-2.5899999999999999E-2</v>
      </c>
      <c r="P6">
        <v>1.72E-2</v>
      </c>
      <c r="Q6">
        <v>-0.63849999999999996</v>
      </c>
      <c r="S6">
        <f t="shared" si="2"/>
        <v>57.827089383859452</v>
      </c>
      <c r="T6">
        <f t="shared" ref="T6:T37" si="6" xml:space="preserve"> -3.600522996612E-13*S6*S6*S6*S6 + 1.066229076724E-09*S6*S6*S6 - 0.0000009856353200613*S6*S6 + 0.09290311830026*S6 + 6490.335754191</f>
        <v>6495.704977332698</v>
      </c>
      <c r="U6">
        <f t="shared" si="3"/>
        <v>0.47191604382019658</v>
      </c>
      <c r="V6" t="s">
        <v>112</v>
      </c>
      <c r="W6">
        <v>1</v>
      </c>
      <c r="X6">
        <v>6494.98</v>
      </c>
      <c r="Z6">
        <f t="shared" si="4"/>
        <v>33.486354047185252</v>
      </c>
      <c r="AA6">
        <f t="shared" si="5"/>
        <v>0.72497733269847231</v>
      </c>
    </row>
    <row r="7" spans="1:27">
      <c r="A7">
        <v>6</v>
      </c>
      <c r="B7">
        <v>17767</v>
      </c>
      <c r="C7">
        <f t="shared" si="0"/>
        <v>22997.463779722879</v>
      </c>
      <c r="D7">
        <f t="shared" si="1"/>
        <v>0.77256345178659935</v>
      </c>
      <c r="G7">
        <v>78</v>
      </c>
      <c r="M7">
        <v>77.5</v>
      </c>
      <c r="N7">
        <v>4.0000000000000002E-4</v>
      </c>
      <c r="O7">
        <v>-3.0300000000000001E-2</v>
      </c>
      <c r="P7">
        <v>2.5000000000000001E-3</v>
      </c>
      <c r="Q7">
        <v>-0.5131</v>
      </c>
      <c r="S7">
        <f t="shared" si="2"/>
        <v>77.541287881633721</v>
      </c>
      <c r="T7">
        <f t="shared" si="6"/>
        <v>6497.5341394407305</v>
      </c>
      <c r="U7">
        <f t="shared" si="3"/>
        <v>0.4013630750800472</v>
      </c>
      <c r="V7" t="s">
        <v>113</v>
      </c>
      <c r="W7">
        <v>2</v>
      </c>
      <c r="X7">
        <v>6496.8990000000003</v>
      </c>
      <c r="Y7" t="s">
        <v>114</v>
      </c>
      <c r="Z7">
        <f t="shared" si="4"/>
        <v>29.32811980285166</v>
      </c>
      <c r="AA7">
        <f t="shared" si="5"/>
        <v>0.63513944073019957</v>
      </c>
    </row>
    <row r="8" spans="1:27">
      <c r="A8">
        <v>7</v>
      </c>
      <c r="B8">
        <v>18660</v>
      </c>
      <c r="C8">
        <f t="shared" si="0"/>
        <v>23008.510174765353</v>
      </c>
      <c r="D8">
        <f t="shared" si="1"/>
        <v>0.8110042700837452</v>
      </c>
      <c r="G8">
        <v>100</v>
      </c>
      <c r="M8">
        <v>99.5</v>
      </c>
      <c r="N8">
        <v>1.5E-3</v>
      </c>
      <c r="O8">
        <v>-4.7399999999999998E-2</v>
      </c>
      <c r="P8">
        <v>1.0200000000000001E-2</v>
      </c>
      <c r="Q8">
        <v>-0.7177</v>
      </c>
      <c r="S8">
        <f t="shared" si="2"/>
        <v>99.60815014815887</v>
      </c>
      <c r="T8">
        <f t="shared" si="6"/>
        <v>6499.5809009874374</v>
      </c>
      <c r="U8">
        <f t="shared" si="3"/>
        <v>0.51212692540398308</v>
      </c>
      <c r="V8" t="s">
        <v>112</v>
      </c>
      <c r="W8">
        <v>1</v>
      </c>
      <c r="X8">
        <v>6498.9378999999999</v>
      </c>
      <c r="Z8">
        <f t="shared" si="4"/>
        <v>29.681818660121095</v>
      </c>
      <c r="AA8">
        <f t="shared" si="5"/>
        <v>0.64300098743751732</v>
      </c>
    </row>
    <row r="9" spans="1:27">
      <c r="A9">
        <v>8</v>
      </c>
      <c r="B9">
        <v>19909</v>
      </c>
      <c r="C9">
        <f t="shared" si="0"/>
        <v>23019.628114088384</v>
      </c>
      <c r="D9">
        <f t="shared" si="1"/>
        <v>0.8648706182970598</v>
      </c>
      <c r="G9">
        <v>156</v>
      </c>
      <c r="M9">
        <v>156</v>
      </c>
      <c r="N9">
        <v>3.3999999999999998E-3</v>
      </c>
      <c r="O9">
        <v>-8.3900000000000002E-2</v>
      </c>
      <c r="P9">
        <v>-2.6800000000000001E-2</v>
      </c>
      <c r="Q9">
        <v>-1.5365</v>
      </c>
      <c r="S9">
        <f t="shared" si="2"/>
        <v>155.84180723772567</v>
      </c>
      <c r="T9">
        <f t="shared" si="6"/>
        <v>6504.7938294195737</v>
      </c>
      <c r="U9">
        <f t="shared" si="3"/>
        <v>0.7848672501005084</v>
      </c>
      <c r="V9" t="s">
        <v>116</v>
      </c>
      <c r="W9">
        <v>1</v>
      </c>
      <c r="X9">
        <v>6504.1652999999997</v>
      </c>
      <c r="Z9">
        <f t="shared" si="4"/>
        <v>28.990472593326544</v>
      </c>
      <c r="AA9">
        <f t="shared" si="5"/>
        <v>0.62852941957407893</v>
      </c>
    </row>
    <row r="10" spans="1:27">
      <c r="A10">
        <v>9</v>
      </c>
      <c r="B10">
        <v>20764</v>
      </c>
      <c r="C10">
        <f t="shared" si="0"/>
        <v>23030.817203234772</v>
      </c>
      <c r="D10">
        <f t="shared" si="1"/>
        <v>0.90157460835057179</v>
      </c>
      <c r="G10">
        <v>283</v>
      </c>
      <c r="M10">
        <v>198</v>
      </c>
      <c r="N10">
        <v>6.7000000000000002E-3</v>
      </c>
      <c r="O10">
        <v>-8.5900000000000004E-2</v>
      </c>
      <c r="P10">
        <v>6.7100000000000007E-2</v>
      </c>
      <c r="Q10">
        <v>-1.2639</v>
      </c>
      <c r="S10">
        <f t="shared" si="2"/>
        <v>198.41026276019369</v>
      </c>
      <c r="T10">
        <f t="shared" si="6"/>
        <v>6508.7376552186506</v>
      </c>
      <c r="U10">
        <f t="shared" si="3"/>
        <v>0.71745006981632065</v>
      </c>
      <c r="V10" t="s">
        <v>117</v>
      </c>
      <c r="W10">
        <v>1</v>
      </c>
      <c r="X10">
        <v>6508.1205</v>
      </c>
      <c r="Z10">
        <f t="shared" si="4"/>
        <v>28.448546027237676</v>
      </c>
      <c r="AA10">
        <f t="shared" si="5"/>
        <v>0.61715521865062328</v>
      </c>
    </row>
    <row r="11" spans="1:27">
      <c r="A11">
        <v>10</v>
      </c>
      <c r="B11">
        <v>21646</v>
      </c>
      <c r="C11">
        <f t="shared" si="0"/>
        <v>23042.077048311097</v>
      </c>
      <c r="D11">
        <f t="shared" si="1"/>
        <v>0.93941184011389178</v>
      </c>
      <c r="G11">
        <v>403</v>
      </c>
      <c r="M11">
        <v>283</v>
      </c>
      <c r="N11">
        <v>4.0000000000000002E-4</v>
      </c>
      <c r="O11">
        <v>-8.6599999999999996E-2</v>
      </c>
      <c r="P11">
        <v>5.2900000000000003E-2</v>
      </c>
      <c r="Q11">
        <v>-1.0355000000000001</v>
      </c>
      <c r="S11">
        <f t="shared" si="2"/>
        <v>283.30607632366679</v>
      </c>
      <c r="T11">
        <f t="shared" si="6"/>
        <v>6516.5985880294284</v>
      </c>
      <c r="U11">
        <f t="shared" si="3"/>
        <v>0.64495118786961303</v>
      </c>
      <c r="V11" s="5" t="s">
        <v>141</v>
      </c>
      <c r="W11" s="5"/>
      <c r="X11" s="5"/>
      <c r="Y11" s="10" t="s">
        <v>142</v>
      </c>
      <c r="Z11" s="5"/>
    </row>
    <row r="12" spans="1:27">
      <c r="A12">
        <v>11</v>
      </c>
      <c r="B12">
        <v>22200</v>
      </c>
      <c r="C12">
        <f t="shared" si="0"/>
        <v>23053.407255987742</v>
      </c>
      <c r="D12">
        <f t="shared" si="1"/>
        <v>0.96298129614805272</v>
      </c>
      <c r="G12">
        <v>451</v>
      </c>
      <c r="M12">
        <v>402</v>
      </c>
      <c r="N12">
        <v>-3.0000000000000001E-3</v>
      </c>
      <c r="O12">
        <v>-4.2099999999999999E-2</v>
      </c>
      <c r="P12">
        <v>6.1400000000000003E-2</v>
      </c>
      <c r="Q12">
        <v>-1.2008000000000001</v>
      </c>
      <c r="S12">
        <f t="shared" si="2"/>
        <v>402.67981750000251</v>
      </c>
      <c r="T12">
        <f t="shared" si="6"/>
        <v>6527.6462956590985</v>
      </c>
      <c r="U12">
        <f t="shared" si="3"/>
        <v>0.69904664710087672</v>
      </c>
      <c r="V12" s="9" t="s">
        <v>140</v>
      </c>
      <c r="W12" s="3">
        <v>2</v>
      </c>
      <c r="X12">
        <v>6526.9840000000004</v>
      </c>
      <c r="Z12">
        <f>300000*(T12/X12-1)</f>
        <v>30.441119164592578</v>
      </c>
      <c r="AA12">
        <f t="shared" si="5"/>
        <v>0.66229565909816301</v>
      </c>
    </row>
    <row r="13" spans="1:27">
      <c r="A13">
        <v>12</v>
      </c>
      <c r="B13">
        <v>22669</v>
      </c>
      <c r="C13">
        <f t="shared" si="0"/>
        <v>23064.807433498856</v>
      </c>
      <c r="D13">
        <f t="shared" si="1"/>
        <v>0.98283933500680376</v>
      </c>
      <c r="G13">
        <v>520</v>
      </c>
      <c r="M13">
        <v>451</v>
      </c>
      <c r="N13">
        <v>8.6E-3</v>
      </c>
      <c r="O13">
        <v>-3.4700000000000002E-2</v>
      </c>
      <c r="P13">
        <v>-3.0800000000000001E-2</v>
      </c>
      <c r="Q13">
        <v>-1.1721999999999999</v>
      </c>
      <c r="S13">
        <f t="shared" si="2"/>
        <v>450.6121256487005</v>
      </c>
      <c r="T13">
        <f t="shared" si="6"/>
        <v>6532.0816035520766</v>
      </c>
      <c r="U13">
        <f t="shared" si="3"/>
        <v>0.69031511546779623</v>
      </c>
      <c r="V13" t="s">
        <v>116</v>
      </c>
      <c r="W13">
        <v>1</v>
      </c>
      <c r="X13">
        <v>6531.4206999999997</v>
      </c>
      <c r="Z13">
        <f>300000*(T13/X13-1)</f>
        <v>30.356498950223632</v>
      </c>
      <c r="AA13">
        <f t="shared" si="5"/>
        <v>0.66090355207688845</v>
      </c>
    </row>
    <row r="14" spans="1:27">
      <c r="A14">
        <v>13</v>
      </c>
      <c r="B14">
        <v>23217</v>
      </c>
      <c r="C14">
        <f t="shared" si="0"/>
        <v>23076.277188642391</v>
      </c>
      <c r="D14">
        <f t="shared" si="1"/>
        <v>1.0060981591704432</v>
      </c>
      <c r="G14">
        <v>579</v>
      </c>
      <c r="M14">
        <v>466</v>
      </c>
      <c r="N14">
        <v>3.3999999999999998E-3</v>
      </c>
      <c r="O14">
        <v>-0.05</v>
      </c>
      <c r="P14">
        <v>-7.0000000000000001E-3</v>
      </c>
      <c r="Q14">
        <v>-1.3349</v>
      </c>
      <c r="S14">
        <f t="shared" si="2"/>
        <v>465.93049278776044</v>
      </c>
      <c r="T14">
        <f t="shared" si="6"/>
        <v>6533.4990567971363</v>
      </c>
      <c r="U14">
        <f t="shared" si="3"/>
        <v>0.73681550741059088</v>
      </c>
      <c r="V14" t="s">
        <v>118</v>
      </c>
      <c r="W14">
        <v>1</v>
      </c>
      <c r="X14">
        <v>6532.8730999999998</v>
      </c>
      <c r="Z14">
        <f>300000*(T14/X14-1)</f>
        <v>28.744939059222041</v>
      </c>
      <c r="AA14">
        <f t="shared" si="5"/>
        <v>0.62595679713649588</v>
      </c>
    </row>
    <row r="15" spans="1:27">
      <c r="A15">
        <v>14</v>
      </c>
      <c r="B15">
        <v>23656</v>
      </c>
      <c r="C15">
        <f t="shared" si="0"/>
        <v>23087.81612978008</v>
      </c>
      <c r="D15">
        <f t="shared" si="1"/>
        <v>1.0246096844771317</v>
      </c>
      <c r="G15">
        <v>610</v>
      </c>
      <c r="M15">
        <v>520.5</v>
      </c>
      <c r="N15">
        <v>4.7999999999999996E-3</v>
      </c>
      <c r="O15">
        <v>-6.6699999999999995E-2</v>
      </c>
      <c r="P15">
        <v>-1.6E-2</v>
      </c>
      <c r="Q15">
        <v>-1.3418000000000001</v>
      </c>
      <c r="S15">
        <f t="shared" si="2"/>
        <v>520.38157388547427</v>
      </c>
      <c r="T15">
        <f t="shared" si="6"/>
        <v>6538.5377656563205</v>
      </c>
      <c r="U15">
        <f t="shared" si="3"/>
        <v>0.73862522968753508</v>
      </c>
      <c r="V15" t="s">
        <v>115</v>
      </c>
      <c r="W15">
        <v>1</v>
      </c>
      <c r="X15">
        <v>6537.9210000000003</v>
      </c>
      <c r="Z15">
        <f>300000*(T15/X15-1)</f>
        <v>28.300999185559839</v>
      </c>
      <c r="AA15">
        <f t="shared" si="5"/>
        <v>0.61676565632023994</v>
      </c>
    </row>
    <row r="16" spans="1:27">
      <c r="A16">
        <v>15</v>
      </c>
      <c r="B16">
        <v>24137</v>
      </c>
      <c r="C16">
        <f t="shared" si="0"/>
        <v>23099.423865837442</v>
      </c>
      <c r="D16">
        <f t="shared" si="1"/>
        <v>1.0449178360546501</v>
      </c>
      <c r="G16">
        <v>669</v>
      </c>
      <c r="M16">
        <v>579</v>
      </c>
      <c r="N16">
        <v>5.7999999999999996E-3</v>
      </c>
      <c r="O16">
        <v>-4.7300000000000002E-2</v>
      </c>
      <c r="P16">
        <v>-1.8599999999999998E-2</v>
      </c>
      <c r="Q16">
        <v>-1.1102000000000001</v>
      </c>
      <c r="S16">
        <f t="shared" si="2"/>
        <v>578.81002114381477</v>
      </c>
      <c r="T16">
        <f t="shared" si="6"/>
        <v>6543.9451457929363</v>
      </c>
      <c r="U16">
        <f t="shared" si="3"/>
        <v>0.67050694412628609</v>
      </c>
      <c r="V16" t="s">
        <v>116</v>
      </c>
      <c r="W16">
        <v>1</v>
      </c>
      <c r="X16">
        <v>6543.5037000000002</v>
      </c>
      <c r="Y16" s="5" t="s">
        <v>139</v>
      </c>
      <c r="Z16" s="5"/>
    </row>
    <row r="17" spans="1:27">
      <c r="A17">
        <v>16</v>
      </c>
      <c r="B17">
        <v>24037</v>
      </c>
      <c r="C17">
        <f t="shared" si="0"/>
        <v>23111.100006303783</v>
      </c>
      <c r="D17">
        <f t="shared" si="1"/>
        <v>1.0400629997466009</v>
      </c>
      <c r="G17">
        <v>697</v>
      </c>
      <c r="M17">
        <v>610.5</v>
      </c>
      <c r="N17">
        <v>5.9999999999999995E-4</v>
      </c>
      <c r="O17">
        <v>-4.9500000000000002E-2</v>
      </c>
      <c r="P17">
        <v>-2.07E-2</v>
      </c>
      <c r="Q17">
        <v>-0.82399999999999995</v>
      </c>
      <c r="S17">
        <f t="shared" si="2"/>
        <v>610.29169799500517</v>
      </c>
      <c r="T17">
        <f t="shared" si="6"/>
        <v>6546.8590636642657</v>
      </c>
      <c r="U17">
        <f t="shared" si="3"/>
        <v>0.56132655335203219</v>
      </c>
      <c r="V17" t="s">
        <v>119</v>
      </c>
      <c r="W17">
        <v>1</v>
      </c>
      <c r="X17">
        <v>6546.2529999999997</v>
      </c>
      <c r="Y17" t="s">
        <v>114</v>
      </c>
      <c r="Z17">
        <f t="shared" ref="Z17:Z24" si="7">300000*(T17/X17-1)</f>
        <v>27.774529838642259</v>
      </c>
      <c r="AA17">
        <f t="shared" si="5"/>
        <v>0.60606366426600289</v>
      </c>
    </row>
    <row r="18" spans="1:27">
      <c r="A18">
        <v>17</v>
      </c>
      <c r="B18">
        <v>23682</v>
      </c>
      <c r="C18">
        <f t="shared" si="0"/>
        <v>23122.844161232199</v>
      </c>
      <c r="D18">
        <f t="shared" si="1"/>
        <v>1.0241819663216554</v>
      </c>
      <c r="G18">
        <v>716</v>
      </c>
      <c r="M18">
        <v>669</v>
      </c>
      <c r="N18">
        <v>2.8999999999999998E-3</v>
      </c>
      <c r="O18">
        <v>-2.6800000000000001E-2</v>
      </c>
      <c r="P18">
        <v>-2.1399999999999999E-2</v>
      </c>
      <c r="Q18">
        <v>-0.96179999999999999</v>
      </c>
      <c r="S18">
        <f t="shared" si="2"/>
        <v>668.62372684577167</v>
      </c>
      <c r="T18">
        <f t="shared" si="6"/>
        <v>6552.2590974113864</v>
      </c>
      <c r="U18">
        <f t="shared" si="3"/>
        <v>0.61779570130517236</v>
      </c>
      <c r="V18" t="s">
        <v>112</v>
      </c>
      <c r="W18">
        <v>1</v>
      </c>
      <c r="X18">
        <v>6551.6767</v>
      </c>
      <c r="Z18">
        <f t="shared" si="7"/>
        <v>26.667864031781896</v>
      </c>
      <c r="AA18">
        <f t="shared" si="5"/>
        <v>0.58239741138640966</v>
      </c>
    </row>
    <row r="19" spans="1:27">
      <c r="A19">
        <v>18</v>
      </c>
      <c r="B19">
        <v>22461</v>
      </c>
      <c r="C19">
        <f t="shared" si="0"/>
        <v>23134.655941239562</v>
      </c>
      <c r="D19">
        <f t="shared" si="1"/>
        <v>0.9708810909939356</v>
      </c>
      <c r="G19">
        <v>859</v>
      </c>
      <c r="M19">
        <v>696.5</v>
      </c>
      <c r="N19">
        <v>-5.9999999999999995E-4</v>
      </c>
      <c r="O19">
        <v>-4.6100000000000002E-2</v>
      </c>
      <c r="P19">
        <v>5.7000000000000002E-3</v>
      </c>
      <c r="Q19">
        <v>-0.96160000000000001</v>
      </c>
      <c r="S19">
        <f t="shared" si="2"/>
        <v>696.56174768981612</v>
      </c>
      <c r="T19">
        <f t="shared" si="6"/>
        <v>6554.8458755593547</v>
      </c>
      <c r="U19">
        <f t="shared" si="3"/>
        <v>0.61771925280083773</v>
      </c>
      <c r="V19" t="s">
        <v>117</v>
      </c>
      <c r="W19">
        <v>1</v>
      </c>
      <c r="X19">
        <v>6554.223</v>
      </c>
      <c r="Z19">
        <f t="shared" si="7"/>
        <v>28.51027006658402</v>
      </c>
      <c r="AA19">
        <f t="shared" si="5"/>
        <v>0.62287555935472483</v>
      </c>
    </row>
    <row r="20" spans="1:27">
      <c r="A20">
        <v>19</v>
      </c>
      <c r="B20">
        <v>21199</v>
      </c>
      <c r="C20">
        <f t="shared" si="0"/>
        <v>23146.534957506545</v>
      </c>
      <c r="D20">
        <f t="shared" si="1"/>
        <v>0.91586062617657815</v>
      </c>
      <c r="G20">
        <v>897</v>
      </c>
      <c r="M20">
        <v>716</v>
      </c>
      <c r="N20">
        <v>-1.6999999999999999E-3</v>
      </c>
      <c r="O20">
        <v>-4.5100000000000001E-2</v>
      </c>
      <c r="P20">
        <v>1.7999999999999999E-2</v>
      </c>
      <c r="Q20">
        <v>-0.74409999999999998</v>
      </c>
      <c r="S20">
        <f t="shared" si="2"/>
        <v>716.19735433979247</v>
      </c>
      <c r="T20">
        <f t="shared" si="6"/>
        <v>6556.6641149043844</v>
      </c>
      <c r="U20">
        <f t="shared" si="3"/>
        <v>0.52483824686505698</v>
      </c>
      <c r="V20" t="s">
        <v>117</v>
      </c>
      <c r="W20">
        <v>1</v>
      </c>
      <c r="X20">
        <v>6556.0618000000004</v>
      </c>
      <c r="Z20">
        <f t="shared" si="7"/>
        <v>27.561435024181513</v>
      </c>
      <c r="AA20">
        <f t="shared" si="5"/>
        <v>0.60231490438400215</v>
      </c>
    </row>
    <row r="21" spans="1:27">
      <c r="A21">
        <v>20</v>
      </c>
      <c r="B21">
        <v>20274</v>
      </c>
      <c r="C21">
        <f t="shared" si="0"/>
        <v>23158.480821777601</v>
      </c>
      <c r="D21">
        <f t="shared" si="1"/>
        <v>0.87544602584358144</v>
      </c>
      <c r="G21">
        <v>913</v>
      </c>
      <c r="M21">
        <v>821</v>
      </c>
      <c r="N21">
        <v>-6.4999999999999997E-3</v>
      </c>
      <c r="O21">
        <v>-4.1799999999999997E-2</v>
      </c>
      <c r="P21">
        <v>3.8100000000000002E-2</v>
      </c>
      <c r="Q21">
        <v>-1.5858000000000001</v>
      </c>
      <c r="S21">
        <f t="shared" si="2"/>
        <v>821.41547710639077</v>
      </c>
      <c r="T21">
        <f t="shared" si="6"/>
        <v>6566.4098020872279</v>
      </c>
      <c r="U21">
        <f t="shared" si="3"/>
        <v>0.79521609955188777</v>
      </c>
      <c r="V21" t="s">
        <v>116</v>
      </c>
      <c r="W21">
        <v>1</v>
      </c>
      <c r="X21">
        <v>6565.8829999999998</v>
      </c>
      <c r="Z21">
        <f t="shared" si="7"/>
        <v>24.069972944729123</v>
      </c>
      <c r="AA21">
        <f t="shared" si="5"/>
        <v>0.52680208722813404</v>
      </c>
    </row>
    <row r="22" spans="1:27">
      <c r="A22">
        <v>21</v>
      </c>
      <c r="B22">
        <v>19984</v>
      </c>
      <c r="C22">
        <f t="shared" si="0"/>
        <v>23170.493146360965</v>
      </c>
      <c r="D22">
        <f t="shared" si="1"/>
        <v>0.86247624829420522</v>
      </c>
      <c r="G22">
        <v>987</v>
      </c>
      <c r="M22">
        <v>858.5</v>
      </c>
      <c r="N22">
        <v>-6.9999999999999999E-4</v>
      </c>
      <c r="O22">
        <v>-3.3599999999999998E-2</v>
      </c>
      <c r="P22">
        <v>1.14E-2</v>
      </c>
      <c r="Q22">
        <v>-1.2358</v>
      </c>
      <c r="S22">
        <f t="shared" si="2"/>
        <v>858.66875293362386</v>
      </c>
      <c r="T22">
        <f t="shared" si="6"/>
        <v>6569.8613401464772</v>
      </c>
      <c r="U22">
        <f t="shared" si="3"/>
        <v>0.70939781239973165</v>
      </c>
      <c r="V22" t="s">
        <v>120</v>
      </c>
      <c r="W22">
        <v>1</v>
      </c>
      <c r="X22">
        <v>6569.2145</v>
      </c>
      <c r="Y22" t="s">
        <v>114</v>
      </c>
      <c r="Z22">
        <f t="shared" si="7"/>
        <v>29.539611462370274</v>
      </c>
      <c r="AA22">
        <f t="shared" si="5"/>
        <v>0.64684014647718868</v>
      </c>
    </row>
    <row r="23" spans="1:27">
      <c r="A23">
        <v>22</v>
      </c>
      <c r="B23">
        <v>20525</v>
      </c>
      <c r="C23">
        <f t="shared" si="0"/>
        <v>23182.571544128663</v>
      </c>
      <c r="D23">
        <f t="shared" si="1"/>
        <v>0.88536338433939898</v>
      </c>
      <c r="G23">
        <v>1043</v>
      </c>
      <c r="M23">
        <v>897</v>
      </c>
      <c r="N23" s="7">
        <v>5.0000000000000002E-5</v>
      </c>
      <c r="O23">
        <v>-4.8500000000000001E-2</v>
      </c>
      <c r="P23">
        <v>9.4000000000000004E-3</v>
      </c>
      <c r="Q23">
        <v>-0.72319999999999995</v>
      </c>
      <c r="S23">
        <f t="shared" si="2"/>
        <v>897.09692174302722</v>
      </c>
      <c r="T23">
        <f t="shared" si="6"/>
        <v>6573.422219689859</v>
      </c>
      <c r="U23">
        <f t="shared" si="3"/>
        <v>0.51480286174374079</v>
      </c>
      <c r="V23" t="s">
        <v>121</v>
      </c>
      <c r="W23">
        <v>1</v>
      </c>
      <c r="X23">
        <v>6572.826</v>
      </c>
      <c r="Y23" t="s">
        <v>114</v>
      </c>
      <c r="Z23">
        <f t="shared" si="7"/>
        <v>27.212938081411231</v>
      </c>
      <c r="AA23">
        <f t="shared" si="5"/>
        <v>0.5962196898590264</v>
      </c>
    </row>
    <row r="24" spans="1:27">
      <c r="A24">
        <v>23</v>
      </c>
      <c r="B24">
        <v>21133</v>
      </c>
      <c r="C24">
        <f t="shared" si="0"/>
        <v>23194.715628516511</v>
      </c>
      <c r="D24">
        <f t="shared" si="1"/>
        <v>0.91111270077475082</v>
      </c>
      <c r="G24">
        <v>1114</v>
      </c>
      <c r="M24">
        <v>912.5</v>
      </c>
      <c r="N24">
        <v>2.3999999999999998E-3</v>
      </c>
      <c r="O24">
        <v>-5.5800000000000002E-2</v>
      </c>
      <c r="P24">
        <v>1.26E-2</v>
      </c>
      <c r="Q24">
        <v>-0.76419999999999999</v>
      </c>
      <c r="S24">
        <f t="shared" si="2"/>
        <v>912.6137378253494</v>
      </c>
      <c r="T24">
        <f t="shared" si="6"/>
        <v>6574.8601841391246</v>
      </c>
      <c r="U24">
        <f t="shared" si="3"/>
        <v>0.53429365293433273</v>
      </c>
      <c r="V24" t="s">
        <v>112</v>
      </c>
      <c r="W24">
        <v>1</v>
      </c>
      <c r="X24">
        <v>6574.2262000000001</v>
      </c>
      <c r="Z24">
        <f t="shared" si="7"/>
        <v>28.930437735374959</v>
      </c>
      <c r="AA24">
        <f t="shared" si="5"/>
        <v>0.63398413912454998</v>
      </c>
    </row>
    <row r="25" spans="1:27">
      <c r="A25">
        <v>24</v>
      </c>
      <c r="B25">
        <v>21930</v>
      </c>
      <c r="C25">
        <f t="shared" si="0"/>
        <v>23206.925013524109</v>
      </c>
      <c r="D25">
        <f t="shared" si="1"/>
        <v>0.94497655278413806</v>
      </c>
      <c r="G25">
        <v>1125</v>
      </c>
      <c r="M25">
        <v>921</v>
      </c>
      <c r="N25">
        <v>-3.8999999999999998E-3</v>
      </c>
      <c r="O25">
        <v>-4.1399999999999999E-2</v>
      </c>
      <c r="P25">
        <v>2.9399999999999999E-2</v>
      </c>
      <c r="Q25">
        <v>-1.0648</v>
      </c>
      <c r="S25">
        <f t="shared" si="2"/>
        <v>921.33884816956959</v>
      </c>
      <c r="T25">
        <f t="shared" si="6"/>
        <v>6575.6687807262588</v>
      </c>
      <c r="U25">
        <f t="shared" si="3"/>
        <v>0.65520319276680961</v>
      </c>
      <c r="V25" t="s">
        <v>137</v>
      </c>
      <c r="Y25" s="5" t="s">
        <v>138</v>
      </c>
      <c r="Z25" s="5"/>
    </row>
    <row r="26" spans="1:27">
      <c r="A26">
        <v>25</v>
      </c>
      <c r="B26">
        <v>22235</v>
      </c>
      <c r="C26">
        <f t="shared" si="0"/>
        <v>23219.199313714842</v>
      </c>
      <c r="D26">
        <f t="shared" si="1"/>
        <v>0.95761269368433788</v>
      </c>
      <c r="G26">
        <v>1181</v>
      </c>
      <c r="M26">
        <v>937</v>
      </c>
      <c r="N26">
        <v>-3.0000000000000001E-3</v>
      </c>
      <c r="O26">
        <v>-4.7E-2</v>
      </c>
      <c r="P26">
        <v>2.64E-2</v>
      </c>
      <c r="Q26">
        <v>-1.6626000000000001</v>
      </c>
      <c r="S26">
        <f t="shared" si="2"/>
        <v>937.27367973028788</v>
      </c>
      <c r="T26">
        <f t="shared" si="6"/>
        <v>6577.1455851211676</v>
      </c>
      <c r="U26">
        <f t="shared" si="3"/>
        <v>0.81035473913360934</v>
      </c>
      <c r="V26" t="s">
        <v>122</v>
      </c>
      <c r="W26">
        <v>1</v>
      </c>
      <c r="X26">
        <v>6576.56</v>
      </c>
      <c r="Y26" t="s">
        <v>123</v>
      </c>
      <c r="Z26">
        <f t="shared" ref="Z26:Z37" si="8">300000*(T26/X26-1)</f>
        <v>26.712374911830317</v>
      </c>
      <c r="AA26">
        <f t="shared" si="5"/>
        <v>0.5855851211672416</v>
      </c>
    </row>
    <row r="27" spans="1:27">
      <c r="A27">
        <v>26</v>
      </c>
      <c r="B27">
        <v>21875</v>
      </c>
      <c r="C27">
        <f t="shared" si="0"/>
        <v>23231.538144215883</v>
      </c>
      <c r="D27">
        <f t="shared" si="1"/>
        <v>0.94160790663989546</v>
      </c>
      <c r="G27">
        <v>1240</v>
      </c>
      <c r="M27">
        <v>987</v>
      </c>
      <c r="N27">
        <v>-1.2999999999999999E-3</v>
      </c>
      <c r="O27">
        <v>-3.2899999999999999E-2</v>
      </c>
      <c r="P27">
        <v>1.95E-2</v>
      </c>
      <c r="Q27">
        <v>-0.93130000000000002</v>
      </c>
      <c r="S27">
        <f t="shared" si="2"/>
        <v>987.29132237048884</v>
      </c>
      <c r="T27">
        <f t="shared" si="6"/>
        <v>6581.7814517556635</v>
      </c>
      <c r="U27">
        <f t="shared" si="3"/>
        <v>0.60595887619842215</v>
      </c>
      <c r="V27" t="s">
        <v>112</v>
      </c>
      <c r="W27">
        <v>1</v>
      </c>
      <c r="X27">
        <v>6581.2088000000003</v>
      </c>
      <c r="Y27" t="s">
        <v>124</v>
      </c>
      <c r="Z27">
        <f t="shared" si="8"/>
        <v>26.10394715012454</v>
      </c>
      <c r="AA27">
        <f t="shared" si="5"/>
        <v>0.57265175566317339</v>
      </c>
    </row>
    <row r="28" spans="1:27">
      <c r="A28">
        <v>27</v>
      </c>
      <c r="B28">
        <v>21416</v>
      </c>
      <c r="C28">
        <f t="shared" si="0"/>
        <v>23243.941120718187</v>
      </c>
      <c r="D28">
        <f t="shared" si="1"/>
        <v>0.92135838276199744</v>
      </c>
      <c r="G28">
        <v>1255</v>
      </c>
      <c r="M28">
        <v>1043</v>
      </c>
      <c r="N28">
        <v>-4.0000000000000002E-4</v>
      </c>
      <c r="O28">
        <v>-6.6699999999999995E-2</v>
      </c>
      <c r="P28">
        <v>-2.5600000000000001E-2</v>
      </c>
      <c r="Q28">
        <v>-1.3067</v>
      </c>
      <c r="S28">
        <f t="shared" si="2"/>
        <v>1042.8077635244751</v>
      </c>
      <c r="T28">
        <f t="shared" si="6"/>
        <v>6586.9273455881994</v>
      </c>
      <c r="U28">
        <f t="shared" si="3"/>
        <v>0.72928806664161527</v>
      </c>
      <c r="V28" t="s">
        <v>118</v>
      </c>
      <c r="W28">
        <v>1</v>
      </c>
      <c r="X28">
        <v>6586.3099000000002</v>
      </c>
      <c r="Z28">
        <f t="shared" si="8"/>
        <v>28.124045068067538</v>
      </c>
      <c r="AA28">
        <f t="shared" si="5"/>
        <v>0.61744558819918893</v>
      </c>
    </row>
    <row r="29" spans="1:27">
      <c r="A29">
        <v>28</v>
      </c>
      <c r="B29">
        <v>20859</v>
      </c>
      <c r="C29">
        <f t="shared" si="0"/>
        <v>23256.407859476509</v>
      </c>
      <c r="D29">
        <f t="shared" si="1"/>
        <v>0.89691409464597882</v>
      </c>
      <c r="G29">
        <v>1277</v>
      </c>
      <c r="M29">
        <v>1114.5</v>
      </c>
      <c r="N29">
        <v>-2.0000000000000001E-4</v>
      </c>
      <c r="O29">
        <v>-3.9699999999999999E-2</v>
      </c>
      <c r="P29">
        <v>-2.1999999999999999E-2</v>
      </c>
      <c r="Q29">
        <v>-0.88300000000000001</v>
      </c>
      <c r="S29">
        <f t="shared" si="2"/>
        <v>1114.2223393291072</v>
      </c>
      <c r="T29">
        <f t="shared" si="6"/>
        <v>6593.5467892391198</v>
      </c>
      <c r="U29">
        <f t="shared" si="3"/>
        <v>0.58645957239548485</v>
      </c>
      <c r="V29" t="s">
        <v>112</v>
      </c>
      <c r="W29">
        <v>1</v>
      </c>
      <c r="X29">
        <v>6592.9120000000003</v>
      </c>
      <c r="Z29">
        <f t="shared" si="8"/>
        <v>28.885077145890392</v>
      </c>
      <c r="AA29">
        <f t="shared" si="5"/>
        <v>0.63478923911952734</v>
      </c>
    </row>
    <row r="30" spans="1:27">
      <c r="A30">
        <v>29</v>
      </c>
      <c r="B30">
        <v>20955</v>
      </c>
      <c r="C30">
        <f t="shared" si="0"/>
        <v>23268.937977309371</v>
      </c>
      <c r="D30">
        <f t="shared" si="1"/>
        <v>0.90055678606536316</v>
      </c>
      <c r="G30">
        <v>1340</v>
      </c>
      <c r="M30">
        <v>1124.5</v>
      </c>
      <c r="N30">
        <v>5.0000000000000001E-4</v>
      </c>
      <c r="O30">
        <v>-4.8599999999999997E-2</v>
      </c>
      <c r="P30">
        <v>1.23E-2</v>
      </c>
      <c r="Q30">
        <v>-0.91169999999999995</v>
      </c>
      <c r="S30">
        <f t="shared" si="2"/>
        <v>1124.6267912968046</v>
      </c>
      <c r="T30">
        <f t="shared" si="6"/>
        <v>6594.51112017798</v>
      </c>
      <c r="U30">
        <f t="shared" si="3"/>
        <v>0.59815948582917766</v>
      </c>
      <c r="V30" t="s">
        <v>112</v>
      </c>
      <c r="W30">
        <v>1</v>
      </c>
      <c r="X30">
        <v>6593.8690999999999</v>
      </c>
      <c r="Z30">
        <f t="shared" si="8"/>
        <v>29.209869118274057</v>
      </c>
      <c r="AA30">
        <f t="shared" si="5"/>
        <v>0.64202017798015731</v>
      </c>
    </row>
    <row r="31" spans="1:27">
      <c r="A31">
        <v>30</v>
      </c>
      <c r="B31">
        <v>21590</v>
      </c>
      <c r="C31">
        <f t="shared" si="0"/>
        <v>23281.531091599099</v>
      </c>
      <c r="D31">
        <f t="shared" si="1"/>
        <v>0.92734450818788838</v>
      </c>
      <c r="G31">
        <v>1460</v>
      </c>
      <c r="M31">
        <v>1181</v>
      </c>
      <c r="N31">
        <v>-4.4000000000000003E-3</v>
      </c>
      <c r="O31">
        <v>-6.13E-2</v>
      </c>
      <c r="P31">
        <v>-4.2299999999999997E-2</v>
      </c>
      <c r="Q31">
        <v>-0.86270000000000002</v>
      </c>
      <c r="S31">
        <f t="shared" si="2"/>
        <v>1180.6411075883045</v>
      </c>
      <c r="T31">
        <f t="shared" si="6"/>
        <v>6599.7022301301377</v>
      </c>
      <c r="U31">
        <f t="shared" si="3"/>
        <v>0.5779789142659657</v>
      </c>
      <c r="V31" t="s">
        <v>117</v>
      </c>
      <c r="W31">
        <v>1</v>
      </c>
      <c r="X31">
        <v>6599.1048000000001</v>
      </c>
      <c r="Z31">
        <f t="shared" si="8"/>
        <v>27.159598835457821</v>
      </c>
      <c r="AA31">
        <f t="shared" si="5"/>
        <v>0.59743013013758173</v>
      </c>
    </row>
    <row r="32" spans="1:27">
      <c r="A32">
        <v>31</v>
      </c>
      <c r="B32">
        <v>22074</v>
      </c>
      <c r="C32">
        <f t="shared" si="0"/>
        <v>23294.186820291798</v>
      </c>
      <c r="D32">
        <f t="shared" si="1"/>
        <v>0.94761839811343485</v>
      </c>
      <c r="G32">
        <v>1515</v>
      </c>
      <c r="M32">
        <v>1240</v>
      </c>
      <c r="N32">
        <v>3.0000000000000001E-3</v>
      </c>
      <c r="O32">
        <v>-9.7799999999999998E-2</v>
      </c>
      <c r="P32">
        <v>5.1299999999999998E-2</v>
      </c>
      <c r="Q32">
        <v>-1.5780000000000001</v>
      </c>
      <c r="S32">
        <f t="shared" si="2"/>
        <v>1240.2655136895398</v>
      </c>
      <c r="T32">
        <f t="shared" si="6"/>
        <v>6605.2263601640707</v>
      </c>
      <c r="U32">
        <f t="shared" si="3"/>
        <v>0.79361253937373955</v>
      </c>
      <c r="V32" t="s">
        <v>125</v>
      </c>
      <c r="W32">
        <v>2</v>
      </c>
      <c r="X32">
        <v>6604.6009999999997</v>
      </c>
      <c r="Z32">
        <f t="shared" si="8"/>
        <v>28.405659815256001</v>
      </c>
      <c r="AA32">
        <f t="shared" si="5"/>
        <v>0.62536016407102579</v>
      </c>
    </row>
    <row r="33" spans="1:27">
      <c r="A33">
        <v>32</v>
      </c>
      <c r="B33">
        <v>22469</v>
      </c>
      <c r="C33">
        <f t="shared" si="0"/>
        <v>23306.904781897359</v>
      </c>
      <c r="D33">
        <f t="shared" si="1"/>
        <v>0.96404907516727978</v>
      </c>
      <c r="M33">
        <v>1255</v>
      </c>
      <c r="N33">
        <v>-3.0999999999999999E-3</v>
      </c>
      <c r="O33">
        <v>-6.7900000000000002E-2</v>
      </c>
      <c r="P33">
        <v>1.55E-2</v>
      </c>
      <c r="Q33">
        <v>-1.4067000000000001</v>
      </c>
      <c r="S33">
        <f t="shared" si="2"/>
        <v>1255.1132599507152</v>
      </c>
      <c r="T33">
        <f t="shared" si="6"/>
        <v>6606.601642975078</v>
      </c>
      <c r="U33">
        <f t="shared" si="3"/>
        <v>0.75504971318847647</v>
      </c>
      <c r="V33" t="s">
        <v>116</v>
      </c>
      <c r="W33">
        <v>1</v>
      </c>
      <c r="X33">
        <v>6605.9736999999996</v>
      </c>
      <c r="Z33">
        <f t="shared" si="8"/>
        <v>28.51705154736095</v>
      </c>
      <c r="AA33">
        <f t="shared" si="5"/>
        <v>0.62794297507844021</v>
      </c>
    </row>
    <row r="34" spans="1:27">
      <c r="A34">
        <v>33</v>
      </c>
      <c r="B34">
        <v>23200</v>
      </c>
      <c r="C34">
        <f t="shared" si="0"/>
        <v>23319.68459548946</v>
      </c>
      <c r="D34">
        <f t="shared" si="1"/>
        <v>0.99486765805088939</v>
      </c>
      <c r="M34">
        <v>1276.5</v>
      </c>
      <c r="N34" s="7">
        <v>-6.9999999999999994E-5</v>
      </c>
      <c r="O34">
        <v>-6.5000000000000002E-2</v>
      </c>
      <c r="P34">
        <v>1.34E-2</v>
      </c>
      <c r="Q34">
        <v>-1.3129999999999999</v>
      </c>
      <c r="S34">
        <f t="shared" si="2"/>
        <v>1276.6030597655677</v>
      </c>
      <c r="T34">
        <f t="shared" si="6"/>
        <v>6608.5918545463237</v>
      </c>
      <c r="U34">
        <f t="shared" si="3"/>
        <v>0.73098819080749355</v>
      </c>
      <c r="V34" t="s">
        <v>112</v>
      </c>
      <c r="W34">
        <v>1</v>
      </c>
      <c r="X34">
        <v>6608.0245999999997</v>
      </c>
      <c r="Y34" t="s">
        <v>124</v>
      </c>
      <c r="Z34">
        <f t="shared" si="8"/>
        <v>25.752985831384301</v>
      </c>
      <c r="AA34">
        <f t="shared" si="5"/>
        <v>0.56725454632396577</v>
      </c>
    </row>
    <row r="35" spans="1:27">
      <c r="A35">
        <v>34</v>
      </c>
      <c r="B35">
        <v>23628</v>
      </c>
      <c r="C35">
        <f t="shared" si="0"/>
        <v>23332.525880705572</v>
      </c>
      <c r="D35">
        <f t="shared" si="1"/>
        <v>1.0126636147670049</v>
      </c>
      <c r="M35">
        <v>1339.5</v>
      </c>
      <c r="N35">
        <v>-1.2999999999999999E-3</v>
      </c>
      <c r="O35">
        <v>-6.8599999999999994E-2</v>
      </c>
      <c r="P35">
        <v>4.1999999999999997E-3</v>
      </c>
      <c r="Q35">
        <v>-1.0470999999999999</v>
      </c>
      <c r="S35">
        <f t="shared" si="2"/>
        <v>1339.5305856532034</v>
      </c>
      <c r="T35">
        <f t="shared" si="6"/>
        <v>6614.4172711087876</v>
      </c>
      <c r="U35">
        <f t="shared" si="3"/>
        <v>0.6490459585047168</v>
      </c>
      <c r="V35" t="s">
        <v>112</v>
      </c>
      <c r="W35">
        <v>1</v>
      </c>
      <c r="X35">
        <v>6613.8244999999997</v>
      </c>
      <c r="Z35">
        <f t="shared" si="8"/>
        <v>26.887821507282084</v>
      </c>
      <c r="AA35">
        <f t="shared" si="5"/>
        <v>0.59277110878792882</v>
      </c>
    </row>
    <row r="36" spans="1:27">
      <c r="A36">
        <v>35</v>
      </c>
      <c r="B36">
        <v>23649</v>
      </c>
      <c r="C36">
        <f t="shared" si="0"/>
        <v>23345.428257746942</v>
      </c>
      <c r="D36">
        <f t="shared" si="1"/>
        <v>1.0130034771220067</v>
      </c>
      <c r="M36">
        <v>1460.5</v>
      </c>
      <c r="N36">
        <v>-2.9999999999999997E-4</v>
      </c>
      <c r="O36">
        <v>-6.6500000000000004E-2</v>
      </c>
      <c r="P36">
        <v>7.4000000000000003E-3</v>
      </c>
      <c r="Q36">
        <v>-0.89449999999999996</v>
      </c>
      <c r="S36">
        <f t="shared" si="2"/>
        <v>1460.5556181650959</v>
      </c>
      <c r="T36">
        <f t="shared" si="6"/>
        <v>6625.6069175468556</v>
      </c>
      <c r="U36">
        <f t="shared" si="3"/>
        <v>0.5911880464753676</v>
      </c>
      <c r="V36" s="9" t="s">
        <v>112</v>
      </c>
      <c r="W36" s="3">
        <v>1</v>
      </c>
      <c r="X36">
        <v>6625.0210999999999</v>
      </c>
      <c r="Z36">
        <f t="shared" si="8"/>
        <v>26.527502539819281</v>
      </c>
      <c r="AA36">
        <f t="shared" si="5"/>
        <v>0.58581754685565102</v>
      </c>
    </row>
    <row r="37" spans="1:27">
      <c r="A37">
        <v>36</v>
      </c>
      <c r="B37">
        <v>23494</v>
      </c>
      <c r="C37">
        <f t="shared" si="0"/>
        <v>23358.391347378612</v>
      </c>
      <c r="D37">
        <f t="shared" si="1"/>
        <v>1.0058055647156801</v>
      </c>
      <c r="M37">
        <v>1515</v>
      </c>
      <c r="N37">
        <v>2.3999999999999998E-3</v>
      </c>
      <c r="O37">
        <v>-0.10589999999999999</v>
      </c>
      <c r="P37">
        <v>6.7000000000000002E-3</v>
      </c>
      <c r="Q37">
        <v>-1.2782</v>
      </c>
      <c r="S37">
        <f t="shared" si="2"/>
        <v>1515.0316677076237</v>
      </c>
      <c r="T37">
        <f t="shared" si="6"/>
        <v>6630.6354306022922</v>
      </c>
      <c r="U37">
        <f t="shared" si="3"/>
        <v>0.72146178171518949</v>
      </c>
      <c r="V37" t="s">
        <v>115</v>
      </c>
      <c r="W37">
        <v>1</v>
      </c>
      <c r="X37">
        <v>6630.01</v>
      </c>
      <c r="Z37">
        <f t="shared" si="8"/>
        <v>28.29998456830296</v>
      </c>
      <c r="AA37">
        <f t="shared" si="5"/>
        <v>0.62543060229199909</v>
      </c>
    </row>
    <row r="38" spans="1:27">
      <c r="A38">
        <v>37</v>
      </c>
      <c r="B38">
        <v>23116</v>
      </c>
      <c r="C38">
        <f t="shared" si="0"/>
        <v>23371.414770929408</v>
      </c>
      <c r="D38">
        <f t="shared" si="1"/>
        <v>0.98907148867825034</v>
      </c>
    </row>
    <row r="39" spans="1:27">
      <c r="A39">
        <v>38</v>
      </c>
      <c r="B39">
        <v>22648</v>
      </c>
      <c r="C39">
        <f t="shared" si="0"/>
        <v>23384.49815029194</v>
      </c>
      <c r="D39">
        <f t="shared" si="1"/>
        <v>0.96850485541496445</v>
      </c>
    </row>
    <row r="40" spans="1:27">
      <c r="A40">
        <v>39</v>
      </c>
      <c r="B40">
        <v>22119</v>
      </c>
      <c r="C40">
        <f t="shared" si="0"/>
        <v>23397.641107922609</v>
      </c>
      <c r="D40">
        <f t="shared" si="1"/>
        <v>0.94535170866050888</v>
      </c>
      <c r="M40">
        <v>5.5</v>
      </c>
      <c r="O40">
        <v>-0.1072</v>
      </c>
      <c r="P40">
        <v>3.56E-2</v>
      </c>
      <c r="Q40">
        <v>-1.4455</v>
      </c>
      <c r="S40">
        <f>M40-P40/(2*O40)</f>
        <v>5.6660447761194028</v>
      </c>
      <c r="T40">
        <f xml:space="preserve"> -3.600522996612E-13*S40*S40*S40*S40 + 1.066229076724E-09*S40*S40*S40 - 0.0000009856353200613*S40*S40 + 0.09290311830026*S40 + 6490.335754191</f>
        <v>6490.8621159698105</v>
      </c>
    </row>
    <row r="41" spans="1:27" ht="17.25">
      <c r="A41">
        <v>40</v>
      </c>
      <c r="B41">
        <v>21111</v>
      </c>
      <c r="C41">
        <f t="shared" si="0"/>
        <v>23410.843266841599</v>
      </c>
      <c r="D41">
        <f t="shared" si="1"/>
        <v>0.90176162214117994</v>
      </c>
      <c r="F41">
        <v>5.5</v>
      </c>
      <c r="G41" t="s">
        <v>51</v>
      </c>
      <c r="M41">
        <v>44.5</v>
      </c>
      <c r="O41">
        <v>-5.28E-2</v>
      </c>
      <c r="P41">
        <v>-1.6000000000000001E-3</v>
      </c>
      <c r="Q41">
        <v>-1.0539000000000001</v>
      </c>
      <c r="S41">
        <f t="shared" ref="S41:S73" si="9">M41-P41/(2*O41)</f>
        <v>44.484848484848484</v>
      </c>
      <c r="T41">
        <f xml:space="preserve"> -3.600522996612E-13*S41*S41*S41*S41 + 1.066229076724E-09*S41*S41*S41 - 0.0000009856353200613*S41*S41 + 0.09290311830026*S41 + 6490.335754191</f>
        <v>6494.4666773082845</v>
      </c>
      <c r="V41" t="s">
        <v>111</v>
      </c>
      <c r="W41">
        <v>1</v>
      </c>
      <c r="X41">
        <v>6493.7809999999999</v>
      </c>
      <c r="Z41">
        <f t="shared" ref="Z41:Z46" si="10">300000*(T41/X41-1)</f>
        <v>31.67695253123437</v>
      </c>
    </row>
    <row r="42" spans="1:27" ht="17.25">
      <c r="A42">
        <v>41</v>
      </c>
      <c r="B42">
        <v>19586</v>
      </c>
      <c r="C42">
        <f t="shared" si="0"/>
        <v>23424.104250632885</v>
      </c>
      <c r="D42">
        <f t="shared" si="1"/>
        <v>0.8361472349351764</v>
      </c>
      <c r="F42">
        <v>5.5</v>
      </c>
      <c r="G42" t="s">
        <v>52</v>
      </c>
      <c r="M42">
        <v>57.5</v>
      </c>
      <c r="O42">
        <v>-2.5899999999999999E-2</v>
      </c>
      <c r="P42">
        <v>1.3100000000000001E-2</v>
      </c>
      <c r="Q42">
        <v>-0.63849999999999996</v>
      </c>
      <c r="S42">
        <f t="shared" si="9"/>
        <v>57.752895752895753</v>
      </c>
      <c r="T42">
        <f xml:space="preserve"> -3.600522996612E-13*S42*S42*S42*S42 + 1.066229076724E-09*S42*S42*S42 - 0.0000009856353200613*S42*S42 + 0.09290311830026*S42 + 6490.335754191</f>
        <v>6495.6980921931827</v>
      </c>
      <c r="V42" t="s">
        <v>112</v>
      </c>
      <c r="W42">
        <v>1</v>
      </c>
      <c r="X42">
        <v>6494.98</v>
      </c>
      <c r="Z42">
        <f t="shared" si="10"/>
        <v>33.168332767008479</v>
      </c>
    </row>
    <row r="43" spans="1:27">
      <c r="A43">
        <v>42</v>
      </c>
      <c r="B43">
        <v>17657</v>
      </c>
      <c r="C43">
        <f t="shared" si="0"/>
        <v>23437.42368344422</v>
      </c>
      <c r="D43">
        <f t="shared" si="1"/>
        <v>0.75336778642921365</v>
      </c>
      <c r="M43">
        <v>77.5</v>
      </c>
      <c r="O43">
        <v>-3.0300000000000001E-2</v>
      </c>
      <c r="P43">
        <v>4.5999999999999999E-3</v>
      </c>
      <c r="Q43">
        <v>-0.5131</v>
      </c>
      <c r="S43">
        <f t="shared" si="9"/>
        <v>77.575907590759073</v>
      </c>
      <c r="T43">
        <f xml:space="preserve"> -3.600522996612E-13*S43*S43*S43*S43 + 1.066229076724E-09*S43*S43*S43 - 0.0000009856353200613*S43*S43 + 0.09290311830026*S43 + 6490.335754191</f>
        <v>6497.5373510695536</v>
      </c>
      <c r="V43" t="s">
        <v>113</v>
      </c>
      <c r="W43">
        <v>2</v>
      </c>
      <c r="X43">
        <v>6496.8990000000003</v>
      </c>
      <c r="Y43" t="s">
        <v>114</v>
      </c>
      <c r="Z43">
        <f t="shared" si="10"/>
        <v>29.476419575846791</v>
      </c>
    </row>
    <row r="44" spans="1:27">
      <c r="A44">
        <v>43</v>
      </c>
      <c r="B44">
        <v>15986</v>
      </c>
      <c r="C44">
        <f t="shared" si="0"/>
        <v>23450.80118998716</v>
      </c>
      <c r="D44">
        <f t="shared" si="1"/>
        <v>0.68168246664534338</v>
      </c>
      <c r="M44">
        <v>99.5</v>
      </c>
      <c r="O44">
        <v>-4.7399999999999998E-2</v>
      </c>
      <c r="P44">
        <v>1.7600000000000001E-2</v>
      </c>
      <c r="Q44">
        <v>-0.7177</v>
      </c>
      <c r="S44">
        <f t="shared" si="9"/>
        <v>99.685654008438817</v>
      </c>
      <c r="T44">
        <f xml:space="preserve"> -3.600522996612E-13*S44*S44*S44*S44 + 1.066229076724E-09*S44*S44*S44 - 0.0000009856353200613*S44*S44 + 0.09290311830026*S44 + 6490.335754191</f>
        <v>6499.5880884647622</v>
      </c>
      <c r="V44" t="s">
        <v>112</v>
      </c>
      <c r="W44">
        <v>1</v>
      </c>
      <c r="X44">
        <v>6498.9378999999999</v>
      </c>
      <c r="Z44">
        <f t="shared" si="10"/>
        <v>30.013602596312694</v>
      </c>
    </row>
    <row r="45" spans="1:27" ht="17.25">
      <c r="A45">
        <v>44</v>
      </c>
      <c r="B45">
        <v>15230</v>
      </c>
      <c r="C45">
        <f t="shared" si="0"/>
        <v>23464.236395537024</v>
      </c>
      <c r="D45">
        <f t="shared" si="1"/>
        <v>0.649072901553992</v>
      </c>
      <c r="F45">
        <v>44.5</v>
      </c>
      <c r="G45" t="s">
        <v>53</v>
      </c>
      <c r="M45">
        <v>156</v>
      </c>
      <c r="O45">
        <v>-8.3900000000000002E-2</v>
      </c>
      <c r="P45">
        <v>-1.54E-2</v>
      </c>
      <c r="Q45">
        <v>-1.5365</v>
      </c>
      <c r="S45">
        <f t="shared" si="9"/>
        <v>155.9082240762813</v>
      </c>
      <c r="T45">
        <f xml:space="preserve"> -3.600522996612E-13*S45*S45*S45*S45 + 1.066229076724E-09*S45*S45*S45 - 0.0000009856353200613*S45*S45 + 0.09290311830026*S45 + 6490.335754191</f>
        <v>6504.7999841425099</v>
      </c>
      <c r="V45" t="s">
        <v>116</v>
      </c>
      <c r="W45">
        <v>1</v>
      </c>
      <c r="X45">
        <v>6504.1652999999997</v>
      </c>
      <c r="Z45">
        <f t="shared" si="10"/>
        <v>29.274354812791614</v>
      </c>
    </row>
    <row r="46" spans="1:27" ht="17.25">
      <c r="A46">
        <v>45</v>
      </c>
      <c r="B46">
        <v>15517</v>
      </c>
      <c r="C46">
        <f t="shared" si="0"/>
        <v>23477.728925932945</v>
      </c>
      <c r="D46">
        <f t="shared" si="1"/>
        <v>0.66092423372604359</v>
      </c>
      <c r="F46">
        <v>44.5</v>
      </c>
      <c r="G46" t="s">
        <v>54</v>
      </c>
      <c r="M46">
        <v>198</v>
      </c>
      <c r="O46">
        <v>-8.5900000000000004E-2</v>
      </c>
      <c r="P46">
        <v>8.9800000000000005E-2</v>
      </c>
      <c r="Q46">
        <v>-1.2639</v>
      </c>
      <c r="S46">
        <f t="shared" si="9"/>
        <v>198.52270081490104</v>
      </c>
      <c r="T46">
        <f xml:space="preserve"> -3.600522996612E-13*S46*S46*S46*S46 + 1.066229076724E-09*S46*S46*S46 - 0.0000009856353200613*S46*S46 + 0.09290311830026*S46 + 6490.335754191</f>
        <v>6508.7480699757743</v>
      </c>
      <c r="V46" t="s">
        <v>117</v>
      </c>
      <c r="W46">
        <v>1</v>
      </c>
      <c r="X46">
        <v>6508.1205</v>
      </c>
      <c r="Z46">
        <f t="shared" si="10"/>
        <v>28.928627355995218</v>
      </c>
    </row>
    <row r="47" spans="1:27">
      <c r="A47">
        <v>46</v>
      </c>
      <c r="B47">
        <v>16480</v>
      </c>
      <c r="C47">
        <f t="shared" si="0"/>
        <v>23491.278407577815</v>
      </c>
      <c r="D47">
        <f t="shared" si="1"/>
        <v>0.70153695827315565</v>
      </c>
      <c r="M47">
        <v>283</v>
      </c>
      <c r="O47">
        <v>-8.6599999999999996E-2</v>
      </c>
      <c r="P47">
        <v>5.4199999999999998E-2</v>
      </c>
      <c r="Q47">
        <v>-1.0355000000000001</v>
      </c>
      <c r="S47">
        <f t="shared" si="9"/>
        <v>283.31293302540416</v>
      </c>
      <c r="T47">
        <f xml:space="preserve"> -3.600522996612E-13*S47*S47*S47*S47 + 1.066229076724E-09*S47*S47*S47 - 0.0000009856353200613*S47*S47 + 0.09290311830026*S47 + 6490.335754191</f>
        <v>6516.5992227449087</v>
      </c>
      <c r="V47" s="5" t="s">
        <v>141</v>
      </c>
      <c r="W47" s="5"/>
      <c r="X47" s="5"/>
      <c r="Y47" s="5" t="s">
        <v>182</v>
      </c>
      <c r="Z47" s="5"/>
    </row>
    <row r="48" spans="1:27">
      <c r="A48">
        <v>47</v>
      </c>
      <c r="B48">
        <v>17506</v>
      </c>
      <c r="C48">
        <f t="shared" si="0"/>
        <v>23504.884467438336</v>
      </c>
      <c r="D48">
        <f t="shared" si="1"/>
        <v>0.74478136764515135</v>
      </c>
      <c r="M48">
        <v>402</v>
      </c>
      <c r="O48">
        <v>-4.2099999999999999E-2</v>
      </c>
      <c r="P48">
        <v>5.1299999999999998E-2</v>
      </c>
      <c r="Q48">
        <v>-1.2008000000000001</v>
      </c>
      <c r="S48">
        <f t="shared" si="9"/>
        <v>402.60926365795723</v>
      </c>
      <c r="T48">
        <f xml:space="preserve"> -3.600522996612E-13*S48*S48*S48*S48 + 1.066229076724E-09*S48*S48*S48 - 0.0000009856353200613*S48*S48 + 0.09290311830026*S48 + 6490.335754191</f>
        <v>6527.6397670325005</v>
      </c>
    </row>
    <row r="49" spans="1:31">
      <c r="A49">
        <v>48</v>
      </c>
      <c r="B49">
        <v>18210</v>
      </c>
      <c r="C49">
        <f t="shared" si="0"/>
        <v>23518.546733044979</v>
      </c>
      <c r="D49">
        <f t="shared" si="1"/>
        <v>0.77428253568124805</v>
      </c>
      <c r="M49">
        <v>451</v>
      </c>
      <c r="O49">
        <v>-3.4700000000000002E-2</v>
      </c>
      <c r="P49">
        <v>-1.5E-3</v>
      </c>
      <c r="Q49">
        <v>-1.1721999999999999</v>
      </c>
      <c r="S49">
        <f t="shared" si="9"/>
        <v>450.97838616714699</v>
      </c>
      <c r="T49">
        <f xml:space="preserve"> -3.600522996612E-13*S49*S49*S49*S49 + 1.066229076724E-09*S49*S49*S49 - 0.0000009856353200613*S49*S49 + 0.09290311830026*S49 + 6490.335754191</f>
        <v>6532.1154945785374</v>
      </c>
      <c r="V49" t="s">
        <v>116</v>
      </c>
      <c r="W49">
        <v>1</v>
      </c>
      <c r="X49">
        <v>6531.4206999999997</v>
      </c>
      <c r="Z49">
        <f>300000*(T49/X49-1)</f>
        <v>31.913175270004146</v>
      </c>
    </row>
    <row r="50" spans="1:31">
      <c r="A50">
        <v>49</v>
      </c>
      <c r="B50">
        <v>18928</v>
      </c>
      <c r="C50">
        <f t="shared" si="0"/>
        <v>23532.264832492019</v>
      </c>
      <c r="D50">
        <f t="shared" si="1"/>
        <v>0.80434246914752072</v>
      </c>
      <c r="M50">
        <v>466</v>
      </c>
      <c r="O50">
        <v>-0.05</v>
      </c>
      <c r="P50">
        <v>4.5999999999999999E-3</v>
      </c>
      <c r="Q50">
        <v>-1.3349</v>
      </c>
      <c r="S50">
        <f t="shared" si="9"/>
        <v>466.04599999999999</v>
      </c>
      <c r="T50">
        <f xml:space="preserve"> -3.600522996612E-13*S50*S50*S50*S50 + 1.066229076724E-09*S50*S50*S50 - 0.0000009856353200613*S50*S50 + 0.09290311830026*S50 + 6490.335754191</f>
        <v>6533.5097450696612</v>
      </c>
      <c r="V50" t="s">
        <v>118</v>
      </c>
      <c r="W50">
        <v>1</v>
      </c>
      <c r="X50">
        <v>6532.8730999999998</v>
      </c>
      <c r="Z50">
        <f>300000*(T50/X50-1)</f>
        <v>29.235761658719106</v>
      </c>
    </row>
    <row r="51" spans="1:31">
      <c r="A51">
        <v>50</v>
      </c>
      <c r="B51">
        <v>18957</v>
      </c>
      <c r="C51">
        <f t="shared" si="0"/>
        <v>23546.038394437499</v>
      </c>
      <c r="D51">
        <f t="shared" si="1"/>
        <v>0.80510358823157235</v>
      </c>
      <c r="M51">
        <v>520.5</v>
      </c>
      <c r="O51">
        <v>-6.6699999999999995E-2</v>
      </c>
      <c r="P51">
        <v>8.3999999999999995E-3</v>
      </c>
      <c r="Q51">
        <v>-1.3418000000000001</v>
      </c>
      <c r="S51">
        <f t="shared" si="9"/>
        <v>520.56296851574211</v>
      </c>
      <c r="T51">
        <f xml:space="preserve"> -3.600522996612E-13*S51*S51*S51*S51 + 1.066229076724E-09*S51*S51*S51 - 0.0000009856353200613*S51*S51 + 0.09290311830026*S51 + 6490.335754191</f>
        <v>6538.5545520181149</v>
      </c>
      <c r="V51" t="s">
        <v>115</v>
      </c>
      <c r="W51">
        <v>1</v>
      </c>
      <c r="X51">
        <v>6537.9210000000003</v>
      </c>
      <c r="Z51">
        <f>300000*(T51/X51-1)</f>
        <v>29.071260639979002</v>
      </c>
    </row>
    <row r="52" spans="1:31">
      <c r="A52">
        <v>51</v>
      </c>
      <c r="B52">
        <v>18505</v>
      </c>
      <c r="C52">
        <f t="shared" si="0"/>
        <v>23559.86704810326</v>
      </c>
      <c r="D52">
        <f t="shared" si="1"/>
        <v>0.78544585851089455</v>
      </c>
      <c r="M52">
        <v>579</v>
      </c>
      <c r="O52">
        <v>-4.7300000000000002E-2</v>
      </c>
      <c r="P52">
        <v>1.1999999999999999E-3</v>
      </c>
      <c r="Q52">
        <v>-1.1102000000000001</v>
      </c>
      <c r="S52">
        <f t="shared" si="9"/>
        <v>579.0126849894292</v>
      </c>
      <c r="T52">
        <f xml:space="preserve"> -3.600522996612E-13*S52*S52*S52*S52 + 1.066229076724E-09*S52*S52*S52 - 0.0000009856353200613*S52*S52 + 0.09290311830026*S52 + 6490.335754191</f>
        <v>6543.9639032453269</v>
      </c>
      <c r="V52" t="s">
        <v>116</v>
      </c>
      <c r="W52">
        <v>1</v>
      </c>
      <c r="X52">
        <v>6543.5037000000002</v>
      </c>
      <c r="Y52" s="5" t="s">
        <v>139</v>
      </c>
      <c r="Z52" s="5"/>
    </row>
    <row r="53" spans="1:31">
      <c r="A53">
        <v>52</v>
      </c>
      <c r="B53">
        <v>17856</v>
      </c>
      <c r="C53">
        <f t="shared" si="0"/>
        <v>23573.750423274934</v>
      </c>
      <c r="D53">
        <f t="shared" si="1"/>
        <v>0.75745266151500179</v>
      </c>
      <c r="M53">
        <v>610.5</v>
      </c>
      <c r="O53">
        <v>-4.9500000000000002E-2</v>
      </c>
      <c r="P53">
        <v>-1.78E-2</v>
      </c>
      <c r="Q53">
        <v>-0.82399999999999995</v>
      </c>
      <c r="S53">
        <f t="shared" si="9"/>
        <v>610.32020202020203</v>
      </c>
      <c r="T53">
        <f xml:space="preserve"> -3.600522996612E-13*S53*S53*S53*S53 + 1.066229076724E-09*S53*S53*S53 - 0.0000009856353200613*S53*S53 + 0.09290311830026*S53 + 6490.335754191</f>
        <v>6546.8617021129521</v>
      </c>
      <c r="V53" t="s">
        <v>119</v>
      </c>
      <c r="W53">
        <v>1</v>
      </c>
      <c r="X53">
        <v>6546.2529999999997</v>
      </c>
      <c r="Y53" t="s">
        <v>114</v>
      </c>
      <c r="Z53">
        <f t="shared" ref="Z53:Z60" si="11">300000*(T53/X53-1)</f>
        <v>27.895443986936108</v>
      </c>
    </row>
    <row r="54" spans="1:31">
      <c r="A54">
        <v>53</v>
      </c>
      <c r="B54">
        <v>16438</v>
      </c>
      <c r="C54">
        <f t="shared" si="0"/>
        <v>23587.688150301921</v>
      </c>
      <c r="D54">
        <f t="shared" si="1"/>
        <v>0.69688898272930555</v>
      </c>
      <c r="M54">
        <v>669</v>
      </c>
      <c r="O54">
        <v>-2.6800000000000001E-2</v>
      </c>
      <c r="P54">
        <v>-1.1599999999999999E-2</v>
      </c>
      <c r="Q54">
        <v>-0.96179999999999999</v>
      </c>
      <c r="S54">
        <f t="shared" si="9"/>
        <v>668.78358208955228</v>
      </c>
      <c r="T54">
        <f xml:space="preserve"> -3.600522996612E-13*S54*S54*S54*S54 + 1.066229076724E-09*S54*S54*S54 - 0.0000009856353200613*S54*S54 + 0.09290311830026*S54 + 6490.335754191</f>
        <v>6552.2738975467637</v>
      </c>
      <c r="V54" t="s">
        <v>112</v>
      </c>
      <c r="W54">
        <v>1</v>
      </c>
      <c r="X54">
        <v>6551.6767</v>
      </c>
      <c r="Z54">
        <f t="shared" si="11"/>
        <v>27.3455593480465</v>
      </c>
    </row>
    <row r="55" spans="1:31">
      <c r="A55">
        <v>54</v>
      </c>
      <c r="B55">
        <v>14951</v>
      </c>
      <c r="C55">
        <f t="shared" si="0"/>
        <v>23601.679860097433</v>
      </c>
      <c r="D55">
        <f t="shared" si="1"/>
        <v>0.63347185830094888</v>
      </c>
      <c r="M55">
        <v>696.5</v>
      </c>
      <c r="O55">
        <v>-4.6100000000000002E-2</v>
      </c>
      <c r="P55">
        <v>2.5999999999999999E-3</v>
      </c>
      <c r="Q55">
        <v>-0.96160000000000001</v>
      </c>
      <c r="S55">
        <f t="shared" si="9"/>
        <v>696.52819956616054</v>
      </c>
      <c r="T55">
        <f xml:space="preserve"> -3.600522996612E-13*S55*S55*S55*S55 + 1.066229076724E-09*S55*S55*S55 - 0.0000009856353200613*S55*S55 + 0.09290311830026*S55 + 6490.335754191</f>
        <v>6554.842769162482</v>
      </c>
      <c r="V55" t="s">
        <v>117</v>
      </c>
      <c r="W55">
        <v>1</v>
      </c>
      <c r="X55">
        <v>6554.223</v>
      </c>
      <c r="Z55">
        <f t="shared" si="11"/>
        <v>28.368084019181339</v>
      </c>
    </row>
    <row r="56" spans="1:31">
      <c r="A56">
        <v>55</v>
      </c>
      <c r="B56">
        <v>13337</v>
      </c>
      <c r="C56">
        <f t="shared" si="0"/>
        <v>23615.725184138442</v>
      </c>
      <c r="D56">
        <f t="shared" si="1"/>
        <v>0.56475081311319741</v>
      </c>
      <c r="M56">
        <v>716</v>
      </c>
      <c r="O56">
        <v>-4.5100000000000001E-2</v>
      </c>
      <c r="P56">
        <v>1.24E-2</v>
      </c>
      <c r="Q56">
        <v>-0.74409999999999998</v>
      </c>
      <c r="S56">
        <f t="shared" si="9"/>
        <v>716.13747228381374</v>
      </c>
      <c r="T56">
        <f xml:space="preserve"> -3.600522996612E-13*S56*S56*S56*S56 + 1.066229076724E-09*S56*S56*S56 - 0.0000009856353200613*S56*S56 + 0.09290311830026*S56 + 6490.335754191</f>
        <v>6556.6585696502407</v>
      </c>
      <c r="V56" t="s">
        <v>117</v>
      </c>
      <c r="W56">
        <v>1</v>
      </c>
      <c r="X56">
        <v>6556.0618000000004</v>
      </c>
      <c r="Z56">
        <f t="shared" si="11"/>
        <v>27.307688751787573</v>
      </c>
    </row>
    <row r="57" spans="1:31">
      <c r="A57">
        <v>56</v>
      </c>
      <c r="B57">
        <v>12084</v>
      </c>
      <c r="C57">
        <f t="shared" si="0"/>
        <v>23629.823754465731</v>
      </c>
      <c r="D57">
        <f t="shared" si="1"/>
        <v>0.51138764831947936</v>
      </c>
      <c r="M57">
        <v>821</v>
      </c>
      <c r="O57">
        <v>-4.1799999999999997E-2</v>
      </c>
      <c r="P57">
        <v>1.5900000000000001E-2</v>
      </c>
      <c r="Q57">
        <v>-1.5858000000000001</v>
      </c>
      <c r="S57">
        <f t="shared" si="9"/>
        <v>821.19019138755982</v>
      </c>
      <c r="T57">
        <f xml:space="preserve"> -3.600522996612E-13*S57*S57*S57*S57 + 1.066229076724E-09*S57*S57*S57 - 0.0000009856353200613*S57*S57 + 0.09290311830026*S57 + 6490.335754191</f>
        <v>6566.3889307465906</v>
      </c>
      <c r="V57" t="s">
        <v>116</v>
      </c>
      <c r="W57">
        <v>1</v>
      </c>
      <c r="X57">
        <v>6565.8829999999998</v>
      </c>
      <c r="Z57">
        <f t="shared" si="11"/>
        <v>23.116346114826491</v>
      </c>
      <c r="AD57" t="s">
        <v>185</v>
      </c>
      <c r="AE57">
        <f>AVERAGE(Z41:Z73)</f>
        <v>28.409931292066354</v>
      </c>
    </row>
    <row r="58" spans="1:31" ht="17.25">
      <c r="A58">
        <v>57</v>
      </c>
      <c r="B58">
        <v>11385</v>
      </c>
      <c r="C58">
        <f t="shared" si="0"/>
        <v>23643.975203683851</v>
      </c>
      <c r="D58">
        <f t="shared" si="1"/>
        <v>0.48151801471294725</v>
      </c>
      <c r="F58">
        <v>57.5</v>
      </c>
      <c r="G58" t="s">
        <v>55</v>
      </c>
      <c r="M58">
        <v>858.5</v>
      </c>
      <c r="O58">
        <v>-3.3599999999999998E-2</v>
      </c>
      <c r="P58">
        <v>7.9000000000000008E-3</v>
      </c>
      <c r="Q58">
        <v>-1.2358</v>
      </c>
      <c r="S58">
        <f t="shared" si="9"/>
        <v>858.61755952380952</v>
      </c>
      <c r="T58">
        <f xml:space="preserve"> -3.600522996612E-13*S58*S58*S58*S58 + 1.066229076724E-09*S58*S58*S58 - 0.0000009856353200613*S58*S58 + 0.09290311830026*S58 + 6490.335754191</f>
        <v>6569.85659671535</v>
      </c>
      <c r="V58" t="s">
        <v>120</v>
      </c>
      <c r="W58">
        <v>1</v>
      </c>
      <c r="X58">
        <v>6569.2145</v>
      </c>
      <c r="Y58" t="s">
        <v>114</v>
      </c>
      <c r="Z58">
        <f t="shared" si="11"/>
        <v>29.322990534841331</v>
      </c>
    </row>
    <row r="59" spans="1:31" ht="17.25">
      <c r="A59">
        <v>58</v>
      </c>
      <c r="B59">
        <v>11144</v>
      </c>
      <c r="C59">
        <f t="shared" si="0"/>
        <v>23658.179164961151</v>
      </c>
      <c r="D59">
        <f t="shared" si="1"/>
        <v>0.4710421677972908</v>
      </c>
      <c r="F59">
        <v>57.5</v>
      </c>
      <c r="G59" t="s">
        <v>56</v>
      </c>
      <c r="M59">
        <v>897</v>
      </c>
      <c r="O59">
        <v>-4.8500000000000001E-2</v>
      </c>
      <c r="P59">
        <v>9.5999999999999992E-3</v>
      </c>
      <c r="Q59">
        <v>-0.72319999999999995</v>
      </c>
      <c r="S59">
        <f t="shared" si="9"/>
        <v>897.098969072165</v>
      </c>
      <c r="T59">
        <f xml:space="preserve"> -3.600522996612E-13*S59*S59*S59*S59 + 1.066229076724E-09*S59*S59*S59 - 0.0000009856353200613*S59*S59 + 0.09290311830026*S59 + 6490.335754191</f>
        <v>6573.4224094141337</v>
      </c>
      <c r="V59" t="s">
        <v>121</v>
      </c>
      <c r="W59">
        <v>1</v>
      </c>
      <c r="X59">
        <v>6572.826</v>
      </c>
      <c r="Y59" t="s">
        <v>114</v>
      </c>
      <c r="Z59">
        <f t="shared" si="11"/>
        <v>27.221597565474376</v>
      </c>
    </row>
    <row r="60" spans="1:31">
      <c r="A60">
        <v>59</v>
      </c>
      <c r="B60">
        <v>11577</v>
      </c>
      <c r="C60">
        <f t="shared" si="0"/>
        <v>23672.435272029761</v>
      </c>
      <c r="D60">
        <f t="shared" si="1"/>
        <v>0.48904981118181956</v>
      </c>
      <c r="M60">
        <v>912.5</v>
      </c>
      <c r="O60">
        <v>-5.5800000000000002E-2</v>
      </c>
      <c r="P60">
        <v>2.47E-2</v>
      </c>
      <c r="Q60">
        <v>-0.76419999999999999</v>
      </c>
      <c r="S60">
        <f t="shared" si="9"/>
        <v>912.72132616487454</v>
      </c>
      <c r="T60">
        <f xml:space="preserve"> -3.600522996612E-13*S60*S60*S60*S60 + 1.066229076724E-09*S60*S60*S60 - 0.0000009856353200613*S60*S60 + 0.09290311830026*S60 + 6490.335754191</f>
        <v>6574.870154728882</v>
      </c>
      <c r="V60" t="s">
        <v>112</v>
      </c>
      <c r="W60">
        <v>1</v>
      </c>
      <c r="X60">
        <v>6574.2262000000001</v>
      </c>
      <c r="Z60">
        <f t="shared" si="11"/>
        <v>29.385423133865274</v>
      </c>
    </row>
    <row r="61" spans="1:31">
      <c r="A61">
        <v>60</v>
      </c>
      <c r="B61">
        <v>12727</v>
      </c>
      <c r="C61">
        <f t="shared" si="0"/>
        <v>23686.7431591856</v>
      </c>
      <c r="D61">
        <f t="shared" si="1"/>
        <v>0.53730476640325009</v>
      </c>
      <c r="M61">
        <v>921</v>
      </c>
      <c r="O61">
        <v>-4.1399999999999999E-2</v>
      </c>
      <c r="P61">
        <v>1.6199999999999999E-2</v>
      </c>
      <c r="Q61">
        <v>-1.0648</v>
      </c>
      <c r="S61">
        <f t="shared" si="9"/>
        <v>921.195652173913</v>
      </c>
      <c r="T61">
        <f xml:space="preserve"> -3.600522996612E-13*S61*S61*S61*S61 + 1.066229076724E-09*S61*S61*S61 - 0.0000009856353200613*S61*S61 + 0.09290311830026*S61 + 6490.335754191</f>
        <v>6575.6555099271836</v>
      </c>
      <c r="V61" s="5"/>
      <c r="W61" s="5"/>
      <c r="X61" s="5"/>
      <c r="Y61" s="5" t="s">
        <v>138</v>
      </c>
      <c r="Z61" s="5"/>
    </row>
    <row r="62" spans="1:31">
      <c r="A62">
        <v>61</v>
      </c>
      <c r="B62">
        <v>14413</v>
      </c>
      <c r="C62">
        <f t="shared" si="0"/>
        <v>23701.102461288374</v>
      </c>
      <c r="D62">
        <f t="shared" si="1"/>
        <v>0.60811517200691934</v>
      </c>
      <c r="M62">
        <v>937</v>
      </c>
      <c r="O62">
        <v>-4.7E-2</v>
      </c>
      <c r="P62">
        <v>1.6299999999999999E-2</v>
      </c>
      <c r="Q62">
        <v>-1.6626000000000001</v>
      </c>
      <c r="S62">
        <f t="shared" si="9"/>
        <v>937.17340425531916</v>
      </c>
      <c r="T62">
        <f xml:space="preserve"> -3.600522996612E-13*S62*S62*S62*S62 + 1.066229076724E-09*S62*S62*S62 - 0.0000009856353200613*S62*S62 + 0.09290311830026*S62 + 6490.335754191</f>
        <v>6577.1362916263342</v>
      </c>
      <c r="V62" t="s">
        <v>122</v>
      </c>
      <c r="W62">
        <v>1</v>
      </c>
      <c r="X62">
        <v>6576.56</v>
      </c>
      <c r="Y62" t="s">
        <v>123</v>
      </c>
      <c r="Z62">
        <f t="shared" ref="Z62:Z71" si="12">300000*(T62/X62-1)</f>
        <v>26.288437709087731</v>
      </c>
    </row>
    <row r="63" spans="1:31">
      <c r="A63">
        <v>62</v>
      </c>
      <c r="B63">
        <v>15990</v>
      </c>
      <c r="C63">
        <f t="shared" si="0"/>
        <v>23715.512813761572</v>
      </c>
      <c r="D63">
        <f t="shared" si="1"/>
        <v>0.6742422196631298</v>
      </c>
      <c r="M63">
        <v>987</v>
      </c>
      <c r="O63">
        <v>-3.2899999999999999E-2</v>
      </c>
      <c r="P63">
        <v>1.4999999999999999E-2</v>
      </c>
      <c r="Q63">
        <v>-0.93130000000000002</v>
      </c>
      <c r="S63">
        <f t="shared" si="9"/>
        <v>987.22796352583589</v>
      </c>
      <c r="T63">
        <f xml:space="preserve"> -3.600522996612E-13*S63*S63*S63*S63 + 1.066229076724E-09*S63*S63*S63 - 0.0000009856353200613*S63*S63 + 0.09290311830026*S63 + 6490.335754191</f>
        <v>6581.7755791002091</v>
      </c>
      <c r="V63" t="s">
        <v>112</v>
      </c>
      <c r="W63">
        <v>1</v>
      </c>
      <c r="X63">
        <v>6581.2088000000003</v>
      </c>
      <c r="Y63" t="s">
        <v>124</v>
      </c>
      <c r="Z63">
        <f t="shared" si="12"/>
        <v>25.836246080279679</v>
      </c>
    </row>
    <row r="64" spans="1:31">
      <c r="A64">
        <v>63</v>
      </c>
      <c r="B64">
        <v>17124</v>
      </c>
      <c r="C64">
        <f t="shared" si="0"/>
        <v>23729.973852592477</v>
      </c>
      <c r="D64">
        <f t="shared" si="1"/>
        <v>0.72161899993535894</v>
      </c>
      <c r="M64">
        <v>1043</v>
      </c>
      <c r="O64">
        <v>-6.6699999999999995E-2</v>
      </c>
      <c r="P64">
        <v>-2.69E-2</v>
      </c>
      <c r="Q64">
        <v>-1.3067</v>
      </c>
      <c r="S64">
        <f t="shared" si="9"/>
        <v>1042.7983508245877</v>
      </c>
      <c r="T64">
        <f xml:space="preserve"> -3.600522996612E-13*S64*S64*S64*S64 + 1.066229076724E-09*S64*S64*S64 - 0.0000009856353200613*S64*S64 + 0.09290311830026*S64 + 6490.335754191</f>
        <v>6586.9264730998966</v>
      </c>
      <c r="V64" t="s">
        <v>118</v>
      </c>
      <c r="W64">
        <v>1</v>
      </c>
      <c r="X64">
        <v>6586.3099000000002</v>
      </c>
      <c r="Z64">
        <f t="shared" si="12"/>
        <v>28.084304075770561</v>
      </c>
    </row>
    <row r="65" spans="1:26">
      <c r="A65">
        <v>64</v>
      </c>
      <c r="B65">
        <v>17824</v>
      </c>
      <c r="C65">
        <f t="shared" si="0"/>
        <v>23744.485214332148</v>
      </c>
      <c r="D65">
        <f t="shared" si="1"/>
        <v>0.75065851456073895</v>
      </c>
      <c r="M65">
        <v>1114.5</v>
      </c>
      <c r="O65">
        <v>-3.9699999999999999E-2</v>
      </c>
      <c r="P65">
        <v>-2.29E-2</v>
      </c>
      <c r="Q65">
        <v>-0.88300000000000001</v>
      </c>
      <c r="S65">
        <f t="shared" si="9"/>
        <v>1114.2115869017632</v>
      </c>
      <c r="T65">
        <f xml:space="preserve"> -3.600522996612E-13*S65*S65*S65*S65 + 1.066229076724E-09*S65*S65*S65 - 0.0000009856353200613*S65*S65 + 0.09290311830026*S65 + 6490.335754191</f>
        <v>6593.5457926440404</v>
      </c>
      <c r="V65" t="s">
        <v>112</v>
      </c>
      <c r="W65">
        <v>1</v>
      </c>
      <c r="X65">
        <v>6592.9120000000003</v>
      </c>
      <c r="Z65">
        <f t="shared" si="12"/>
        <v>28.839728667984232</v>
      </c>
    </row>
    <row r="66" spans="1:26">
      <c r="A66">
        <v>65</v>
      </c>
      <c r="B66">
        <v>18705</v>
      </c>
      <c r="C66">
        <f t="shared" ref="C66:C129" si="13" xml:space="preserve"> 0.00000002349111*A66*A66*A66*A66 - 0.0000664476*A66*A66*A66 + 0.03716061*A66*A66 + 10.57172*A66 + 22932.71</f>
        <v>23759.046536095444</v>
      </c>
      <c r="D66">
        <f t="shared" ref="D66:D129" si="14">B66/C66</f>
        <v>0.78727906743154918</v>
      </c>
      <c r="M66">
        <v>1124.5</v>
      </c>
      <c r="O66">
        <v>-4.8599999999999997E-2</v>
      </c>
      <c r="P66">
        <v>1.47E-2</v>
      </c>
      <c r="Q66">
        <v>-0.91169999999999995</v>
      </c>
      <c r="S66">
        <f t="shared" si="9"/>
        <v>1124.6512345679012</v>
      </c>
      <c r="T66">
        <f xml:space="preserve"> -3.600522996612E-13*S66*S66*S66*S66 + 1.066229076724E-09*S66*S66*S66 - 0.0000009856353200613*S66*S66 + 0.09290311830026*S66 + 6490.335754191</f>
        <v>6594.5133856598923</v>
      </c>
      <c r="V66" t="s">
        <v>112</v>
      </c>
      <c r="W66">
        <v>1</v>
      </c>
      <c r="X66">
        <v>6593.8690999999999</v>
      </c>
      <c r="Z66">
        <f t="shared" si="12"/>
        <v>29.312941315118302</v>
      </c>
    </row>
    <row r="67" spans="1:26">
      <c r="A67">
        <v>66</v>
      </c>
      <c r="B67">
        <v>19915</v>
      </c>
      <c r="C67">
        <f t="shared" si="13"/>
        <v>23773.657455560995</v>
      </c>
      <c r="D67">
        <f t="shared" si="14"/>
        <v>0.83769188805829287</v>
      </c>
      <c r="M67">
        <v>1181</v>
      </c>
      <c r="O67">
        <v>-6.13E-2</v>
      </c>
      <c r="P67">
        <v>-5.7099999999999998E-2</v>
      </c>
      <c r="Q67">
        <v>-0.86270000000000002</v>
      </c>
      <c r="S67">
        <f t="shared" si="9"/>
        <v>1180.5342577487766</v>
      </c>
      <c r="T67">
        <f xml:space="preserve"> -3.600522996612E-13*S67*S67*S67*S67 + 1.066229076724E-09*S67*S67*S67 - 0.0000009856353200613*S67*S67 + 0.09290311830026*S67 + 6490.335754191</f>
        <v>6599.6923289642382</v>
      </c>
      <c r="V67" t="s">
        <v>117</v>
      </c>
      <c r="W67">
        <v>1</v>
      </c>
      <c r="X67">
        <v>6599.1048000000001</v>
      </c>
      <c r="Z67">
        <f t="shared" si="12"/>
        <v>26.709484788223214</v>
      </c>
    </row>
    <row r="68" spans="1:26">
      <c r="A68">
        <v>67</v>
      </c>
      <c r="B68">
        <v>20784</v>
      </c>
      <c r="C68">
        <f t="shared" si="13"/>
        <v>23788.317610971233</v>
      </c>
      <c r="D68">
        <f t="shared" si="14"/>
        <v>0.87370617543858442</v>
      </c>
      <c r="M68">
        <v>1240</v>
      </c>
      <c r="O68">
        <v>-9.7799999999999998E-2</v>
      </c>
      <c r="P68">
        <v>6.1499999999999999E-2</v>
      </c>
      <c r="Q68">
        <v>-1.5780000000000001</v>
      </c>
      <c r="S68">
        <f t="shared" si="9"/>
        <v>1240.314417177914</v>
      </c>
      <c r="T68">
        <f xml:space="preserve"> -3.600522996612E-13*S68*S68*S68*S68 + 1.066229076724E-09*S68*S68*S68 - 0.0000009856353200613*S68*S68 + 0.09290311830026*S68 + 6490.335754191</f>
        <v>6605.230890138645</v>
      </c>
      <c r="V68" t="s">
        <v>125</v>
      </c>
      <c r="W68">
        <v>2</v>
      </c>
      <c r="X68">
        <v>6604.6009999999997</v>
      </c>
      <c r="Z68">
        <f t="shared" si="12"/>
        <v>28.611424307634081</v>
      </c>
    </row>
    <row r="69" spans="1:26">
      <c r="A69">
        <v>68</v>
      </c>
      <c r="B69">
        <v>21354</v>
      </c>
      <c r="C69">
        <f t="shared" si="13"/>
        <v>23803.026641132368</v>
      </c>
      <c r="D69">
        <f t="shared" si="14"/>
        <v>0.89711280510435698</v>
      </c>
      <c r="M69">
        <v>1255</v>
      </c>
      <c r="O69">
        <v>-6.7900000000000002E-2</v>
      </c>
      <c r="P69">
        <v>4.8999999999999998E-3</v>
      </c>
      <c r="Q69">
        <v>-1.4067000000000001</v>
      </c>
      <c r="S69">
        <f t="shared" si="9"/>
        <v>1255.0360824742268</v>
      </c>
      <c r="T69">
        <f xml:space="preserve"> -3.600522996612E-13*S69*S69*S69*S69 + 1.066229076724E-09*S69*S69*S69 - 0.0000009856353200613*S69*S69 + 0.09290311830026*S69 + 6490.335754191</f>
        <v>6606.5944947716243</v>
      </c>
      <c r="V69" t="s">
        <v>116</v>
      </c>
      <c r="W69">
        <v>1</v>
      </c>
      <c r="X69">
        <v>6605.9736999999996</v>
      </c>
      <c r="Z69">
        <f t="shared" si="12"/>
        <v>28.192427028228551</v>
      </c>
    </row>
    <row r="70" spans="1:26">
      <c r="A70">
        <v>69</v>
      </c>
      <c r="B70">
        <v>21250</v>
      </c>
      <c r="C70">
        <f t="shared" si="13"/>
        <v>23817.784185414392</v>
      </c>
      <c r="D70">
        <f t="shared" si="14"/>
        <v>0.89219046719774797</v>
      </c>
      <c r="M70">
        <v>1276.5</v>
      </c>
      <c r="O70">
        <v>-6.5000000000000002E-2</v>
      </c>
      <c r="P70">
        <v>1.2999999999999999E-2</v>
      </c>
      <c r="Q70">
        <v>-1.3129999999999999</v>
      </c>
      <c r="S70">
        <f t="shared" si="9"/>
        <v>1276.5999999999999</v>
      </c>
      <c r="T70">
        <f t="shared" ref="T70:T73" si="15" xml:space="preserve"> -3.600522996612E-13*S70*S70*S70*S70 + 1.066229076724E-09*S70*S70*S70 - 0.0000009856353200613*S70*S70 + 0.09290311830026*S70 + 6490.335754191</f>
        <v>6608.5915712022879</v>
      </c>
      <c r="V70" t="s">
        <v>112</v>
      </c>
      <c r="W70">
        <v>1</v>
      </c>
      <c r="X70">
        <v>6608.0245999999997</v>
      </c>
      <c r="Y70" t="s">
        <v>124</v>
      </c>
      <c r="Z70">
        <f t="shared" si="12"/>
        <v>25.740122197226434</v>
      </c>
    </row>
    <row r="71" spans="1:26">
      <c r="A71">
        <v>70</v>
      </c>
      <c r="B71">
        <v>20602</v>
      </c>
      <c r="C71">
        <f t="shared" si="13"/>
        <v>23832.589883751098</v>
      </c>
      <c r="D71">
        <f t="shared" si="14"/>
        <v>0.86444654569608093</v>
      </c>
      <c r="M71">
        <v>1339.5</v>
      </c>
      <c r="O71">
        <v>-6.8599999999999994E-2</v>
      </c>
      <c r="P71">
        <v>-2.5999999999999999E-3</v>
      </c>
      <c r="Q71">
        <v>-1.0470999999999999</v>
      </c>
      <c r="S71">
        <f t="shared" si="9"/>
        <v>1339.4810495626823</v>
      </c>
      <c r="T71">
        <f t="shared" si="15"/>
        <v>6614.4126870163618</v>
      </c>
      <c r="V71" t="s">
        <v>112</v>
      </c>
      <c r="W71">
        <v>1</v>
      </c>
      <c r="X71">
        <v>6613.8244999999997</v>
      </c>
      <c r="Z71">
        <f t="shared" si="12"/>
        <v>26.67988920910247</v>
      </c>
    </row>
    <row r="72" spans="1:26">
      <c r="A72">
        <v>71</v>
      </c>
      <c r="B72">
        <v>19127</v>
      </c>
      <c r="C72">
        <f t="shared" si="13"/>
        <v>23847.443376640054</v>
      </c>
      <c r="D72">
        <f t="shared" si="14"/>
        <v>0.80205662711567649</v>
      </c>
      <c r="M72">
        <v>1460.5</v>
      </c>
      <c r="O72">
        <v>-6.6500000000000004E-2</v>
      </c>
      <c r="P72">
        <v>5.5999999999999999E-3</v>
      </c>
      <c r="Q72">
        <v>-0.89449999999999996</v>
      </c>
      <c r="S72">
        <f t="shared" si="9"/>
        <v>1460.542105263158</v>
      </c>
      <c r="T72">
        <f t="shared" si="15"/>
        <v>6625.6056694918998</v>
      </c>
    </row>
    <row r="73" spans="1:26">
      <c r="A73">
        <v>72</v>
      </c>
      <c r="B73">
        <v>17575</v>
      </c>
      <c r="C73">
        <f t="shared" si="13"/>
        <v>23862.344305142618</v>
      </c>
      <c r="D73">
        <f t="shared" si="14"/>
        <v>0.73651606796287739</v>
      </c>
      <c r="M73">
        <v>1515</v>
      </c>
      <c r="O73">
        <v>-0.10589999999999999</v>
      </c>
      <c r="P73">
        <v>1.49E-2</v>
      </c>
      <c r="Q73">
        <v>-1.2782</v>
      </c>
      <c r="S73">
        <f t="shared" si="9"/>
        <v>1515.0703493862134</v>
      </c>
      <c r="T73">
        <f t="shared" si="15"/>
        <v>6630.6389989967292</v>
      </c>
      <c r="V73" t="s">
        <v>115</v>
      </c>
      <c r="W73">
        <v>1</v>
      </c>
      <c r="X73">
        <v>6630.01</v>
      </c>
      <c r="Z73">
        <f>300000*(T73/X73-1)</f>
        <v>28.461450136352262</v>
      </c>
    </row>
    <row r="74" spans="1:26">
      <c r="A74">
        <v>73</v>
      </c>
      <c r="B74">
        <v>16048</v>
      </c>
      <c r="C74">
        <f t="shared" si="13"/>
        <v>23877.292310883935</v>
      </c>
      <c r="D74">
        <f t="shared" si="14"/>
        <v>0.6721030086265215</v>
      </c>
    </row>
    <row r="75" spans="1:26">
      <c r="A75">
        <v>74</v>
      </c>
      <c r="B75">
        <v>14097</v>
      </c>
      <c r="C75">
        <f t="shared" si="13"/>
        <v>23892.287036052938</v>
      </c>
      <c r="D75">
        <f t="shared" si="14"/>
        <v>0.59002304713349274</v>
      </c>
    </row>
    <row r="76" spans="1:26">
      <c r="A76">
        <v>75</v>
      </c>
      <c r="B76">
        <v>12214</v>
      </c>
      <c r="C76">
        <f t="shared" si="13"/>
        <v>23907.328123402342</v>
      </c>
      <c r="D76">
        <f t="shared" si="14"/>
        <v>0.51088937822558234</v>
      </c>
    </row>
    <row r="77" spans="1:26">
      <c r="A77">
        <v>76</v>
      </c>
      <c r="B77">
        <v>10611</v>
      </c>
      <c r="C77">
        <f t="shared" si="13"/>
        <v>23922.415216248653</v>
      </c>
      <c r="D77">
        <f t="shared" si="14"/>
        <v>0.44355889253158542</v>
      </c>
    </row>
    <row r="78" spans="1:26" ht="17.25">
      <c r="A78">
        <v>77</v>
      </c>
      <c r="B78">
        <v>9757</v>
      </c>
      <c r="C78">
        <f t="shared" si="13"/>
        <v>23937.547958472165</v>
      </c>
      <c r="D78">
        <f t="shared" si="14"/>
        <v>0.40760231653329076</v>
      </c>
      <c r="F78">
        <v>77.5</v>
      </c>
      <c r="G78" t="s">
        <v>57</v>
      </c>
    </row>
    <row r="79" spans="1:26" ht="17.25">
      <c r="A79">
        <v>78</v>
      </c>
      <c r="B79">
        <v>9665</v>
      </c>
      <c r="C79">
        <f t="shared" si="13"/>
        <v>23952.72599451695</v>
      </c>
      <c r="D79">
        <f t="shared" si="14"/>
        <v>0.40350313372316904</v>
      </c>
      <c r="F79">
        <v>77.5</v>
      </c>
      <c r="G79" t="s">
        <v>58</v>
      </c>
    </row>
    <row r="80" spans="1:26">
      <c r="A80">
        <v>79</v>
      </c>
      <c r="B80">
        <v>10521</v>
      </c>
      <c r="C80">
        <f t="shared" si="13"/>
        <v>23967.94896939088</v>
      </c>
      <c r="D80">
        <f t="shared" si="14"/>
        <v>0.43896121497238738</v>
      </c>
    </row>
    <row r="81" spans="1:4">
      <c r="A81">
        <v>80</v>
      </c>
      <c r="B81">
        <v>11943</v>
      </c>
      <c r="C81">
        <f t="shared" si="13"/>
        <v>23983.216528665598</v>
      </c>
      <c r="D81">
        <f t="shared" si="14"/>
        <v>0.49797323831544027</v>
      </c>
    </row>
    <row r="82" spans="1:4">
      <c r="A82">
        <v>81</v>
      </c>
      <c r="B82">
        <v>13649</v>
      </c>
      <c r="C82">
        <f t="shared" si="13"/>
        <v>23998.52831847655</v>
      </c>
      <c r="D82">
        <f t="shared" si="14"/>
        <v>0.56874320870299311</v>
      </c>
    </row>
    <row r="83" spans="1:4">
      <c r="A83">
        <v>82</v>
      </c>
      <c r="B83">
        <v>15087</v>
      </c>
      <c r="C83">
        <f t="shared" si="13"/>
        <v>24013.883985522953</v>
      </c>
      <c r="D83">
        <f t="shared" si="14"/>
        <v>0.62826155107167891</v>
      </c>
    </row>
    <row r="84" spans="1:4">
      <c r="A84">
        <v>83</v>
      </c>
      <c r="B84">
        <v>15960</v>
      </c>
      <c r="C84">
        <f t="shared" si="13"/>
        <v>24029.283177067824</v>
      </c>
      <c r="D84">
        <f t="shared" si="14"/>
        <v>0.66418960076309363</v>
      </c>
    </row>
    <row r="85" spans="1:4">
      <c r="A85">
        <v>84</v>
      </c>
      <c r="B85">
        <v>16155</v>
      </c>
      <c r="C85">
        <f t="shared" si="13"/>
        <v>24044.725540937961</v>
      </c>
      <c r="D85">
        <f t="shared" si="14"/>
        <v>0.67187292167235979</v>
      </c>
    </row>
    <row r="86" spans="1:4">
      <c r="A86">
        <v>85</v>
      </c>
      <c r="B86">
        <v>16137</v>
      </c>
      <c r="C86">
        <f t="shared" si="13"/>
        <v>24060.210725523943</v>
      </c>
      <c r="D86">
        <f t="shared" si="14"/>
        <v>0.67069238021599231</v>
      </c>
    </row>
    <row r="87" spans="1:4">
      <c r="A87">
        <v>86</v>
      </c>
      <c r="B87">
        <v>16586</v>
      </c>
      <c r="C87">
        <f t="shared" si="13"/>
        <v>24075.738379780145</v>
      </c>
      <c r="D87">
        <f t="shared" si="14"/>
        <v>0.68890929691816416</v>
      </c>
    </row>
    <row r="88" spans="1:4">
      <c r="A88">
        <v>87</v>
      </c>
      <c r="B88">
        <v>18024</v>
      </c>
      <c r="C88">
        <f t="shared" si="13"/>
        <v>24091.308153224723</v>
      </c>
      <c r="D88">
        <f t="shared" si="14"/>
        <v>0.74815364468232126</v>
      </c>
    </row>
    <row r="89" spans="1:4">
      <c r="A89">
        <v>88</v>
      </c>
      <c r="B89">
        <v>19682</v>
      </c>
      <c r="C89">
        <f t="shared" si="13"/>
        <v>24106.919695939625</v>
      </c>
      <c r="D89">
        <f t="shared" si="14"/>
        <v>0.8164460764066459</v>
      </c>
    </row>
    <row r="90" spans="1:4">
      <c r="A90">
        <v>89</v>
      </c>
      <c r="B90">
        <v>21103</v>
      </c>
      <c r="C90">
        <f t="shared" si="13"/>
        <v>24122.572658570578</v>
      </c>
      <c r="D90">
        <f t="shared" si="14"/>
        <v>0.87482377185429494</v>
      </c>
    </row>
    <row r="91" spans="1:4">
      <c r="A91">
        <v>90</v>
      </c>
      <c r="B91">
        <v>22061</v>
      </c>
      <c r="C91">
        <f t="shared" si="13"/>
        <v>24138.266692327099</v>
      </c>
      <c r="D91">
        <f t="shared" si="14"/>
        <v>0.91394300515424309</v>
      </c>
    </row>
    <row r="92" spans="1:4">
      <c r="A92">
        <v>91</v>
      </c>
      <c r="B92">
        <v>22250</v>
      </c>
      <c r="C92">
        <f t="shared" si="13"/>
        <v>24154.001448982497</v>
      </c>
      <c r="D92">
        <f t="shared" si="14"/>
        <v>0.92117242134790445</v>
      </c>
    </row>
    <row r="93" spans="1:4">
      <c r="A93">
        <v>92</v>
      </c>
      <c r="B93">
        <v>21925</v>
      </c>
      <c r="C93">
        <f t="shared" si="13"/>
        <v>24169.776580873859</v>
      </c>
      <c r="D93">
        <f t="shared" si="14"/>
        <v>0.90712464497292022</v>
      </c>
    </row>
    <row r="94" spans="1:4">
      <c r="A94">
        <v>93</v>
      </c>
      <c r="B94">
        <v>21356</v>
      </c>
      <c r="C94">
        <f t="shared" si="13"/>
        <v>24185.591740902062</v>
      </c>
      <c r="D94">
        <f t="shared" si="14"/>
        <v>0.88300506470070239</v>
      </c>
    </row>
    <row r="95" spans="1:4">
      <c r="A95">
        <v>94</v>
      </c>
      <c r="B95">
        <v>20590</v>
      </c>
      <c r="C95">
        <f t="shared" si="13"/>
        <v>24201.446582531775</v>
      </c>
      <c r="D95">
        <f t="shared" si="14"/>
        <v>0.85077559020217985</v>
      </c>
    </row>
    <row r="96" spans="1:4">
      <c r="A96">
        <v>95</v>
      </c>
      <c r="B96">
        <v>19763</v>
      </c>
      <c r="C96">
        <f t="shared" si="13"/>
        <v>24217.340759791441</v>
      </c>
      <c r="D96">
        <f t="shared" si="14"/>
        <v>0.81606813051963667</v>
      </c>
    </row>
    <row r="97" spans="1:7">
      <c r="A97">
        <v>96</v>
      </c>
      <c r="B97">
        <v>18046</v>
      </c>
      <c r="C97">
        <f t="shared" si="13"/>
        <v>24233.273927273309</v>
      </c>
      <c r="D97">
        <f t="shared" si="14"/>
        <v>0.74467857930207904</v>
      </c>
    </row>
    <row r="98" spans="1:7">
      <c r="A98">
        <v>97</v>
      </c>
      <c r="B98">
        <v>15853</v>
      </c>
      <c r="C98">
        <f t="shared" si="13"/>
        <v>24249.245740133392</v>
      </c>
      <c r="D98">
        <f t="shared" si="14"/>
        <v>0.65375229274709779</v>
      </c>
    </row>
    <row r="99" spans="1:7">
      <c r="A99">
        <v>98</v>
      </c>
      <c r="B99">
        <v>13899</v>
      </c>
      <c r="C99">
        <f t="shared" si="13"/>
        <v>24265.255854091505</v>
      </c>
      <c r="D99">
        <f t="shared" si="14"/>
        <v>0.57279429005717275</v>
      </c>
    </row>
    <row r="100" spans="1:7" ht="17.25">
      <c r="A100">
        <v>99</v>
      </c>
      <c r="B100">
        <v>12592</v>
      </c>
      <c r="C100">
        <f t="shared" si="13"/>
        <v>24281.303925431246</v>
      </c>
      <c r="D100">
        <f t="shared" si="14"/>
        <v>0.51858829487372193</v>
      </c>
      <c r="F100">
        <v>99.5</v>
      </c>
      <c r="G100" t="s">
        <v>59</v>
      </c>
    </row>
    <row r="101" spans="1:7" ht="17.25">
      <c r="A101">
        <v>100</v>
      </c>
      <c r="B101">
        <v>12470</v>
      </c>
      <c r="C101">
        <f t="shared" si="13"/>
        <v>24297.389610999999</v>
      </c>
      <c r="D101">
        <f t="shared" si="14"/>
        <v>0.51322385653949176</v>
      </c>
      <c r="F101">
        <v>99.5</v>
      </c>
      <c r="G101" t="s">
        <v>60</v>
      </c>
    </row>
    <row r="102" spans="1:7">
      <c r="A102">
        <v>101</v>
      </c>
      <c r="B102">
        <v>13501</v>
      </c>
      <c r="C102">
        <f t="shared" si="13"/>
        <v>24313.512568208935</v>
      </c>
      <c r="D102">
        <f t="shared" si="14"/>
        <v>0.55528792732536703</v>
      </c>
    </row>
    <row r="103" spans="1:7">
      <c r="A103">
        <v>102</v>
      </c>
      <c r="B103">
        <v>15047</v>
      </c>
      <c r="C103">
        <f t="shared" si="13"/>
        <v>24329.672455033007</v>
      </c>
      <c r="D103">
        <f t="shared" si="14"/>
        <v>0.61846290893600875</v>
      </c>
    </row>
    <row r="104" spans="1:7">
      <c r="A104">
        <v>103</v>
      </c>
      <c r="B104">
        <v>16444</v>
      </c>
      <c r="C104">
        <f t="shared" si="13"/>
        <v>24345.868930010965</v>
      </c>
      <c r="D104">
        <f t="shared" si="14"/>
        <v>0.67543286490504384</v>
      </c>
    </row>
    <row r="105" spans="1:7">
      <c r="A105">
        <v>104</v>
      </c>
      <c r="B105">
        <v>17057</v>
      </c>
      <c r="C105">
        <f t="shared" si="13"/>
        <v>24362.101652245339</v>
      </c>
      <c r="D105">
        <f t="shared" si="14"/>
        <v>0.70014484971282998</v>
      </c>
    </row>
    <row r="106" spans="1:7">
      <c r="A106">
        <v>105</v>
      </c>
      <c r="B106">
        <v>16978</v>
      </c>
      <c r="C106">
        <f t="shared" si="13"/>
        <v>24378.370281402444</v>
      </c>
      <c r="D106">
        <f t="shared" si="14"/>
        <v>0.69643703840826587</v>
      </c>
    </row>
    <row r="107" spans="1:7">
      <c r="A107">
        <v>106</v>
      </c>
      <c r="B107">
        <v>16459</v>
      </c>
      <c r="C107">
        <f t="shared" si="13"/>
        <v>24394.674477712382</v>
      </c>
      <c r="D107">
        <f t="shared" si="14"/>
        <v>0.67469643897225917</v>
      </c>
    </row>
    <row r="108" spans="1:7">
      <c r="A108">
        <v>107</v>
      </c>
      <c r="B108">
        <v>16643</v>
      </c>
      <c r="C108">
        <f t="shared" si="13"/>
        <v>24411.013901969047</v>
      </c>
      <c r="D108">
        <f t="shared" si="14"/>
        <v>0.68178241456236843</v>
      </c>
    </row>
    <row r="109" spans="1:7">
      <c r="A109">
        <v>108</v>
      </c>
      <c r="B109">
        <v>17366</v>
      </c>
      <c r="C109">
        <f t="shared" si="13"/>
        <v>24427.388215530114</v>
      </c>
      <c r="D109">
        <f t="shared" si="14"/>
        <v>0.71092332290192528</v>
      </c>
    </row>
    <row r="110" spans="1:7">
      <c r="A110">
        <v>109</v>
      </c>
      <c r="B110">
        <v>18913</v>
      </c>
      <c r="C110">
        <f t="shared" si="13"/>
        <v>24443.797080317046</v>
      </c>
      <c r="D110">
        <f t="shared" si="14"/>
        <v>0.7737341272248317</v>
      </c>
    </row>
    <row r="111" spans="1:7">
      <c r="A111">
        <v>110</v>
      </c>
      <c r="B111">
        <v>20719</v>
      </c>
      <c r="C111">
        <f t="shared" si="13"/>
        <v>24460.240158815101</v>
      </c>
      <c r="D111">
        <f t="shared" si="14"/>
        <v>0.84704810195958713</v>
      </c>
    </row>
    <row r="112" spans="1:7">
      <c r="A112">
        <v>111</v>
      </c>
      <c r="B112">
        <v>22100</v>
      </c>
      <c r="C112">
        <f t="shared" si="13"/>
        <v>24476.717114073304</v>
      </c>
      <c r="D112">
        <f t="shared" si="14"/>
        <v>0.90289886086452453</v>
      </c>
    </row>
    <row r="113" spans="1:4">
      <c r="A113">
        <v>112</v>
      </c>
      <c r="B113">
        <v>23097</v>
      </c>
      <c r="C113">
        <f t="shared" si="13"/>
        <v>24493.227609704489</v>
      </c>
      <c r="D113">
        <f t="shared" si="14"/>
        <v>0.94299536051543942</v>
      </c>
    </row>
    <row r="114" spans="1:4">
      <c r="A114">
        <v>113</v>
      </c>
      <c r="B114">
        <v>23311</v>
      </c>
      <c r="C114">
        <f t="shared" si="13"/>
        <v>24509.771309885258</v>
      </c>
      <c r="D114">
        <f t="shared" si="14"/>
        <v>0.95109006547924124</v>
      </c>
    </row>
    <row r="115" spans="1:4">
      <c r="A115">
        <v>114</v>
      </c>
      <c r="B115">
        <v>23281</v>
      </c>
      <c r="C115">
        <f t="shared" si="13"/>
        <v>24526.347879356017</v>
      </c>
      <c r="D115">
        <f t="shared" si="14"/>
        <v>0.94922407993714242</v>
      </c>
    </row>
    <row r="116" spans="1:4">
      <c r="A116">
        <v>115</v>
      </c>
      <c r="B116">
        <v>23439</v>
      </c>
      <c r="C116">
        <f t="shared" si="13"/>
        <v>24542.956983420943</v>
      </c>
      <c r="D116">
        <f t="shared" si="14"/>
        <v>0.95501939785957013</v>
      </c>
    </row>
    <row r="117" spans="1:4">
      <c r="A117">
        <v>116</v>
      </c>
      <c r="B117">
        <v>23744</v>
      </c>
      <c r="C117">
        <f t="shared" si="13"/>
        <v>24559.598287948007</v>
      </c>
      <c r="D117">
        <f t="shared" si="14"/>
        <v>0.96679105747636596</v>
      </c>
    </row>
    <row r="118" spans="1:4">
      <c r="A118">
        <v>117</v>
      </c>
      <c r="B118">
        <v>23865</v>
      </c>
      <c r="C118">
        <f t="shared" si="13"/>
        <v>24576.271459368971</v>
      </c>
      <c r="D118">
        <f t="shared" si="14"/>
        <v>0.97105860990570159</v>
      </c>
    </row>
    <row r="119" spans="1:4">
      <c r="A119">
        <v>118</v>
      </c>
      <c r="B119">
        <v>23439</v>
      </c>
      <c r="C119">
        <f t="shared" si="13"/>
        <v>24592.97616467937</v>
      </c>
      <c r="D119">
        <f t="shared" si="14"/>
        <v>0.9530770022728392</v>
      </c>
    </row>
    <row r="120" spans="1:4">
      <c r="A120">
        <v>119</v>
      </c>
      <c r="B120">
        <v>22993</v>
      </c>
      <c r="C120">
        <f t="shared" si="13"/>
        <v>24609.712071438542</v>
      </c>
      <c r="D120">
        <f t="shared" si="14"/>
        <v>0.93430593309074672</v>
      </c>
    </row>
    <row r="121" spans="1:4">
      <c r="A121">
        <v>120</v>
      </c>
      <c r="B121">
        <v>22107</v>
      </c>
      <c r="C121">
        <f t="shared" si="13"/>
        <v>24626.478847769598</v>
      </c>
      <c r="D121">
        <f t="shared" si="14"/>
        <v>0.89769228222418873</v>
      </c>
    </row>
    <row r="122" spans="1:4">
      <c r="A122">
        <v>121</v>
      </c>
      <c r="B122">
        <v>20886</v>
      </c>
      <c r="C122">
        <f t="shared" si="13"/>
        <v>24643.276162359445</v>
      </c>
      <c r="D122">
        <f t="shared" si="14"/>
        <v>0.84753341489154876</v>
      </c>
    </row>
    <row r="123" spans="1:4">
      <c r="A123">
        <v>122</v>
      </c>
      <c r="B123">
        <v>19598</v>
      </c>
      <c r="C123">
        <f t="shared" si="13"/>
        <v>24660.103684458776</v>
      </c>
      <c r="D123">
        <f t="shared" si="14"/>
        <v>0.79472496347819488</v>
      </c>
    </row>
    <row r="124" spans="1:4">
      <c r="A124">
        <v>123</v>
      </c>
      <c r="B124">
        <v>18623</v>
      </c>
      <c r="C124">
        <f t="shared" si="13"/>
        <v>24676.961083882059</v>
      </c>
      <c r="D124">
        <f t="shared" si="14"/>
        <v>0.75467153093513406</v>
      </c>
    </row>
    <row r="125" spans="1:4">
      <c r="A125">
        <v>124</v>
      </c>
      <c r="B125">
        <v>18197</v>
      </c>
      <c r="C125">
        <f t="shared" si="13"/>
        <v>24693.848031007565</v>
      </c>
      <c r="D125">
        <f t="shared" si="14"/>
        <v>0.73690418670878655</v>
      </c>
    </row>
    <row r="126" spans="1:4">
      <c r="A126">
        <v>125</v>
      </c>
      <c r="B126">
        <v>18700</v>
      </c>
      <c r="C126">
        <f t="shared" si="13"/>
        <v>24710.764196777342</v>
      </c>
      <c r="D126">
        <f t="shared" si="14"/>
        <v>0.75675522825145014</v>
      </c>
    </row>
    <row r="127" spans="1:4">
      <c r="A127">
        <v>126</v>
      </c>
      <c r="B127">
        <v>19478</v>
      </c>
      <c r="C127">
        <f t="shared" si="13"/>
        <v>24727.709252697226</v>
      </c>
      <c r="D127">
        <f t="shared" si="14"/>
        <v>0.78769932956387367</v>
      </c>
    </row>
    <row r="128" spans="1:4">
      <c r="A128">
        <v>127</v>
      </c>
      <c r="B128">
        <v>19954</v>
      </c>
      <c r="C128">
        <f t="shared" si="13"/>
        <v>24744.682870836841</v>
      </c>
      <c r="D128">
        <f t="shared" si="14"/>
        <v>0.80639546298316234</v>
      </c>
    </row>
    <row r="129" spans="1:4">
      <c r="A129">
        <v>128</v>
      </c>
      <c r="B129">
        <v>20313</v>
      </c>
      <c r="C129">
        <f t="shared" si="13"/>
        <v>24761.684723829596</v>
      </c>
      <c r="D129">
        <f t="shared" si="14"/>
        <v>0.82033998197431335</v>
      </c>
    </row>
    <row r="130" spans="1:4">
      <c r="A130">
        <v>129</v>
      </c>
      <c r="B130">
        <v>20660</v>
      </c>
      <c r="C130">
        <f t="shared" ref="C130:C193" si="16" xml:space="preserve"> 0.00000002349111*A130*A130*A130*A130 - 0.0000664476*A130*A130*A130 + 0.03716061*A130*A130 + 10.57172*A130 + 22932.71</f>
        <v>24778.714484872686</v>
      </c>
      <c r="D130">
        <f t="shared" ref="D130:D193" si="17">B130/C130</f>
        <v>0.83378013869980439</v>
      </c>
    </row>
    <row r="131" spans="1:4">
      <c r="A131">
        <v>130</v>
      </c>
      <c r="B131">
        <v>21250</v>
      </c>
      <c r="C131">
        <f t="shared" si="16"/>
        <v>24795.771827727098</v>
      </c>
      <c r="D131">
        <f t="shared" si="17"/>
        <v>0.85700094950211836</v>
      </c>
    </row>
    <row r="132" spans="1:4">
      <c r="A132">
        <v>131</v>
      </c>
      <c r="B132">
        <v>22145</v>
      </c>
      <c r="C132">
        <f t="shared" si="16"/>
        <v>24812.856426717601</v>
      </c>
      <c r="D132">
        <f t="shared" si="17"/>
        <v>0.89248088245717061</v>
      </c>
    </row>
    <row r="133" spans="1:4">
      <c r="A133">
        <v>132</v>
      </c>
      <c r="B133">
        <v>22508</v>
      </c>
      <c r="C133">
        <f t="shared" si="16"/>
        <v>24829.967956732751</v>
      </c>
      <c r="D133">
        <f t="shared" si="17"/>
        <v>0.90648526164919441</v>
      </c>
    </row>
    <row r="134" spans="1:4">
      <c r="A134">
        <v>133</v>
      </c>
      <c r="B134">
        <v>22439</v>
      </c>
      <c r="C134">
        <f t="shared" si="16"/>
        <v>24847.106093224887</v>
      </c>
      <c r="D134">
        <f t="shared" si="17"/>
        <v>0.9030830357390589</v>
      </c>
    </row>
    <row r="135" spans="1:4">
      <c r="A135">
        <v>134</v>
      </c>
      <c r="B135">
        <v>22374</v>
      </c>
      <c r="C135">
        <f t="shared" si="16"/>
        <v>24864.270512210147</v>
      </c>
      <c r="D135">
        <f t="shared" si="17"/>
        <v>0.89984542233051856</v>
      </c>
    </row>
    <row r="136" spans="1:4">
      <c r="A136">
        <v>135</v>
      </c>
      <c r="B136">
        <v>22191</v>
      </c>
      <c r="C136">
        <f t="shared" si="16"/>
        <v>24881.460890268441</v>
      </c>
      <c r="D136">
        <f t="shared" si="17"/>
        <v>0.89186885359610357</v>
      </c>
    </row>
    <row r="137" spans="1:4">
      <c r="A137">
        <v>136</v>
      </c>
      <c r="B137">
        <v>22344</v>
      </c>
      <c r="C137">
        <f t="shared" si="16"/>
        <v>24898.676904543478</v>
      </c>
      <c r="D137">
        <f t="shared" si="17"/>
        <v>0.89739708200810853</v>
      </c>
    </row>
    <row r="138" spans="1:4">
      <c r="A138">
        <v>137</v>
      </c>
      <c r="B138">
        <v>22543</v>
      </c>
      <c r="C138">
        <f t="shared" si="16"/>
        <v>24915.918232742741</v>
      </c>
      <c r="D138">
        <f t="shared" si="17"/>
        <v>0.9047629627542918</v>
      </c>
    </row>
    <row r="139" spans="1:4">
      <c r="A139">
        <v>138</v>
      </c>
      <c r="B139">
        <v>23068</v>
      </c>
      <c r="C139">
        <f t="shared" si="16"/>
        <v>24933.184553137507</v>
      </c>
      <c r="D139">
        <f t="shared" si="17"/>
        <v>0.92519268651132658</v>
      </c>
    </row>
    <row r="140" spans="1:4">
      <c r="A140">
        <v>139</v>
      </c>
      <c r="B140">
        <v>23154</v>
      </c>
      <c r="C140">
        <f t="shared" si="16"/>
        <v>24950.475544562843</v>
      </c>
      <c r="D140">
        <f t="shared" si="17"/>
        <v>0.92799834450633034</v>
      </c>
    </row>
    <row r="141" spans="1:4">
      <c r="A141">
        <v>140</v>
      </c>
      <c r="B141">
        <v>23144</v>
      </c>
      <c r="C141">
        <f t="shared" si="16"/>
        <v>24967.790886417599</v>
      </c>
      <c r="D141">
        <f t="shared" si="17"/>
        <v>0.92695425499539352</v>
      </c>
    </row>
    <row r="142" spans="1:4">
      <c r="A142">
        <v>141</v>
      </c>
      <c r="B142">
        <v>23139</v>
      </c>
      <c r="C142">
        <f t="shared" si="16"/>
        <v>24985.130258664409</v>
      </c>
      <c r="D142">
        <f t="shared" si="17"/>
        <v>0.92611084114623721</v>
      </c>
    </row>
    <row r="143" spans="1:4">
      <c r="A143">
        <v>142</v>
      </c>
      <c r="B143">
        <v>23154</v>
      </c>
      <c r="C143">
        <f t="shared" si="16"/>
        <v>25002.493341829693</v>
      </c>
      <c r="D143">
        <f t="shared" si="17"/>
        <v>0.92606763987265517</v>
      </c>
    </row>
    <row r="144" spans="1:4">
      <c r="A144">
        <v>143</v>
      </c>
      <c r="B144">
        <v>23100</v>
      </c>
      <c r="C144">
        <f t="shared" si="16"/>
        <v>25019.879817003668</v>
      </c>
      <c r="D144">
        <f t="shared" si="17"/>
        <v>0.92326582577351524</v>
      </c>
    </row>
    <row r="145" spans="1:7">
      <c r="A145">
        <v>144</v>
      </c>
      <c r="B145">
        <v>23022</v>
      </c>
      <c r="C145">
        <f t="shared" si="16"/>
        <v>25037.289365840323</v>
      </c>
      <c r="D145">
        <f t="shared" si="17"/>
        <v>0.91950848446917388</v>
      </c>
    </row>
    <row r="146" spans="1:7">
      <c r="A146">
        <v>145</v>
      </c>
      <c r="B146">
        <v>22788</v>
      </c>
      <c r="C146">
        <f t="shared" si="16"/>
        <v>25054.721670557443</v>
      </c>
      <c r="D146">
        <f t="shared" si="17"/>
        <v>0.90952916179383725</v>
      </c>
    </row>
    <row r="147" spans="1:7">
      <c r="A147">
        <v>146</v>
      </c>
      <c r="B147">
        <v>22893</v>
      </c>
      <c r="C147">
        <f t="shared" si="16"/>
        <v>25072.176413936599</v>
      </c>
      <c r="D147">
        <f t="shared" si="17"/>
        <v>0.91308387521055878</v>
      </c>
    </row>
    <row r="148" spans="1:7">
      <c r="A148">
        <v>147</v>
      </c>
      <c r="B148">
        <v>22914</v>
      </c>
      <c r="C148">
        <f t="shared" si="16"/>
        <v>25089.653279323145</v>
      </c>
      <c r="D148">
        <f t="shared" si="17"/>
        <v>0.91328484076278005</v>
      </c>
    </row>
    <row r="149" spans="1:7">
      <c r="A149">
        <v>148</v>
      </c>
      <c r="B149">
        <v>22904</v>
      </c>
      <c r="C149">
        <f t="shared" si="16"/>
        <v>25107.15195062623</v>
      </c>
      <c r="D149">
        <f t="shared" si="17"/>
        <v>0.91225002521358145</v>
      </c>
    </row>
    <row r="150" spans="1:7">
      <c r="A150">
        <v>149</v>
      </c>
      <c r="B150">
        <v>23050</v>
      </c>
      <c r="C150">
        <f t="shared" si="16"/>
        <v>25124.672112318774</v>
      </c>
      <c r="D150">
        <f t="shared" si="17"/>
        <v>0.91742490795326437</v>
      </c>
    </row>
    <row r="151" spans="1:7">
      <c r="A151">
        <v>150</v>
      </c>
      <c r="B151">
        <v>23452</v>
      </c>
      <c r="C151">
        <f t="shared" si="16"/>
        <v>25142.213449437499</v>
      </c>
      <c r="D151">
        <f t="shared" si="17"/>
        <v>0.93277388035716824</v>
      </c>
    </row>
    <row r="152" spans="1:7">
      <c r="A152">
        <v>151</v>
      </c>
      <c r="B152">
        <v>23827</v>
      </c>
      <c r="C152">
        <f t="shared" si="16"/>
        <v>25159.775647582905</v>
      </c>
      <c r="D152">
        <f t="shared" si="17"/>
        <v>0.94702752257208844</v>
      </c>
    </row>
    <row r="153" spans="1:7">
      <c r="A153">
        <v>152</v>
      </c>
      <c r="B153">
        <v>23509</v>
      </c>
      <c r="C153">
        <f t="shared" si="16"/>
        <v>25177.358392919283</v>
      </c>
      <c r="D153">
        <f t="shared" si="17"/>
        <v>0.93373576501224687</v>
      </c>
    </row>
    <row r="154" spans="1:7">
      <c r="A154">
        <v>153</v>
      </c>
      <c r="B154">
        <v>22686</v>
      </c>
      <c r="C154">
        <f t="shared" si="16"/>
        <v>25194.961372174712</v>
      </c>
      <c r="D154">
        <f t="shared" si="17"/>
        <v>0.90041812983505476</v>
      </c>
    </row>
    <row r="155" spans="1:7">
      <c r="A155">
        <v>154</v>
      </c>
      <c r="B155">
        <v>21232</v>
      </c>
      <c r="C155">
        <f t="shared" si="16"/>
        <v>25212.584272641048</v>
      </c>
      <c r="D155">
        <f t="shared" si="17"/>
        <v>0.84211914853327818</v>
      </c>
    </row>
    <row r="156" spans="1:7">
      <c r="A156">
        <v>155</v>
      </c>
      <c r="B156">
        <v>20107</v>
      </c>
      <c r="C156">
        <f t="shared" si="16"/>
        <v>25230.226782173944</v>
      </c>
      <c r="D156">
        <f t="shared" si="17"/>
        <v>0.79694091430863845</v>
      </c>
    </row>
    <row r="157" spans="1:7" ht="17.25">
      <c r="A157">
        <v>156</v>
      </c>
      <c r="B157">
        <v>19838</v>
      </c>
      <c r="C157">
        <f t="shared" si="16"/>
        <v>25247.888589192833</v>
      </c>
      <c r="D157">
        <f t="shared" si="17"/>
        <v>0.78572906918210594</v>
      </c>
      <c r="F157">
        <v>156</v>
      </c>
      <c r="G157" t="s">
        <v>61</v>
      </c>
    </row>
    <row r="158" spans="1:7" ht="17.25">
      <c r="A158">
        <v>157</v>
      </c>
      <c r="B158">
        <v>20370</v>
      </c>
      <c r="C158">
        <f t="shared" si="16"/>
        <v>25265.569382680944</v>
      </c>
      <c r="D158">
        <f t="shared" si="17"/>
        <v>0.8062355410032136</v>
      </c>
      <c r="F158">
        <v>156</v>
      </c>
      <c r="G158" t="s">
        <v>62</v>
      </c>
    </row>
    <row r="159" spans="1:7">
      <c r="A159">
        <v>158</v>
      </c>
      <c r="B159">
        <v>21499</v>
      </c>
      <c r="C159">
        <f t="shared" si="16"/>
        <v>25283.268852185276</v>
      </c>
      <c r="D159">
        <f t="shared" si="17"/>
        <v>0.85032517455280732</v>
      </c>
    </row>
    <row r="160" spans="1:7">
      <c r="A160">
        <v>159</v>
      </c>
      <c r="B160">
        <v>22501</v>
      </c>
      <c r="C160">
        <f t="shared" si="16"/>
        <v>25300.986687816636</v>
      </c>
      <c r="D160">
        <f t="shared" si="17"/>
        <v>0.88933290537776011</v>
      </c>
    </row>
    <row r="161" spans="1:4">
      <c r="A161">
        <v>160</v>
      </c>
      <c r="B161">
        <v>23583</v>
      </c>
      <c r="C161">
        <f t="shared" si="16"/>
        <v>25318.7225802496</v>
      </c>
      <c r="D161">
        <f t="shared" si="17"/>
        <v>0.93144509661780539</v>
      </c>
    </row>
    <row r="162" spans="1:4">
      <c r="A162">
        <v>161</v>
      </c>
      <c r="B162">
        <v>24295</v>
      </c>
      <c r="C162">
        <f t="shared" si="16"/>
        <v>25336.476220722536</v>
      </c>
      <c r="D162">
        <f t="shared" si="17"/>
        <v>0.95889419619170568</v>
      </c>
    </row>
    <row r="163" spans="1:4">
      <c r="A163">
        <v>162</v>
      </c>
      <c r="B163">
        <v>24801</v>
      </c>
      <c r="C163">
        <f t="shared" si="16"/>
        <v>25354.247301037605</v>
      </c>
      <c r="D163">
        <f t="shared" si="17"/>
        <v>0.97817930485299942</v>
      </c>
    </row>
    <row r="164" spans="1:4">
      <c r="A164">
        <v>163</v>
      </c>
      <c r="B164">
        <v>25026</v>
      </c>
      <c r="C164">
        <f t="shared" si="16"/>
        <v>25372.035513560742</v>
      </c>
      <c r="D164">
        <f t="shared" si="17"/>
        <v>0.98636153912933811</v>
      </c>
    </row>
    <row r="165" spans="1:4">
      <c r="A165">
        <v>164</v>
      </c>
      <c r="B165">
        <v>25422</v>
      </c>
      <c r="C165">
        <f t="shared" si="16"/>
        <v>25389.840551221685</v>
      </c>
      <c r="D165">
        <f t="shared" si="17"/>
        <v>1.0012666266538159</v>
      </c>
    </row>
    <row r="166" spans="1:4">
      <c r="A166">
        <v>165</v>
      </c>
      <c r="B166">
        <v>25697</v>
      </c>
      <c r="C166">
        <f t="shared" si="16"/>
        <v>25407.662107513941</v>
      </c>
      <c r="D166">
        <f t="shared" si="17"/>
        <v>1.011387820385115</v>
      </c>
    </row>
    <row r="167" spans="1:4">
      <c r="A167">
        <v>166</v>
      </c>
      <c r="B167">
        <v>25708</v>
      </c>
      <c r="C167">
        <f t="shared" si="16"/>
        <v>25425.499876494818</v>
      </c>
      <c r="D167">
        <f t="shared" si="17"/>
        <v>1.0111108975193186</v>
      </c>
    </row>
    <row r="168" spans="1:4">
      <c r="A168">
        <v>167</v>
      </c>
      <c r="B168">
        <v>25031</v>
      </c>
      <c r="C168">
        <f t="shared" si="16"/>
        <v>25443.353552785404</v>
      </c>
      <c r="D168">
        <f t="shared" si="17"/>
        <v>0.98379327033561337</v>
      </c>
    </row>
    <row r="169" spans="1:4">
      <c r="A169">
        <v>168</v>
      </c>
      <c r="B169">
        <v>24271</v>
      </c>
      <c r="C169">
        <f t="shared" si="16"/>
        <v>25461.222831570572</v>
      </c>
      <c r="D169">
        <f t="shared" si="17"/>
        <v>0.95325350870050285</v>
      </c>
    </row>
    <row r="170" spans="1:4">
      <c r="A170">
        <v>169</v>
      </c>
      <c r="B170">
        <v>23738</v>
      </c>
      <c r="C170">
        <f t="shared" si="16"/>
        <v>25479.107408598989</v>
      </c>
      <c r="D170">
        <f t="shared" si="17"/>
        <v>0.93166529028362355</v>
      </c>
    </row>
    <row r="171" spans="1:4">
      <c r="A171">
        <v>170</v>
      </c>
      <c r="B171">
        <v>23918</v>
      </c>
      <c r="C171">
        <f t="shared" si="16"/>
        <v>25497.006980183098</v>
      </c>
      <c r="D171">
        <f t="shared" si="17"/>
        <v>0.93807088881411294</v>
      </c>
    </row>
    <row r="172" spans="1:4">
      <c r="A172">
        <v>171</v>
      </c>
      <c r="B172">
        <v>24612</v>
      </c>
      <c r="C172">
        <f t="shared" si="16"/>
        <v>25514.92124319914</v>
      </c>
      <c r="D172">
        <f t="shared" si="17"/>
        <v>0.96461203095268</v>
      </c>
    </row>
    <row r="173" spans="1:4">
      <c r="A173">
        <v>172</v>
      </c>
      <c r="B173">
        <v>25380</v>
      </c>
      <c r="C173">
        <f t="shared" si="16"/>
        <v>25532.849895087129</v>
      </c>
      <c r="D173">
        <f t="shared" si="17"/>
        <v>0.99401359833644976</v>
      </c>
    </row>
    <row r="174" spans="1:4">
      <c r="A174">
        <v>173</v>
      </c>
      <c r="B174">
        <v>25994</v>
      </c>
      <c r="C174">
        <f t="shared" si="16"/>
        <v>25550.792633850884</v>
      </c>
      <c r="D174">
        <f t="shared" si="17"/>
        <v>1.0173461298246353</v>
      </c>
    </row>
    <row r="175" spans="1:4">
      <c r="A175">
        <v>174</v>
      </c>
      <c r="B175">
        <v>26302</v>
      </c>
      <c r="C175">
        <f t="shared" si="16"/>
        <v>25568.749158057995</v>
      </c>
      <c r="D175">
        <f t="shared" si="17"/>
        <v>1.028677618815425</v>
      </c>
    </row>
    <row r="176" spans="1:4">
      <c r="A176">
        <v>175</v>
      </c>
      <c r="B176">
        <v>26443</v>
      </c>
      <c r="C176">
        <f t="shared" si="16"/>
        <v>25586.719166839845</v>
      </c>
      <c r="D176">
        <f t="shared" si="17"/>
        <v>1.0334658315345833</v>
      </c>
    </row>
    <row r="177" spans="1:4">
      <c r="A177">
        <v>176</v>
      </c>
      <c r="B177">
        <v>26138</v>
      </c>
      <c r="C177">
        <f t="shared" si="16"/>
        <v>25604.702359891598</v>
      </c>
      <c r="D177">
        <f t="shared" si="17"/>
        <v>1.0208281132353167</v>
      </c>
    </row>
    <row r="178" spans="1:4">
      <c r="A178">
        <v>177</v>
      </c>
      <c r="B178">
        <v>25450</v>
      </c>
      <c r="C178">
        <f t="shared" si="16"/>
        <v>25622.698437472216</v>
      </c>
      <c r="D178">
        <f t="shared" si="17"/>
        <v>0.99325994340940882</v>
      </c>
    </row>
    <row r="179" spans="1:4">
      <c r="A179">
        <v>178</v>
      </c>
      <c r="B179">
        <v>24576</v>
      </c>
      <c r="C179">
        <f t="shared" si="16"/>
        <v>25640.707100404441</v>
      </c>
      <c r="D179">
        <f t="shared" si="17"/>
        <v>0.95847590722692488</v>
      </c>
    </row>
    <row r="180" spans="1:4">
      <c r="A180">
        <v>179</v>
      </c>
      <c r="B180">
        <v>23886</v>
      </c>
      <c r="C180">
        <f t="shared" si="16"/>
        <v>25658.728050074795</v>
      </c>
      <c r="D180">
        <f t="shared" si="17"/>
        <v>0.9309113044646955</v>
      </c>
    </row>
    <row r="181" spans="1:4">
      <c r="A181">
        <v>180</v>
      </c>
      <c r="B181">
        <v>23758</v>
      </c>
      <c r="C181">
        <f t="shared" si="16"/>
        <v>25676.760988433598</v>
      </c>
      <c r="D181">
        <f t="shared" si="17"/>
        <v>0.9252724676099946</v>
      </c>
    </row>
    <row r="182" spans="1:4">
      <c r="A182">
        <v>181</v>
      </c>
      <c r="B182">
        <v>24184</v>
      </c>
      <c r="C182">
        <f t="shared" si="16"/>
        <v>25694.805617994953</v>
      </c>
      <c r="D182">
        <f t="shared" si="17"/>
        <v>0.94120190514549429</v>
      </c>
    </row>
    <row r="183" spans="1:4">
      <c r="A183">
        <v>182</v>
      </c>
      <c r="B183">
        <v>24990</v>
      </c>
      <c r="C183">
        <f t="shared" si="16"/>
        <v>25712.861641836746</v>
      </c>
      <c r="D183">
        <f t="shared" si="17"/>
        <v>0.9718871570225931</v>
      </c>
    </row>
    <row r="184" spans="1:4">
      <c r="A184">
        <v>183</v>
      </c>
      <c r="B184">
        <v>25565</v>
      </c>
      <c r="C184">
        <f t="shared" si="16"/>
        <v>25730.928763600652</v>
      </c>
      <c r="D184">
        <f t="shared" si="17"/>
        <v>0.99355138848173341</v>
      </c>
    </row>
    <row r="185" spans="1:4">
      <c r="A185">
        <v>184</v>
      </c>
      <c r="B185">
        <v>25404</v>
      </c>
      <c r="C185">
        <f t="shared" si="16"/>
        <v>25749.006687492136</v>
      </c>
      <c r="D185">
        <f t="shared" si="17"/>
        <v>0.98660116517583074</v>
      </c>
    </row>
    <row r="186" spans="1:4">
      <c r="A186">
        <v>185</v>
      </c>
      <c r="B186">
        <v>25056</v>
      </c>
      <c r="C186">
        <f t="shared" si="16"/>
        <v>25767.095118280442</v>
      </c>
      <c r="D186">
        <f t="shared" si="17"/>
        <v>0.9724029769356517</v>
      </c>
    </row>
    <row r="187" spans="1:4">
      <c r="A187">
        <v>186</v>
      </c>
      <c r="B187">
        <v>24703</v>
      </c>
      <c r="C187">
        <f t="shared" si="16"/>
        <v>25785.193761298608</v>
      </c>
      <c r="D187">
        <f t="shared" si="17"/>
        <v>0.9580304196541316</v>
      </c>
    </row>
    <row r="188" spans="1:4">
      <c r="A188">
        <v>187</v>
      </c>
      <c r="B188">
        <v>24313</v>
      </c>
      <c r="C188">
        <f t="shared" si="16"/>
        <v>25803.302322443455</v>
      </c>
      <c r="D188">
        <f t="shared" si="17"/>
        <v>0.94224373671941963</v>
      </c>
    </row>
    <row r="189" spans="1:4">
      <c r="A189">
        <v>188</v>
      </c>
      <c r="B189">
        <v>24273</v>
      </c>
      <c r="C189">
        <f t="shared" si="16"/>
        <v>25821.420508175594</v>
      </c>
      <c r="D189">
        <f t="shared" si="17"/>
        <v>0.9400334885648397</v>
      </c>
    </row>
    <row r="190" spans="1:4">
      <c r="A190">
        <v>189</v>
      </c>
      <c r="B190">
        <v>24414</v>
      </c>
      <c r="C190">
        <f t="shared" si="16"/>
        <v>25839.548025519412</v>
      </c>
      <c r="D190">
        <f t="shared" si="17"/>
        <v>0.94483076777846398</v>
      </c>
    </row>
    <row r="191" spans="1:4">
      <c r="A191">
        <v>190</v>
      </c>
      <c r="B191">
        <v>24634</v>
      </c>
      <c r="C191">
        <f t="shared" si="16"/>
        <v>25857.684582063099</v>
      </c>
      <c r="D191">
        <f t="shared" si="17"/>
        <v>0.95267617337586596</v>
      </c>
    </row>
    <row r="192" spans="1:4">
      <c r="A192">
        <v>191</v>
      </c>
      <c r="B192">
        <v>24554</v>
      </c>
      <c r="C192">
        <f t="shared" si="16"/>
        <v>25875.829885958621</v>
      </c>
      <c r="D192">
        <f t="shared" si="17"/>
        <v>0.94891642541382204</v>
      </c>
    </row>
    <row r="193" spans="1:7">
      <c r="A193">
        <v>192</v>
      </c>
      <c r="B193">
        <v>24697</v>
      </c>
      <c r="C193">
        <f t="shared" si="16"/>
        <v>25893.983645921729</v>
      </c>
      <c r="D193">
        <f t="shared" si="17"/>
        <v>0.95377367722597395</v>
      </c>
    </row>
    <row r="194" spans="1:7">
      <c r="A194">
        <v>193</v>
      </c>
      <c r="B194">
        <v>24829</v>
      </c>
      <c r="C194">
        <f t="shared" ref="C194:C257" si="18" xml:space="preserve"> 0.00000002349111*A194*A194*A194*A194 - 0.0000664476*A194*A194*A194 + 0.03716061*A194*A194 + 10.57172*A194 + 22932.71</f>
        <v>25912.145571231969</v>
      </c>
      <c r="D194">
        <f t="shared" ref="D194:D257" si="19">B194/C194</f>
        <v>0.95819930973085865</v>
      </c>
    </row>
    <row r="195" spans="1:7">
      <c r="A195">
        <v>194</v>
      </c>
      <c r="B195">
        <v>24666</v>
      </c>
      <c r="C195">
        <f t="shared" si="18"/>
        <v>25930.315371732671</v>
      </c>
      <c r="D195">
        <f t="shared" si="19"/>
        <v>0.95124180506069222</v>
      </c>
    </row>
    <row r="196" spans="1:7">
      <c r="A196">
        <v>195</v>
      </c>
      <c r="B196">
        <v>23563</v>
      </c>
      <c r="C196">
        <f t="shared" si="18"/>
        <v>25948.492757830943</v>
      </c>
      <c r="D196">
        <f t="shared" si="19"/>
        <v>0.90806815717221068</v>
      </c>
    </row>
    <row r="197" spans="1:7">
      <c r="A197">
        <v>196</v>
      </c>
      <c r="B197">
        <v>21651</v>
      </c>
      <c r="C197">
        <f t="shared" si="18"/>
        <v>25966.67744049769</v>
      </c>
      <c r="D197">
        <f t="shared" si="19"/>
        <v>0.83379939730883901</v>
      </c>
    </row>
    <row r="198" spans="1:7">
      <c r="A198">
        <v>197</v>
      </c>
      <c r="B198">
        <v>19741</v>
      </c>
      <c r="C198">
        <f t="shared" si="18"/>
        <v>25984.869131267602</v>
      </c>
      <c r="D198">
        <f t="shared" si="19"/>
        <v>0.7597113497195046</v>
      </c>
    </row>
    <row r="199" spans="1:7" ht="17.25">
      <c r="A199">
        <v>198</v>
      </c>
      <c r="B199">
        <v>18631</v>
      </c>
      <c r="C199">
        <f t="shared" si="18"/>
        <v>26003.06754223915</v>
      </c>
      <c r="D199">
        <f t="shared" si="19"/>
        <v>0.71649238958965011</v>
      </c>
      <c r="F199">
        <v>198</v>
      </c>
      <c r="G199" t="s">
        <v>126</v>
      </c>
    </row>
    <row r="200" spans="1:7" ht="17.25">
      <c r="A200">
        <v>199</v>
      </c>
      <c r="B200">
        <v>18774</v>
      </c>
      <c r="C200">
        <f t="shared" si="18"/>
        <v>26021.272386074601</v>
      </c>
      <c r="D200">
        <f t="shared" si="19"/>
        <v>0.72148662530610874</v>
      </c>
      <c r="F200">
        <v>198</v>
      </c>
      <c r="G200" t="s">
        <v>127</v>
      </c>
    </row>
    <row r="201" spans="1:7">
      <c r="A201">
        <v>200</v>
      </c>
      <c r="B201">
        <v>19740</v>
      </c>
      <c r="C201">
        <f t="shared" si="18"/>
        <v>26039.483376</v>
      </c>
      <c r="D201">
        <f t="shared" si="19"/>
        <v>0.75807955614794986</v>
      </c>
    </row>
    <row r="202" spans="1:7">
      <c r="A202">
        <v>201</v>
      </c>
      <c r="B202">
        <v>20777</v>
      </c>
      <c r="C202">
        <f t="shared" si="18"/>
        <v>26057.70022580518</v>
      </c>
      <c r="D202">
        <f t="shared" si="19"/>
        <v>0.79734588317292665</v>
      </c>
    </row>
    <row r="203" spans="1:7">
      <c r="A203">
        <v>202</v>
      </c>
      <c r="B203">
        <v>21655</v>
      </c>
      <c r="C203">
        <f t="shared" si="18"/>
        <v>26075.92264984376</v>
      </c>
      <c r="D203">
        <f t="shared" si="19"/>
        <v>0.83045958874746661</v>
      </c>
    </row>
    <row r="204" spans="1:7">
      <c r="A204">
        <v>203</v>
      </c>
      <c r="B204">
        <v>21975</v>
      </c>
      <c r="C204">
        <f t="shared" si="18"/>
        <v>26094.150363033154</v>
      </c>
      <c r="D204">
        <f t="shared" si="19"/>
        <v>0.84214276741239913</v>
      </c>
    </row>
    <row r="205" spans="1:7">
      <c r="A205">
        <v>204</v>
      </c>
      <c r="B205">
        <v>21832</v>
      </c>
      <c r="C205">
        <f t="shared" si="18"/>
        <v>26112.383080854554</v>
      </c>
      <c r="D205">
        <f t="shared" si="19"/>
        <v>0.83607842043367897</v>
      </c>
    </row>
    <row r="206" spans="1:7">
      <c r="A206">
        <v>205</v>
      </c>
      <c r="B206">
        <v>21351</v>
      </c>
      <c r="C206">
        <f t="shared" si="18"/>
        <v>26130.620519352942</v>
      </c>
      <c r="D206">
        <f t="shared" si="19"/>
        <v>0.81708737012911559</v>
      </c>
    </row>
    <row r="207" spans="1:7">
      <c r="A207">
        <v>206</v>
      </c>
      <c r="B207">
        <v>20995</v>
      </c>
      <c r="C207">
        <f t="shared" si="18"/>
        <v>26148.862395137086</v>
      </c>
      <c r="D207">
        <f t="shared" si="19"/>
        <v>0.80290299756613692</v>
      </c>
    </row>
    <row r="208" spans="1:7">
      <c r="A208">
        <v>207</v>
      </c>
      <c r="B208">
        <v>21222</v>
      </c>
      <c r="C208">
        <f t="shared" si="18"/>
        <v>26167.108425379538</v>
      </c>
      <c r="D208">
        <f t="shared" si="19"/>
        <v>0.81101815512090492</v>
      </c>
    </row>
    <row r="209" spans="1:4">
      <c r="A209">
        <v>208</v>
      </c>
      <c r="B209">
        <v>21821</v>
      </c>
      <c r="C209">
        <f t="shared" si="18"/>
        <v>26185.358327816641</v>
      </c>
      <c r="D209">
        <f t="shared" si="19"/>
        <v>0.83332829464547009</v>
      </c>
    </row>
    <row r="210" spans="1:4">
      <c r="A210">
        <v>209</v>
      </c>
      <c r="B210">
        <v>22393</v>
      </c>
      <c r="C210">
        <f t="shared" si="18"/>
        <v>26203.611820748523</v>
      </c>
      <c r="D210">
        <f t="shared" si="19"/>
        <v>0.85457684815300128</v>
      </c>
    </row>
    <row r="211" spans="1:4">
      <c r="A211">
        <v>210</v>
      </c>
      <c r="B211">
        <v>22783</v>
      </c>
      <c r="C211">
        <f t="shared" si="18"/>
        <v>26221.868623039099</v>
      </c>
      <c r="D211">
        <f t="shared" si="19"/>
        <v>0.86885493659984114</v>
      </c>
    </row>
    <row r="212" spans="1:4">
      <c r="A212">
        <v>211</v>
      </c>
      <c r="B212">
        <v>23285</v>
      </c>
      <c r="C212">
        <f t="shared" si="18"/>
        <v>26240.128454116068</v>
      </c>
      <c r="D212">
        <f t="shared" si="19"/>
        <v>0.88738132668506353</v>
      </c>
    </row>
    <row r="213" spans="1:4">
      <c r="A213">
        <v>212</v>
      </c>
      <c r="B213">
        <v>23740</v>
      </c>
      <c r="C213">
        <f t="shared" si="18"/>
        <v>26258.391033970918</v>
      </c>
      <c r="D213">
        <f t="shared" si="19"/>
        <v>0.90409195176075974</v>
      </c>
    </row>
    <row r="214" spans="1:4">
      <c r="A214">
        <v>213</v>
      </c>
      <c r="B214">
        <v>23804</v>
      </c>
      <c r="C214">
        <f t="shared" si="18"/>
        <v>26276.656083158927</v>
      </c>
      <c r="D214">
        <f t="shared" si="19"/>
        <v>0.90589913437487635</v>
      </c>
    </row>
    <row r="215" spans="1:4">
      <c r="A215">
        <v>214</v>
      </c>
      <c r="B215">
        <v>23803</v>
      </c>
      <c r="C215">
        <f t="shared" si="18"/>
        <v>26294.923322799154</v>
      </c>
      <c r="D215">
        <f t="shared" si="19"/>
        <v>0.90523177070311067</v>
      </c>
    </row>
    <row r="216" spans="1:4">
      <c r="A216">
        <v>215</v>
      </c>
      <c r="B216">
        <v>23618</v>
      </c>
      <c r="C216">
        <f t="shared" si="18"/>
        <v>26313.192474574444</v>
      </c>
      <c r="D216">
        <f t="shared" si="19"/>
        <v>0.89757257781705058</v>
      </c>
    </row>
    <row r="217" spans="1:4">
      <c r="A217">
        <v>216</v>
      </c>
      <c r="B217">
        <v>23652</v>
      </c>
      <c r="C217">
        <f t="shared" si="18"/>
        <v>26331.463260731431</v>
      </c>
      <c r="D217">
        <f t="shared" si="19"/>
        <v>0.8982410041477884</v>
      </c>
    </row>
    <row r="218" spans="1:4">
      <c r="A218">
        <v>217</v>
      </c>
      <c r="B218">
        <v>23875</v>
      </c>
      <c r="C218">
        <f t="shared" si="18"/>
        <v>26349.73540408054</v>
      </c>
      <c r="D218">
        <f t="shared" si="19"/>
        <v>0.90608120475861398</v>
      </c>
    </row>
    <row r="219" spans="1:4">
      <c r="A219">
        <v>218</v>
      </c>
      <c r="B219">
        <v>24080</v>
      </c>
      <c r="C219">
        <f t="shared" si="18"/>
        <v>26368.00862799598</v>
      </c>
      <c r="D219">
        <f t="shared" si="19"/>
        <v>0.91322785651826932</v>
      </c>
    </row>
    <row r="220" spans="1:4">
      <c r="A220">
        <v>219</v>
      </c>
      <c r="B220">
        <v>24655</v>
      </c>
      <c r="C220">
        <f t="shared" si="18"/>
        <v>26386.282656415737</v>
      </c>
      <c r="D220">
        <f t="shared" si="19"/>
        <v>0.93438701923422396</v>
      </c>
    </row>
    <row r="221" spans="1:4">
      <c r="A221">
        <v>220</v>
      </c>
      <c r="B221">
        <v>25011</v>
      </c>
      <c r="C221">
        <f t="shared" si="18"/>
        <v>26404.557213841599</v>
      </c>
      <c r="D221">
        <f t="shared" si="19"/>
        <v>0.94722285238280457</v>
      </c>
    </row>
    <row r="222" spans="1:4">
      <c r="A222">
        <v>221</v>
      </c>
      <c r="B222">
        <v>25327</v>
      </c>
      <c r="C222">
        <f t="shared" si="18"/>
        <v>26422.832025339132</v>
      </c>
      <c r="D222">
        <f t="shared" si="19"/>
        <v>0.95852707899409706</v>
      </c>
    </row>
    <row r="223" spans="1:4">
      <c r="A223">
        <v>222</v>
      </c>
      <c r="B223">
        <v>25073</v>
      </c>
      <c r="C223">
        <f t="shared" si="18"/>
        <v>26441.106816537686</v>
      </c>
      <c r="D223">
        <f t="shared" si="19"/>
        <v>0.94825833782109314</v>
      </c>
    </row>
    <row r="224" spans="1:4">
      <c r="A224">
        <v>223</v>
      </c>
      <c r="B224">
        <v>24919</v>
      </c>
      <c r="C224">
        <f t="shared" si="18"/>
        <v>26459.381313630409</v>
      </c>
      <c r="D224">
        <f t="shared" si="19"/>
        <v>0.94178316963001363</v>
      </c>
    </row>
    <row r="225" spans="1:4">
      <c r="A225">
        <v>224</v>
      </c>
      <c r="B225">
        <v>24907</v>
      </c>
      <c r="C225">
        <f t="shared" si="18"/>
        <v>26477.655243374222</v>
      </c>
      <c r="D225">
        <f t="shared" si="19"/>
        <v>0.94067997226577449</v>
      </c>
    </row>
    <row r="226" spans="1:4">
      <c r="A226">
        <v>225</v>
      </c>
      <c r="B226">
        <v>25353</v>
      </c>
      <c r="C226">
        <f t="shared" si="18"/>
        <v>26495.928333089843</v>
      </c>
      <c r="D226">
        <f t="shared" si="19"/>
        <v>0.95686400118834558</v>
      </c>
    </row>
    <row r="227" spans="1:4">
      <c r="A227">
        <v>226</v>
      </c>
      <c r="B227">
        <v>25833</v>
      </c>
      <c r="C227">
        <f t="shared" si="18"/>
        <v>26514.20031066177</v>
      </c>
      <c r="D227">
        <f t="shared" si="19"/>
        <v>0.97430809518370243</v>
      </c>
    </row>
    <row r="228" spans="1:4">
      <c r="A228">
        <v>227</v>
      </c>
      <c r="B228">
        <v>26193</v>
      </c>
      <c r="C228">
        <f t="shared" si="18"/>
        <v>26532.470904538292</v>
      </c>
      <c r="D228">
        <f t="shared" si="19"/>
        <v>0.98720545456321496</v>
      </c>
    </row>
    <row r="229" spans="1:4">
      <c r="A229">
        <v>228</v>
      </c>
      <c r="B229">
        <v>26226</v>
      </c>
      <c r="C229">
        <f t="shared" si="18"/>
        <v>26550.739843731484</v>
      </c>
      <c r="D229">
        <f t="shared" si="19"/>
        <v>0.98776908494291338</v>
      </c>
    </row>
    <row r="230" spans="1:4">
      <c r="A230">
        <v>229</v>
      </c>
      <c r="B230">
        <v>26052</v>
      </c>
      <c r="C230">
        <f t="shared" si="18"/>
        <v>26569.006857817203</v>
      </c>
      <c r="D230">
        <f t="shared" si="19"/>
        <v>0.98054097917231375</v>
      </c>
    </row>
    <row r="231" spans="1:4">
      <c r="A231">
        <v>230</v>
      </c>
      <c r="B231">
        <v>25539</v>
      </c>
      <c r="C231">
        <f t="shared" si="18"/>
        <v>26587.271676935099</v>
      </c>
      <c r="D231">
        <f t="shared" si="19"/>
        <v>0.96057242391499342</v>
      </c>
    </row>
    <row r="232" spans="1:4">
      <c r="A232">
        <v>231</v>
      </c>
      <c r="B232">
        <v>25175</v>
      </c>
      <c r="C232">
        <f t="shared" si="18"/>
        <v>26605.534031788604</v>
      </c>
      <c r="D232">
        <f t="shared" si="19"/>
        <v>0.94623171141464835</v>
      </c>
    </row>
    <row r="233" spans="1:4">
      <c r="A233">
        <v>232</v>
      </c>
      <c r="B233">
        <v>25095</v>
      </c>
      <c r="C233">
        <f t="shared" si="18"/>
        <v>26623.793653644942</v>
      </c>
      <c r="D233">
        <f t="shared" si="19"/>
        <v>0.94257791832623972</v>
      </c>
    </row>
    <row r="234" spans="1:4">
      <c r="A234">
        <v>233</v>
      </c>
      <c r="B234">
        <v>25131</v>
      </c>
      <c r="C234">
        <f t="shared" si="18"/>
        <v>26642.050274335117</v>
      </c>
      <c r="D234">
        <f t="shared" si="19"/>
        <v>0.94328325865405538</v>
      </c>
    </row>
    <row r="235" spans="1:4">
      <c r="A235">
        <v>234</v>
      </c>
      <c r="B235">
        <v>25157</v>
      </c>
      <c r="C235">
        <f t="shared" si="18"/>
        <v>26660.303626253924</v>
      </c>
      <c r="D235">
        <f t="shared" si="19"/>
        <v>0.94361265920566884</v>
      </c>
    </row>
    <row r="236" spans="1:4">
      <c r="A236">
        <v>235</v>
      </c>
      <c r="B236">
        <v>25262</v>
      </c>
      <c r="C236">
        <f t="shared" si="18"/>
        <v>26678.553442359942</v>
      </c>
      <c r="D236">
        <f t="shared" si="19"/>
        <v>0.94690291415460504</v>
      </c>
    </row>
    <row r="237" spans="1:4">
      <c r="A237">
        <v>236</v>
      </c>
      <c r="B237">
        <v>25412</v>
      </c>
      <c r="C237">
        <f t="shared" si="18"/>
        <v>26696.79945617554</v>
      </c>
      <c r="D237">
        <f t="shared" si="19"/>
        <v>0.95187440133845935</v>
      </c>
    </row>
    <row r="238" spans="1:4">
      <c r="A238">
        <v>237</v>
      </c>
      <c r="B238">
        <v>24954</v>
      </c>
      <c r="C238">
        <f t="shared" si="18"/>
        <v>26715.041401786872</v>
      </c>
      <c r="D238">
        <f t="shared" si="19"/>
        <v>0.93408052881890413</v>
      </c>
    </row>
    <row r="239" spans="1:4">
      <c r="A239">
        <v>238</v>
      </c>
      <c r="B239">
        <v>24822</v>
      </c>
      <c r="C239">
        <f t="shared" si="18"/>
        <v>26733.279013843876</v>
      </c>
      <c r="D239">
        <f t="shared" si="19"/>
        <v>0.9285056272799862</v>
      </c>
    </row>
    <row r="240" spans="1:4">
      <c r="A240">
        <v>239</v>
      </c>
      <c r="B240">
        <v>24793</v>
      </c>
      <c r="C240">
        <f t="shared" si="18"/>
        <v>26751.512027560282</v>
      </c>
      <c r="D240">
        <f t="shared" si="19"/>
        <v>0.9267887353229769</v>
      </c>
    </row>
    <row r="241" spans="1:4">
      <c r="A241">
        <v>240</v>
      </c>
      <c r="B241">
        <v>24588</v>
      </c>
      <c r="C241">
        <f t="shared" si="18"/>
        <v>26769.740178713597</v>
      </c>
      <c r="D241">
        <f t="shared" si="19"/>
        <v>0.91849976263690281</v>
      </c>
    </row>
    <row r="242" spans="1:4">
      <c r="A242">
        <v>241</v>
      </c>
      <c r="B242">
        <v>24524</v>
      </c>
      <c r="C242">
        <f t="shared" si="18"/>
        <v>26787.963203645129</v>
      </c>
      <c r="D242">
        <f t="shared" si="19"/>
        <v>0.91548580284233538</v>
      </c>
    </row>
    <row r="243" spans="1:4">
      <c r="A243">
        <v>242</v>
      </c>
      <c r="B243">
        <v>24494</v>
      </c>
      <c r="C243">
        <f t="shared" si="18"/>
        <v>26806.180839259963</v>
      </c>
      <c r="D243">
        <f t="shared" si="19"/>
        <v>0.91374448851461987</v>
      </c>
    </row>
    <row r="244" spans="1:4">
      <c r="A244">
        <v>243</v>
      </c>
      <c r="B244">
        <v>24767</v>
      </c>
      <c r="C244">
        <f t="shared" si="18"/>
        <v>26824.392823026974</v>
      </c>
      <c r="D244">
        <f t="shared" si="19"/>
        <v>0.9233014205913046</v>
      </c>
    </row>
    <row r="245" spans="1:4">
      <c r="A245">
        <v>244</v>
      </c>
      <c r="B245">
        <v>24501</v>
      </c>
      <c r="C245">
        <f t="shared" si="18"/>
        <v>26842.598892978818</v>
      </c>
      <c r="D245">
        <f t="shared" si="19"/>
        <v>0.91276556706320611</v>
      </c>
    </row>
    <row r="246" spans="1:4">
      <c r="A246">
        <v>245</v>
      </c>
      <c r="B246">
        <v>24338</v>
      </c>
      <c r="C246">
        <f t="shared" si="18"/>
        <v>26860.798787711941</v>
      </c>
      <c r="D246">
        <f t="shared" si="19"/>
        <v>0.90607878761721516</v>
      </c>
    </row>
    <row r="247" spans="1:4">
      <c r="A247">
        <v>246</v>
      </c>
      <c r="B247">
        <v>23927</v>
      </c>
      <c r="C247">
        <f t="shared" si="18"/>
        <v>26878.992246386584</v>
      </c>
      <c r="D247">
        <f t="shared" si="19"/>
        <v>0.89017474244096972</v>
      </c>
    </row>
    <row r="248" spans="1:4">
      <c r="A248">
        <v>247</v>
      </c>
      <c r="B248">
        <v>23891</v>
      </c>
      <c r="C248">
        <f t="shared" si="18"/>
        <v>26897.179008726758</v>
      </c>
      <c r="D248">
        <f t="shared" si="19"/>
        <v>0.88823441269616388</v>
      </c>
    </row>
    <row r="249" spans="1:4">
      <c r="A249">
        <v>248</v>
      </c>
      <c r="B249">
        <v>24373</v>
      </c>
      <c r="C249">
        <f t="shared" si="18"/>
        <v>26915.358815020278</v>
      </c>
      <c r="D249">
        <f t="shared" si="19"/>
        <v>0.90554245133817424</v>
      </c>
    </row>
    <row r="250" spans="1:4">
      <c r="A250">
        <v>249</v>
      </c>
      <c r="B250">
        <v>24788</v>
      </c>
      <c r="C250">
        <f t="shared" si="18"/>
        <v>26933.531406118731</v>
      </c>
      <c r="D250">
        <f t="shared" si="19"/>
        <v>0.92033976630218972</v>
      </c>
    </row>
    <row r="251" spans="1:4">
      <c r="A251">
        <v>250</v>
      </c>
      <c r="B251">
        <v>25023</v>
      </c>
      <c r="C251">
        <f t="shared" si="18"/>
        <v>26951.696523437498</v>
      </c>
      <c r="D251">
        <f t="shared" si="19"/>
        <v>0.92843877112669759</v>
      </c>
    </row>
    <row r="252" spans="1:4">
      <c r="A252">
        <v>251</v>
      </c>
      <c r="B252">
        <v>25199</v>
      </c>
      <c r="C252">
        <f t="shared" si="18"/>
        <v>26969.853908955749</v>
      </c>
      <c r="D252">
        <f t="shared" si="19"/>
        <v>0.93433950680883338</v>
      </c>
    </row>
    <row r="253" spans="1:4">
      <c r="A253">
        <v>252</v>
      </c>
      <c r="B253">
        <v>25345</v>
      </c>
      <c r="C253">
        <f t="shared" si="18"/>
        <v>26988.003305216436</v>
      </c>
      <c r="D253">
        <f t="shared" si="19"/>
        <v>0.93912097584118548</v>
      </c>
    </row>
    <row r="254" spans="1:4">
      <c r="A254">
        <v>253</v>
      </c>
      <c r="B254">
        <v>25542</v>
      </c>
      <c r="C254">
        <f t="shared" si="18"/>
        <v>27006.144455326299</v>
      </c>
      <c r="D254">
        <f t="shared" si="19"/>
        <v>0.94578476547260215</v>
      </c>
    </row>
    <row r="255" spans="1:4">
      <c r="A255">
        <v>254</v>
      </c>
      <c r="B255">
        <v>25891</v>
      </c>
      <c r="C255">
        <f t="shared" si="18"/>
        <v>27024.277102955864</v>
      </c>
      <c r="D255">
        <f t="shared" si="19"/>
        <v>0.9580644803693229</v>
      </c>
    </row>
    <row r="256" spans="1:4">
      <c r="A256">
        <v>255</v>
      </c>
      <c r="B256">
        <v>26118</v>
      </c>
      <c r="C256">
        <f t="shared" si="18"/>
        <v>27042.400992339441</v>
      </c>
      <c r="D256">
        <f t="shared" si="19"/>
        <v>0.9658166080518773</v>
      </c>
    </row>
    <row r="257" spans="1:4">
      <c r="A257">
        <v>256</v>
      </c>
      <c r="B257">
        <v>26361</v>
      </c>
      <c r="C257">
        <f t="shared" si="18"/>
        <v>27060.515868275135</v>
      </c>
      <c r="D257">
        <f t="shared" si="19"/>
        <v>0.97414994334623073</v>
      </c>
    </row>
    <row r="258" spans="1:4">
      <c r="A258">
        <v>257</v>
      </c>
      <c r="B258">
        <v>26300</v>
      </c>
      <c r="C258">
        <f t="shared" ref="C258:C321" si="20" xml:space="preserve"> 0.00000002349111*A258*A258*A258*A258 - 0.0000664476*A258*A258*A258 + 0.03716061*A258*A258 + 10.57172*A258 + 22932.71</f>
        <v>27078.621476124834</v>
      </c>
      <c r="D258">
        <f t="shared" ref="D258:D321" si="21">B258/C258</f>
        <v>0.97124589681157358</v>
      </c>
    </row>
    <row r="259" spans="1:4">
      <c r="A259">
        <v>258</v>
      </c>
      <c r="B259">
        <v>26275</v>
      </c>
      <c r="C259">
        <f t="shared" si="20"/>
        <v>27096.717561814206</v>
      </c>
      <c r="D259">
        <f t="shared" si="21"/>
        <v>0.96967464564888095</v>
      </c>
    </row>
    <row r="260" spans="1:4">
      <c r="A260">
        <v>259</v>
      </c>
      <c r="B260">
        <v>26109</v>
      </c>
      <c r="C260">
        <f t="shared" si="20"/>
        <v>27114.803871832712</v>
      </c>
      <c r="D260">
        <f t="shared" si="21"/>
        <v>0.96290572940940367</v>
      </c>
    </row>
    <row r="261" spans="1:4">
      <c r="A261">
        <v>260</v>
      </c>
      <c r="B261">
        <v>25810</v>
      </c>
      <c r="C261">
        <f t="shared" si="20"/>
        <v>27132.8801532336</v>
      </c>
      <c r="D261">
        <f t="shared" si="21"/>
        <v>0.95124438888305984</v>
      </c>
    </row>
    <row r="262" spans="1:4">
      <c r="A262">
        <v>261</v>
      </c>
      <c r="B262">
        <v>24741</v>
      </c>
      <c r="C262">
        <f t="shared" si="20"/>
        <v>27150.9461536339</v>
      </c>
      <c r="D262">
        <f t="shared" si="21"/>
        <v>0.91123896235522706</v>
      </c>
    </row>
    <row r="263" spans="1:4">
      <c r="A263">
        <v>262</v>
      </c>
      <c r="B263">
        <v>23086</v>
      </c>
      <c r="C263">
        <f t="shared" si="20"/>
        <v>27169.001621214436</v>
      </c>
      <c r="D263">
        <f t="shared" si="21"/>
        <v>0.84971837838802677</v>
      </c>
    </row>
    <row r="264" spans="1:4">
      <c r="A264">
        <v>263</v>
      </c>
      <c r="B264">
        <v>22171</v>
      </c>
      <c r="C264">
        <f t="shared" si="20"/>
        <v>27187.046304719814</v>
      </c>
      <c r="D264">
        <f t="shared" si="21"/>
        <v>0.81549866622145706</v>
      </c>
    </row>
    <row r="265" spans="1:4">
      <c r="A265">
        <v>264</v>
      </c>
      <c r="B265">
        <v>22514</v>
      </c>
      <c r="C265">
        <f t="shared" si="20"/>
        <v>27205.079953458422</v>
      </c>
      <c r="D265">
        <f t="shared" si="21"/>
        <v>0.8275660295252294</v>
      </c>
    </row>
    <row r="266" spans="1:4">
      <c r="A266">
        <v>265</v>
      </c>
      <c r="B266">
        <v>23794</v>
      </c>
      <c r="C266">
        <f t="shared" si="20"/>
        <v>27223.102317302444</v>
      </c>
      <c r="D266">
        <f t="shared" si="21"/>
        <v>0.87403704848425823</v>
      </c>
    </row>
    <row r="267" spans="1:4">
      <c r="A267">
        <v>266</v>
      </c>
      <c r="B267">
        <v>24193</v>
      </c>
      <c r="C267">
        <f t="shared" si="20"/>
        <v>27241.113146687843</v>
      </c>
      <c r="D267">
        <f t="shared" si="21"/>
        <v>0.88810614565291901</v>
      </c>
    </row>
    <row r="268" spans="1:4">
      <c r="A268">
        <v>267</v>
      </c>
      <c r="B268">
        <v>24136</v>
      </c>
      <c r="C268">
        <f t="shared" si="20"/>
        <v>27259.112192614375</v>
      </c>
      <c r="D268">
        <f t="shared" si="21"/>
        <v>0.8854286900267957</v>
      </c>
    </row>
    <row r="269" spans="1:4">
      <c r="A269">
        <v>268</v>
      </c>
      <c r="B269">
        <v>23864</v>
      </c>
      <c r="C269">
        <f t="shared" si="20"/>
        <v>27277.09920664558</v>
      </c>
      <c r="D269">
        <f t="shared" si="21"/>
        <v>0.87487308746473891</v>
      </c>
    </row>
    <row r="270" spans="1:4">
      <c r="A270">
        <v>269</v>
      </c>
      <c r="B270">
        <v>23154</v>
      </c>
      <c r="C270">
        <f t="shared" si="20"/>
        <v>27295.073940908784</v>
      </c>
      <c r="D270">
        <f t="shared" si="21"/>
        <v>0.84828493412863393</v>
      </c>
    </row>
    <row r="271" spans="1:4">
      <c r="A271">
        <v>270</v>
      </c>
      <c r="B271">
        <v>22522</v>
      </c>
      <c r="C271">
        <f t="shared" si="20"/>
        <v>27313.0361480951</v>
      </c>
      <c r="D271">
        <f t="shared" si="21"/>
        <v>0.82458793221971249</v>
      </c>
    </row>
    <row r="272" spans="1:4">
      <c r="A272">
        <v>271</v>
      </c>
      <c r="B272">
        <v>21920</v>
      </c>
      <c r="C272">
        <f t="shared" si="20"/>
        <v>27330.985581459423</v>
      </c>
      <c r="D272">
        <f t="shared" si="21"/>
        <v>0.8020201077150293</v>
      </c>
    </row>
    <row r="273" spans="1:7">
      <c r="A273">
        <v>272</v>
      </c>
      <c r="B273">
        <v>21753</v>
      </c>
      <c r="C273">
        <f t="shared" si="20"/>
        <v>27348.921994820441</v>
      </c>
      <c r="D273">
        <f t="shared" si="21"/>
        <v>0.79538784030024134</v>
      </c>
    </row>
    <row r="274" spans="1:7">
      <c r="A274">
        <v>273</v>
      </c>
      <c r="B274">
        <v>21779</v>
      </c>
      <c r="C274">
        <f t="shared" si="20"/>
        <v>27366.845142560633</v>
      </c>
      <c r="D274">
        <f t="shared" si="21"/>
        <v>0.79581697804580065</v>
      </c>
    </row>
    <row r="275" spans="1:7">
      <c r="A275">
        <v>274</v>
      </c>
      <c r="B275">
        <v>21941</v>
      </c>
      <c r="C275">
        <f t="shared" si="20"/>
        <v>27384.754779626252</v>
      </c>
      <c r="D275">
        <f t="shared" si="21"/>
        <v>0.80121221375053886</v>
      </c>
    </row>
    <row r="276" spans="1:7">
      <c r="A276">
        <v>275</v>
      </c>
      <c r="B276">
        <v>22462</v>
      </c>
      <c r="C276">
        <f t="shared" si="20"/>
        <v>27402.650661527343</v>
      </c>
      <c r="D276">
        <f t="shared" si="21"/>
        <v>0.8197017243859589</v>
      </c>
    </row>
    <row r="277" spans="1:7">
      <c r="A277">
        <v>276</v>
      </c>
      <c r="B277">
        <v>23406</v>
      </c>
      <c r="C277">
        <f t="shared" si="20"/>
        <v>27420.532544337744</v>
      </c>
      <c r="D277">
        <f t="shared" si="21"/>
        <v>0.85359392499593401</v>
      </c>
    </row>
    <row r="278" spans="1:7">
      <c r="A278">
        <v>277</v>
      </c>
      <c r="B278">
        <v>24352</v>
      </c>
      <c r="C278">
        <f t="shared" si="20"/>
        <v>27438.400184695067</v>
      </c>
      <c r="D278">
        <f t="shared" si="21"/>
        <v>0.88751530104088805</v>
      </c>
    </row>
    <row r="279" spans="1:7">
      <c r="A279">
        <v>278</v>
      </c>
      <c r="B279">
        <v>24682</v>
      </c>
      <c r="C279">
        <f t="shared" si="20"/>
        <v>27456.253339800729</v>
      </c>
      <c r="D279">
        <f t="shared" si="21"/>
        <v>0.89895732292872033</v>
      </c>
    </row>
    <row r="280" spans="1:7">
      <c r="A280">
        <v>279</v>
      </c>
      <c r="B280">
        <v>24339</v>
      </c>
      <c r="C280">
        <f t="shared" si="20"/>
        <v>27474.091767419908</v>
      </c>
      <c r="D280">
        <f t="shared" si="21"/>
        <v>0.88588915717542849</v>
      </c>
    </row>
    <row r="281" spans="1:7">
      <c r="A281">
        <v>280</v>
      </c>
      <c r="B281">
        <v>23233</v>
      </c>
      <c r="C281">
        <f t="shared" si="20"/>
        <v>27491.915225881599</v>
      </c>
      <c r="D281">
        <f t="shared" si="21"/>
        <v>0.84508481162956062</v>
      </c>
    </row>
    <row r="282" spans="1:7">
      <c r="A282">
        <v>281</v>
      </c>
      <c r="B282">
        <v>21310</v>
      </c>
      <c r="C282">
        <f t="shared" si="20"/>
        <v>27509.723474078557</v>
      </c>
      <c r="D282">
        <f t="shared" si="21"/>
        <v>0.77463519471868414</v>
      </c>
    </row>
    <row r="283" spans="1:7" ht="17.25">
      <c r="A283">
        <v>282</v>
      </c>
      <c r="B283">
        <v>19061</v>
      </c>
      <c r="C283">
        <f t="shared" si="20"/>
        <v>27527.516271467339</v>
      </c>
      <c r="D283">
        <f t="shared" si="21"/>
        <v>0.69243442859234627</v>
      </c>
      <c r="F283">
        <v>283</v>
      </c>
      <c r="G283" t="s">
        <v>63</v>
      </c>
    </row>
    <row r="284" spans="1:7" ht="17.25">
      <c r="A284">
        <v>283</v>
      </c>
      <c r="B284">
        <v>17712</v>
      </c>
      <c r="C284">
        <f t="shared" si="20"/>
        <v>27545.29337806828</v>
      </c>
      <c r="D284">
        <f t="shared" si="21"/>
        <v>0.64301366323810494</v>
      </c>
      <c r="F284">
        <v>283</v>
      </c>
      <c r="G284" t="s">
        <v>64</v>
      </c>
    </row>
    <row r="285" spans="1:7">
      <c r="A285">
        <v>284</v>
      </c>
      <c r="B285">
        <v>18133</v>
      </c>
      <c r="C285">
        <f t="shared" si="20"/>
        <v>27563.054554465511</v>
      </c>
      <c r="D285">
        <f t="shared" si="21"/>
        <v>0.65787338497511549</v>
      </c>
    </row>
    <row r="286" spans="1:7">
      <c r="A286">
        <v>285</v>
      </c>
      <c r="B286">
        <v>19853</v>
      </c>
      <c r="C286">
        <f t="shared" si="20"/>
        <v>27580.799561806944</v>
      </c>
      <c r="D286">
        <f t="shared" si="21"/>
        <v>0.71981234465341004</v>
      </c>
    </row>
    <row r="287" spans="1:7">
      <c r="A287">
        <v>286</v>
      </c>
      <c r="B287">
        <v>21654</v>
      </c>
      <c r="C287">
        <f t="shared" si="20"/>
        <v>27598.528161804272</v>
      </c>
      <c r="D287">
        <f t="shared" si="21"/>
        <v>0.78460705850135293</v>
      </c>
    </row>
    <row r="288" spans="1:7">
      <c r="A288">
        <v>287</v>
      </c>
      <c r="B288">
        <v>22725</v>
      </c>
      <c r="C288">
        <f t="shared" si="20"/>
        <v>27616.240116732988</v>
      </c>
      <c r="D288">
        <f t="shared" si="21"/>
        <v>0.82288537121426131</v>
      </c>
    </row>
    <row r="289" spans="1:4">
      <c r="A289">
        <v>288</v>
      </c>
      <c r="B289">
        <v>23306</v>
      </c>
      <c r="C289">
        <f t="shared" si="20"/>
        <v>27633.935189432359</v>
      </c>
      <c r="D289">
        <f t="shared" si="21"/>
        <v>0.84338331982889547</v>
      </c>
    </row>
    <row r="290" spans="1:4">
      <c r="A290">
        <v>289</v>
      </c>
      <c r="B290">
        <v>24002</v>
      </c>
      <c r="C290">
        <f t="shared" si="20"/>
        <v>27651.613143305447</v>
      </c>
      <c r="D290">
        <f t="shared" si="21"/>
        <v>0.86801445816592326</v>
      </c>
    </row>
    <row r="291" spans="1:4">
      <c r="A291">
        <v>290</v>
      </c>
      <c r="B291">
        <v>24744</v>
      </c>
      <c r="C291">
        <f t="shared" si="20"/>
        <v>27669.273742319099</v>
      </c>
      <c r="D291">
        <f t="shared" si="21"/>
        <v>0.8942771765691484</v>
      </c>
    </row>
    <row r="292" spans="1:4">
      <c r="A292">
        <v>291</v>
      </c>
      <c r="B292">
        <v>25056</v>
      </c>
      <c r="C292">
        <f t="shared" si="20"/>
        <v>27686.916751003944</v>
      </c>
      <c r="D292">
        <f t="shared" si="21"/>
        <v>0.90497617431855981</v>
      </c>
    </row>
    <row r="293" spans="1:4">
      <c r="A293">
        <v>292</v>
      </c>
      <c r="B293">
        <v>24890</v>
      </c>
      <c r="C293">
        <f t="shared" si="20"/>
        <v>27704.541934454403</v>
      </c>
      <c r="D293">
        <f t="shared" si="21"/>
        <v>0.89840864573349499</v>
      </c>
    </row>
    <row r="294" spans="1:4">
      <c r="A294">
        <v>293</v>
      </c>
      <c r="B294">
        <v>24522</v>
      </c>
      <c r="C294">
        <f t="shared" si="20"/>
        <v>27722.14905832868</v>
      </c>
      <c r="D294">
        <f t="shared" si="21"/>
        <v>0.88456345676536774</v>
      </c>
    </row>
    <row r="295" spans="1:4">
      <c r="A295">
        <v>294</v>
      </c>
      <c r="B295">
        <v>24111</v>
      </c>
      <c r="C295">
        <f t="shared" si="20"/>
        <v>27739.737888848766</v>
      </c>
      <c r="D295">
        <f t="shared" si="21"/>
        <v>0.86918629500434108</v>
      </c>
    </row>
    <row r="296" spans="1:4">
      <c r="A296">
        <v>295</v>
      </c>
      <c r="B296">
        <v>24206</v>
      </c>
      <c r="C296">
        <f t="shared" si="20"/>
        <v>27757.308192800443</v>
      </c>
      <c r="D296">
        <f t="shared" si="21"/>
        <v>0.87205862441223447</v>
      </c>
    </row>
    <row r="297" spans="1:4">
      <c r="A297">
        <v>296</v>
      </c>
      <c r="B297">
        <v>24376</v>
      </c>
      <c r="C297">
        <f t="shared" si="20"/>
        <v>27774.859737533276</v>
      </c>
      <c r="D297">
        <f t="shared" si="21"/>
        <v>0.87762819435807049</v>
      </c>
    </row>
    <row r="298" spans="1:4">
      <c r="A298">
        <v>297</v>
      </c>
      <c r="B298">
        <v>24394</v>
      </c>
      <c r="C298">
        <f t="shared" si="20"/>
        <v>27792.392290960615</v>
      </c>
      <c r="D298">
        <f t="shared" si="21"/>
        <v>0.8777222106185536</v>
      </c>
    </row>
    <row r="299" spans="1:4">
      <c r="A299">
        <v>298</v>
      </c>
      <c r="B299">
        <v>24575</v>
      </c>
      <c r="C299">
        <f t="shared" si="20"/>
        <v>27809.905621559599</v>
      </c>
      <c r="D299">
        <f t="shared" si="21"/>
        <v>0.88367793599947564</v>
      </c>
    </row>
    <row r="300" spans="1:4">
      <c r="A300">
        <v>299</v>
      </c>
      <c r="B300">
        <v>24773</v>
      </c>
      <c r="C300">
        <f t="shared" si="20"/>
        <v>27827.399498371156</v>
      </c>
      <c r="D300">
        <f t="shared" si="21"/>
        <v>0.89023769545731568</v>
      </c>
    </row>
    <row r="301" spans="1:4">
      <c r="A301">
        <v>300</v>
      </c>
      <c r="B301">
        <v>24999</v>
      </c>
      <c r="C301">
        <f t="shared" si="20"/>
        <v>27844.873691000001</v>
      </c>
      <c r="D301">
        <f t="shared" si="21"/>
        <v>0.89779541747679603</v>
      </c>
    </row>
    <row r="302" spans="1:4">
      <c r="A302">
        <v>301</v>
      </c>
      <c r="B302">
        <v>25136</v>
      </c>
      <c r="C302">
        <f t="shared" si="20"/>
        <v>27862.32796961462</v>
      </c>
      <c r="D302">
        <f t="shared" si="21"/>
        <v>0.90215002950981593</v>
      </c>
    </row>
    <row r="303" spans="1:4">
      <c r="A303">
        <v>302</v>
      </c>
      <c r="B303">
        <v>25072</v>
      </c>
      <c r="C303">
        <f t="shared" si="20"/>
        <v>27879.762104947313</v>
      </c>
      <c r="D303">
        <f t="shared" si="21"/>
        <v>0.89929031336859688</v>
      </c>
    </row>
    <row r="304" spans="1:4">
      <c r="A304">
        <v>303</v>
      </c>
      <c r="B304">
        <v>24827</v>
      </c>
      <c r="C304">
        <f t="shared" si="20"/>
        <v>27897.175868294144</v>
      </c>
      <c r="D304">
        <f t="shared" si="21"/>
        <v>0.88994671421979032</v>
      </c>
    </row>
    <row r="305" spans="1:4">
      <c r="A305">
        <v>304</v>
      </c>
      <c r="B305">
        <v>24769</v>
      </c>
      <c r="C305">
        <f t="shared" si="20"/>
        <v>27914.56903151497</v>
      </c>
      <c r="D305">
        <f t="shared" si="21"/>
        <v>0.88731443326373094</v>
      </c>
    </row>
    <row r="306" spans="1:4">
      <c r="A306">
        <v>305</v>
      </c>
      <c r="B306">
        <v>24287</v>
      </c>
      <c r="C306">
        <f t="shared" si="20"/>
        <v>27931.941367033443</v>
      </c>
      <c r="D306">
        <f t="shared" si="21"/>
        <v>0.86950633616411033</v>
      </c>
    </row>
    <row r="307" spans="1:4">
      <c r="A307">
        <v>306</v>
      </c>
      <c r="B307">
        <v>23308</v>
      </c>
      <c r="C307">
        <f t="shared" si="20"/>
        <v>27949.292647836988</v>
      </c>
      <c r="D307">
        <f t="shared" si="21"/>
        <v>0.83393881532825909</v>
      </c>
    </row>
    <row r="308" spans="1:4">
      <c r="A308">
        <v>307</v>
      </c>
      <c r="B308">
        <v>21670</v>
      </c>
      <c r="C308">
        <f t="shared" si="20"/>
        <v>27966.62264747683</v>
      </c>
      <c r="D308">
        <f t="shared" si="21"/>
        <v>0.77485223271874348</v>
      </c>
    </row>
    <row r="309" spans="1:4">
      <c r="A309">
        <v>308</v>
      </c>
      <c r="B309">
        <v>19897</v>
      </c>
      <c r="C309">
        <f t="shared" si="20"/>
        <v>27983.931140067969</v>
      </c>
      <c r="D309">
        <f t="shared" si="21"/>
        <v>0.71101518583681278</v>
      </c>
    </row>
    <row r="310" spans="1:4">
      <c r="A310">
        <v>309</v>
      </c>
      <c r="B310">
        <v>18724</v>
      </c>
      <c r="C310">
        <f t="shared" si="20"/>
        <v>28001.217900289201</v>
      </c>
      <c r="D310">
        <f t="shared" si="21"/>
        <v>0.66868520028932799</v>
      </c>
    </row>
    <row r="311" spans="1:4">
      <c r="A311">
        <v>310</v>
      </c>
      <c r="B311">
        <v>18490</v>
      </c>
      <c r="C311">
        <f t="shared" si="20"/>
        <v>28018.482703383099</v>
      </c>
      <c r="D311">
        <f t="shared" si="21"/>
        <v>0.65992153093170247</v>
      </c>
    </row>
    <row r="312" spans="1:4">
      <c r="A312">
        <v>311</v>
      </c>
      <c r="B312">
        <v>19140</v>
      </c>
      <c r="C312">
        <f t="shared" si="20"/>
        <v>28035.725325156032</v>
      </c>
      <c r="D312">
        <f t="shared" si="21"/>
        <v>0.6827003681201701</v>
      </c>
    </row>
    <row r="313" spans="1:4">
      <c r="A313">
        <v>312</v>
      </c>
      <c r="B313">
        <v>19603</v>
      </c>
      <c r="C313">
        <f t="shared" si="20"/>
        <v>28052.945541978152</v>
      </c>
      <c r="D313">
        <f t="shared" si="21"/>
        <v>0.69878580025282067</v>
      </c>
    </row>
    <row r="314" spans="1:4">
      <c r="A314">
        <v>313</v>
      </c>
      <c r="B314">
        <v>19680</v>
      </c>
      <c r="C314">
        <f t="shared" si="20"/>
        <v>28070.143130783395</v>
      </c>
      <c r="D314">
        <f t="shared" si="21"/>
        <v>0.7011008069430803</v>
      </c>
    </row>
    <row r="315" spans="1:4">
      <c r="A315">
        <v>314</v>
      </c>
      <c r="B315">
        <v>19902</v>
      </c>
      <c r="C315">
        <f t="shared" si="20"/>
        <v>28087.317869069488</v>
      </c>
      <c r="D315">
        <f t="shared" si="21"/>
        <v>0.70857602327051028</v>
      </c>
    </row>
    <row r="316" spans="1:4">
      <c r="A316">
        <v>315</v>
      </c>
      <c r="B316">
        <v>20943</v>
      </c>
      <c r="C316">
        <f t="shared" si="20"/>
        <v>28104.469534897944</v>
      </c>
      <c r="D316">
        <f t="shared" si="21"/>
        <v>0.74518396349714455</v>
      </c>
    </row>
    <row r="317" spans="1:4">
      <c r="A317">
        <v>316</v>
      </c>
      <c r="B317">
        <v>22587</v>
      </c>
      <c r="C317">
        <f t="shared" si="20"/>
        <v>28121.597906894054</v>
      </c>
      <c r="D317">
        <f t="shared" si="21"/>
        <v>0.80319048991390207</v>
      </c>
    </row>
    <row r="318" spans="1:4">
      <c r="A318">
        <v>317</v>
      </c>
      <c r="B318">
        <v>23859</v>
      </c>
      <c r="C318">
        <f t="shared" si="20"/>
        <v>28138.702764246911</v>
      </c>
      <c r="D318">
        <f t="shared" si="21"/>
        <v>0.84790689179585388</v>
      </c>
    </row>
    <row r="319" spans="1:4">
      <c r="A319">
        <v>318</v>
      </c>
      <c r="B319">
        <v>24551</v>
      </c>
      <c r="C319">
        <f t="shared" si="20"/>
        <v>28155.783886709385</v>
      </c>
      <c r="D319">
        <f t="shared" si="21"/>
        <v>0.87197003993161837</v>
      </c>
    </row>
    <row r="320" spans="1:4">
      <c r="A320">
        <v>319</v>
      </c>
      <c r="B320">
        <v>24881</v>
      </c>
      <c r="C320">
        <f t="shared" si="20"/>
        <v>28172.841054598131</v>
      </c>
      <c r="D320">
        <f t="shared" si="21"/>
        <v>0.88315551675393189</v>
      </c>
    </row>
    <row r="321" spans="1:4">
      <c r="A321">
        <v>320</v>
      </c>
      <c r="B321">
        <v>25071</v>
      </c>
      <c r="C321">
        <f t="shared" si="20"/>
        <v>28189.874048793597</v>
      </c>
      <c r="D321">
        <f t="shared" si="21"/>
        <v>0.88936190195830012</v>
      </c>
    </row>
    <row r="322" spans="1:4">
      <c r="A322">
        <v>321</v>
      </c>
      <c r="B322">
        <v>25005</v>
      </c>
      <c r="C322">
        <f t="shared" ref="C322:C385" si="22" xml:space="preserve"> 0.00000002349111*A322*A322*A322*A322 - 0.0000664476*A322*A322*A322 + 0.03716061*A322*A322 + 10.57172*A322 + 22932.71</f>
        <v>28206.882650740015</v>
      </c>
      <c r="D322">
        <f t="shared" ref="D322:D385" si="23">B322/C322</f>
        <v>0.88648576695319381</v>
      </c>
    </row>
    <row r="323" spans="1:4">
      <c r="A323">
        <v>322</v>
      </c>
      <c r="B323">
        <v>24901</v>
      </c>
      <c r="C323">
        <f t="shared" si="22"/>
        <v>28223.866642445399</v>
      </c>
      <c r="D323">
        <f t="shared" si="23"/>
        <v>0.88226749068293164</v>
      </c>
    </row>
    <row r="324" spans="1:4">
      <c r="A324">
        <v>323</v>
      </c>
      <c r="B324">
        <v>24889</v>
      </c>
      <c r="C324">
        <f t="shared" si="22"/>
        <v>28240.825806481556</v>
      </c>
      <c r="D324">
        <f t="shared" si="23"/>
        <v>0.88131275517756713</v>
      </c>
    </row>
    <row r="325" spans="1:4">
      <c r="A325">
        <v>324</v>
      </c>
      <c r="B325">
        <v>24816</v>
      </c>
      <c r="C325">
        <f t="shared" si="22"/>
        <v>28257.759925984079</v>
      </c>
      <c r="D325">
        <f t="shared" si="23"/>
        <v>0.87820124684337586</v>
      </c>
    </row>
    <row r="326" spans="1:4">
      <c r="A326">
        <v>325</v>
      </c>
      <c r="B326">
        <v>24975</v>
      </c>
      <c r="C326">
        <f t="shared" si="22"/>
        <v>28274.668784652342</v>
      </c>
      <c r="D326">
        <f t="shared" si="23"/>
        <v>0.88329947170085255</v>
      </c>
    </row>
    <row r="327" spans="1:4">
      <c r="A327">
        <v>326</v>
      </c>
      <c r="B327">
        <v>25188</v>
      </c>
      <c r="C327">
        <f t="shared" si="22"/>
        <v>28291.552166749512</v>
      </c>
      <c r="D327">
        <f t="shared" si="23"/>
        <v>0.8903010994781313</v>
      </c>
    </row>
    <row r="328" spans="1:4">
      <c r="A328">
        <v>327</v>
      </c>
      <c r="B328">
        <v>25441</v>
      </c>
      <c r="C328">
        <f t="shared" si="22"/>
        <v>28308.409857102546</v>
      </c>
      <c r="D328">
        <f t="shared" si="23"/>
        <v>0.89870819761417586</v>
      </c>
    </row>
    <row r="329" spans="1:4">
      <c r="A329">
        <v>328</v>
      </c>
      <c r="B329">
        <v>25577</v>
      </c>
      <c r="C329">
        <f t="shared" si="22"/>
        <v>28325.24164110217</v>
      </c>
      <c r="D329">
        <f t="shared" si="23"/>
        <v>0.90297552706084405</v>
      </c>
    </row>
    <row r="330" spans="1:4">
      <c r="A330">
        <v>329</v>
      </c>
      <c r="B330">
        <v>25864</v>
      </c>
      <c r="C330">
        <f t="shared" si="22"/>
        <v>28342.047304702919</v>
      </c>
      <c r="D330">
        <f t="shared" si="23"/>
        <v>0.91256639726616628</v>
      </c>
    </row>
    <row r="331" spans="1:4">
      <c r="A331">
        <v>330</v>
      </c>
      <c r="B331">
        <v>26464</v>
      </c>
      <c r="C331">
        <f t="shared" si="22"/>
        <v>28358.826634423098</v>
      </c>
      <c r="D331">
        <f t="shared" si="23"/>
        <v>0.9331838845503192</v>
      </c>
    </row>
    <row r="332" spans="1:4">
      <c r="A332">
        <v>331</v>
      </c>
      <c r="B332">
        <v>26622</v>
      </c>
      <c r="C332">
        <f t="shared" si="22"/>
        <v>28375.579417344808</v>
      </c>
      <c r="D332">
        <f t="shared" si="23"/>
        <v>0.93820110625572217</v>
      </c>
    </row>
    <row r="333" spans="1:4">
      <c r="A333">
        <v>332</v>
      </c>
      <c r="B333">
        <v>26592</v>
      </c>
      <c r="C333">
        <f t="shared" si="22"/>
        <v>28392.305441113935</v>
      </c>
      <c r="D333">
        <f t="shared" si="23"/>
        <v>0.93659178382510022</v>
      </c>
    </row>
    <row r="334" spans="1:4">
      <c r="A334">
        <v>333</v>
      </c>
      <c r="B334">
        <v>26226</v>
      </c>
      <c r="C334">
        <f t="shared" si="22"/>
        <v>28409.004493940145</v>
      </c>
      <c r="D334">
        <f t="shared" si="23"/>
        <v>0.92315800807431336</v>
      </c>
    </row>
    <row r="335" spans="1:4">
      <c r="A335">
        <v>334</v>
      </c>
      <c r="B335">
        <v>25962</v>
      </c>
      <c r="C335">
        <f t="shared" si="22"/>
        <v>28425.6763645969</v>
      </c>
      <c r="D335">
        <f t="shared" si="23"/>
        <v>0.91332919108073307</v>
      </c>
    </row>
    <row r="336" spans="1:4">
      <c r="A336">
        <v>335</v>
      </c>
      <c r="B336">
        <v>25640</v>
      </c>
      <c r="C336">
        <f t="shared" si="22"/>
        <v>28442.320842421443</v>
      </c>
      <c r="D336">
        <f t="shared" si="23"/>
        <v>0.90147355210754077</v>
      </c>
    </row>
    <row r="337" spans="1:4">
      <c r="A337">
        <v>336</v>
      </c>
      <c r="B337">
        <v>25366</v>
      </c>
      <c r="C337">
        <f t="shared" si="22"/>
        <v>28458.937717314802</v>
      </c>
      <c r="D337">
        <f t="shared" si="23"/>
        <v>0.89131928436552232</v>
      </c>
    </row>
    <row r="338" spans="1:4">
      <c r="A338">
        <v>337</v>
      </c>
      <c r="B338">
        <v>25192</v>
      </c>
      <c r="C338">
        <f t="shared" si="22"/>
        <v>28475.526779741806</v>
      </c>
      <c r="D338">
        <f t="shared" si="23"/>
        <v>0.88468951583793742</v>
      </c>
    </row>
    <row r="339" spans="1:4">
      <c r="A339">
        <v>338</v>
      </c>
      <c r="B339">
        <v>25181</v>
      </c>
      <c r="C339">
        <f t="shared" si="22"/>
        <v>28492.087820731045</v>
      </c>
      <c r="D339">
        <f t="shared" si="23"/>
        <v>0.88378921749911654</v>
      </c>
    </row>
    <row r="340" spans="1:4">
      <c r="A340">
        <v>339</v>
      </c>
      <c r="B340">
        <v>25314</v>
      </c>
      <c r="C340">
        <f t="shared" si="22"/>
        <v>28508.620631874917</v>
      </c>
      <c r="D340">
        <f t="shared" si="23"/>
        <v>0.88794194313620789</v>
      </c>
    </row>
    <row r="341" spans="1:4">
      <c r="A341">
        <v>340</v>
      </c>
      <c r="B341">
        <v>25664</v>
      </c>
      <c r="C341">
        <f t="shared" si="22"/>
        <v>28525.125005329599</v>
      </c>
      <c r="D341">
        <f t="shared" si="23"/>
        <v>0.89969807302176485</v>
      </c>
    </row>
    <row r="342" spans="1:4">
      <c r="A342">
        <v>341</v>
      </c>
      <c r="B342">
        <v>26109</v>
      </c>
      <c r="C342">
        <f t="shared" si="22"/>
        <v>28541.600733815056</v>
      </c>
      <c r="D342">
        <f t="shared" si="23"/>
        <v>0.91476999638170264</v>
      </c>
    </row>
    <row r="343" spans="1:4">
      <c r="A343">
        <v>342</v>
      </c>
      <c r="B343">
        <v>26313</v>
      </c>
      <c r="C343">
        <f t="shared" si="22"/>
        <v>28558.047610615038</v>
      </c>
      <c r="D343">
        <f t="shared" si="23"/>
        <v>0.92138651629040103</v>
      </c>
    </row>
    <row r="344" spans="1:4">
      <c r="A344">
        <v>343</v>
      </c>
      <c r="B344">
        <v>26389</v>
      </c>
      <c r="C344">
        <f t="shared" si="22"/>
        <v>28574.465429577082</v>
      </c>
      <c r="D344">
        <f t="shared" si="23"/>
        <v>0.92351683936263829</v>
      </c>
    </row>
    <row r="345" spans="1:4">
      <c r="A345">
        <v>344</v>
      </c>
      <c r="B345">
        <v>26418</v>
      </c>
      <c r="C345">
        <f t="shared" si="22"/>
        <v>28590.853985112513</v>
      </c>
      <c r="D345">
        <f t="shared" si="23"/>
        <v>0.92400178091063889</v>
      </c>
    </row>
    <row r="346" spans="1:4">
      <c r="A346">
        <v>345</v>
      </c>
      <c r="B346">
        <v>26610</v>
      </c>
      <c r="C346">
        <f t="shared" si="22"/>
        <v>28607.213072196442</v>
      </c>
      <c r="D346">
        <f t="shared" si="23"/>
        <v>0.93018498281688444</v>
      </c>
    </row>
    <row r="347" spans="1:4">
      <c r="A347">
        <v>346</v>
      </c>
      <c r="B347">
        <v>26677</v>
      </c>
      <c r="C347">
        <f t="shared" si="22"/>
        <v>28623.542486367769</v>
      </c>
      <c r="D347">
        <f t="shared" si="23"/>
        <v>0.93199505311773245</v>
      </c>
    </row>
    <row r="348" spans="1:4">
      <c r="A348">
        <v>347</v>
      </c>
      <c r="B348">
        <v>26575</v>
      </c>
      <c r="C348">
        <f t="shared" si="22"/>
        <v>28639.842023729172</v>
      </c>
      <c r="D348">
        <f t="shared" si="23"/>
        <v>0.9279031629427853</v>
      </c>
    </row>
    <row r="349" spans="1:4">
      <c r="A349">
        <v>348</v>
      </c>
      <c r="B349">
        <v>26801</v>
      </c>
      <c r="C349">
        <f t="shared" si="22"/>
        <v>28656.111480947126</v>
      </c>
      <c r="D349">
        <f t="shared" si="23"/>
        <v>0.93526297236174027</v>
      </c>
    </row>
    <row r="350" spans="1:4">
      <c r="A350">
        <v>349</v>
      </c>
      <c r="B350">
        <v>26803</v>
      </c>
      <c r="C350">
        <f t="shared" si="22"/>
        <v>28672.350655251885</v>
      </c>
      <c r="D350">
        <f t="shared" si="23"/>
        <v>0.93480302059191378</v>
      </c>
    </row>
    <row r="351" spans="1:4">
      <c r="A351">
        <v>350</v>
      </c>
      <c r="B351">
        <v>26960</v>
      </c>
      <c r="C351">
        <f t="shared" si="22"/>
        <v>28688.559344437497</v>
      </c>
      <c r="D351">
        <f t="shared" si="23"/>
        <v>0.9397474329859421</v>
      </c>
    </row>
    <row r="352" spans="1:4">
      <c r="A352">
        <v>351</v>
      </c>
      <c r="B352">
        <v>26610</v>
      </c>
      <c r="C352">
        <f t="shared" si="22"/>
        <v>28704.737346861795</v>
      </c>
      <c r="D352">
        <f t="shared" si="23"/>
        <v>0.92702468162138374</v>
      </c>
    </row>
    <row r="353" spans="1:4">
      <c r="A353">
        <v>352</v>
      </c>
      <c r="B353">
        <v>26390</v>
      </c>
      <c r="C353">
        <f t="shared" si="22"/>
        <v>28720.884461446389</v>
      </c>
      <c r="D353">
        <f t="shared" si="23"/>
        <v>0.91884356957825364</v>
      </c>
    </row>
    <row r="354" spans="1:4">
      <c r="A354">
        <v>353</v>
      </c>
      <c r="B354">
        <v>26116</v>
      </c>
      <c r="C354">
        <f t="shared" si="22"/>
        <v>28737.000487676687</v>
      </c>
      <c r="D354">
        <f t="shared" si="23"/>
        <v>0.90879352600489205</v>
      </c>
    </row>
    <row r="355" spans="1:4">
      <c r="A355">
        <v>354</v>
      </c>
      <c r="B355">
        <v>25740</v>
      </c>
      <c r="C355">
        <f t="shared" si="22"/>
        <v>28753.085225601877</v>
      </c>
      <c r="D355">
        <f t="shared" si="23"/>
        <v>0.89520828106060035</v>
      </c>
    </row>
    <row r="356" spans="1:4">
      <c r="A356">
        <v>355</v>
      </c>
      <c r="B356">
        <v>24869</v>
      </c>
      <c r="C356">
        <f t="shared" si="22"/>
        <v>28769.138475834945</v>
      </c>
      <c r="D356">
        <f t="shared" si="23"/>
        <v>0.86443325443648855</v>
      </c>
    </row>
    <row r="357" spans="1:4">
      <c r="A357">
        <v>356</v>
      </c>
      <c r="B357">
        <v>24069</v>
      </c>
      <c r="C357">
        <f t="shared" si="22"/>
        <v>28785.16003955264</v>
      </c>
      <c r="D357">
        <f t="shared" si="23"/>
        <v>0.83616002019539459</v>
      </c>
    </row>
    <row r="358" spans="1:4">
      <c r="A358">
        <v>357</v>
      </c>
      <c r="B358">
        <v>23536</v>
      </c>
      <c r="C358">
        <f t="shared" si="22"/>
        <v>28801.149718495522</v>
      </c>
      <c r="D358">
        <f t="shared" si="23"/>
        <v>0.81718959937511282</v>
      </c>
    </row>
    <row r="359" spans="1:4">
      <c r="A359">
        <v>358</v>
      </c>
      <c r="B359">
        <v>23188</v>
      </c>
      <c r="C359">
        <f t="shared" si="22"/>
        <v>28817.107314967936</v>
      </c>
      <c r="D359">
        <f t="shared" si="23"/>
        <v>0.8046609170919764</v>
      </c>
    </row>
    <row r="360" spans="1:4">
      <c r="A360">
        <v>359</v>
      </c>
      <c r="B360">
        <v>22748</v>
      </c>
      <c r="C360">
        <f t="shared" si="22"/>
        <v>28833.032631837988</v>
      </c>
      <c r="D360">
        <f t="shared" si="23"/>
        <v>0.78895620486626239</v>
      </c>
    </row>
    <row r="361" spans="1:4">
      <c r="A361">
        <v>360</v>
      </c>
      <c r="B361">
        <v>22365</v>
      </c>
      <c r="C361">
        <f t="shared" si="22"/>
        <v>28848.925472537598</v>
      </c>
      <c r="D361">
        <f t="shared" si="23"/>
        <v>0.7752455120482773</v>
      </c>
    </row>
    <row r="362" spans="1:4">
      <c r="A362">
        <v>361</v>
      </c>
      <c r="B362">
        <v>22369</v>
      </c>
      <c r="C362">
        <f t="shared" si="22"/>
        <v>28864.785641062466</v>
      </c>
      <c r="D362">
        <f t="shared" si="23"/>
        <v>0.77495811949416693</v>
      </c>
    </row>
    <row r="363" spans="1:4">
      <c r="A363">
        <v>362</v>
      </c>
      <c r="B363">
        <v>23353</v>
      </c>
      <c r="C363">
        <f t="shared" si="22"/>
        <v>28880.612941972067</v>
      </c>
      <c r="D363">
        <f t="shared" si="23"/>
        <v>0.80860472203002276</v>
      </c>
    </row>
    <row r="364" spans="1:4">
      <c r="A364">
        <v>363</v>
      </c>
      <c r="B364">
        <v>24692</v>
      </c>
      <c r="C364">
        <f t="shared" si="22"/>
        <v>28896.40718038968</v>
      </c>
      <c r="D364">
        <f t="shared" si="23"/>
        <v>0.85450069435473042</v>
      </c>
    </row>
    <row r="365" spans="1:4">
      <c r="A365">
        <v>364</v>
      </c>
      <c r="B365">
        <v>25712</v>
      </c>
      <c r="C365">
        <f t="shared" si="22"/>
        <v>28912.168162002356</v>
      </c>
      <c r="D365">
        <f t="shared" si="23"/>
        <v>0.88931414122693997</v>
      </c>
    </row>
    <row r="366" spans="1:4">
      <c r="A366">
        <v>365</v>
      </c>
      <c r="B366">
        <v>26145</v>
      </c>
      <c r="C366">
        <f t="shared" si="22"/>
        <v>28927.895693060942</v>
      </c>
      <c r="D366">
        <f t="shared" si="23"/>
        <v>0.90379888939766584</v>
      </c>
    </row>
    <row r="367" spans="1:4">
      <c r="A367">
        <v>366</v>
      </c>
      <c r="B367">
        <v>26144</v>
      </c>
      <c r="C367">
        <f t="shared" si="22"/>
        <v>28943.589580380067</v>
      </c>
      <c r="D367">
        <f t="shared" si="23"/>
        <v>0.90327427865831056</v>
      </c>
    </row>
    <row r="368" spans="1:4">
      <c r="A368">
        <v>367</v>
      </c>
      <c r="B368">
        <v>25759</v>
      </c>
      <c r="C368">
        <f t="shared" si="22"/>
        <v>28959.249631338149</v>
      </c>
      <c r="D368">
        <f t="shared" si="23"/>
        <v>0.88949127922586058</v>
      </c>
    </row>
    <row r="369" spans="1:4">
      <c r="A369">
        <v>368</v>
      </c>
      <c r="B369">
        <v>25617</v>
      </c>
      <c r="C369">
        <f t="shared" si="22"/>
        <v>28974.875653877389</v>
      </c>
      <c r="D369">
        <f t="shared" si="23"/>
        <v>0.8841107829421162</v>
      </c>
    </row>
    <row r="370" spans="1:4">
      <c r="A370">
        <v>369</v>
      </c>
      <c r="B370">
        <v>26007</v>
      </c>
      <c r="C370">
        <f t="shared" si="22"/>
        <v>28990.467456503779</v>
      </c>
      <c r="D370">
        <f t="shared" si="23"/>
        <v>0.89708798380087995</v>
      </c>
    </row>
    <row r="371" spans="1:4">
      <c r="A371">
        <v>370</v>
      </c>
      <c r="B371">
        <v>26569</v>
      </c>
      <c r="C371">
        <f t="shared" si="22"/>
        <v>29006.024848287096</v>
      </c>
      <c r="D371">
        <f t="shared" si="23"/>
        <v>0.91598211540417229</v>
      </c>
    </row>
    <row r="372" spans="1:4">
      <c r="A372">
        <v>371</v>
      </c>
      <c r="B372">
        <v>27141</v>
      </c>
      <c r="C372">
        <f t="shared" si="22"/>
        <v>29021.547638860906</v>
      </c>
      <c r="D372">
        <f t="shared" si="23"/>
        <v>0.93520167627646489</v>
      </c>
    </row>
    <row r="373" spans="1:4">
      <c r="A373">
        <v>372</v>
      </c>
      <c r="B373">
        <v>27665</v>
      </c>
      <c r="C373">
        <f t="shared" si="22"/>
        <v>29037.035638422556</v>
      </c>
      <c r="D373">
        <f t="shared" si="23"/>
        <v>0.95274877038043637</v>
      </c>
    </row>
    <row r="374" spans="1:4">
      <c r="A374">
        <v>373</v>
      </c>
      <c r="B374">
        <v>28050</v>
      </c>
      <c r="C374">
        <f t="shared" si="22"/>
        <v>29052.488657733178</v>
      </c>
      <c r="D374">
        <f t="shared" si="23"/>
        <v>0.96549388007535331</v>
      </c>
    </row>
    <row r="375" spans="1:4">
      <c r="A375">
        <v>374</v>
      </c>
      <c r="B375">
        <v>28143</v>
      </c>
      <c r="C375">
        <f t="shared" si="22"/>
        <v>29067.906508117707</v>
      </c>
      <c r="D375">
        <f t="shared" si="23"/>
        <v>0.96818117920327662</v>
      </c>
    </row>
    <row r="376" spans="1:4">
      <c r="A376">
        <v>375</v>
      </c>
      <c r="B376">
        <v>28193</v>
      </c>
      <c r="C376">
        <f t="shared" si="22"/>
        <v>29083.289001464844</v>
      </c>
      <c r="D376">
        <f t="shared" si="23"/>
        <v>0.96938829712760466</v>
      </c>
    </row>
    <row r="377" spans="1:4">
      <c r="A377">
        <v>376</v>
      </c>
      <c r="B377">
        <v>28038</v>
      </c>
      <c r="C377">
        <f t="shared" si="22"/>
        <v>29098.635950227086</v>
      </c>
      <c r="D377">
        <f t="shared" si="23"/>
        <v>0.96355032063903978</v>
      </c>
    </row>
    <row r="378" spans="1:4">
      <c r="A378">
        <v>377</v>
      </c>
      <c r="B378">
        <v>27678</v>
      </c>
      <c r="C378">
        <f t="shared" si="22"/>
        <v>29113.94716742072</v>
      </c>
      <c r="D378">
        <f t="shared" si="23"/>
        <v>0.95067837558530766</v>
      </c>
    </row>
    <row r="379" spans="1:4">
      <c r="A379">
        <v>378</v>
      </c>
      <c r="B379">
        <v>27468</v>
      </c>
      <c r="C379">
        <f t="shared" si="22"/>
        <v>29129.222466625815</v>
      </c>
      <c r="D379">
        <f t="shared" si="23"/>
        <v>0.94297058671823031</v>
      </c>
    </row>
    <row r="380" spans="1:4">
      <c r="A380">
        <v>379</v>
      </c>
      <c r="B380">
        <v>27176</v>
      </c>
      <c r="C380">
        <f t="shared" si="22"/>
        <v>29144.461661986228</v>
      </c>
      <c r="D380">
        <f t="shared" si="23"/>
        <v>0.93245846552884737</v>
      </c>
    </row>
    <row r="381" spans="1:4">
      <c r="A381">
        <v>380</v>
      </c>
      <c r="B381">
        <v>27077</v>
      </c>
      <c r="C381">
        <f t="shared" si="22"/>
        <v>29159.664568209599</v>
      </c>
      <c r="D381">
        <f t="shared" si="23"/>
        <v>0.92857721105337554</v>
      </c>
    </row>
    <row r="382" spans="1:4">
      <c r="A382">
        <v>381</v>
      </c>
      <c r="B382">
        <v>26783</v>
      </c>
      <c r="C382">
        <f t="shared" si="22"/>
        <v>29174.831000567359</v>
      </c>
      <c r="D382">
        <f t="shared" si="23"/>
        <v>0.91801731428981215</v>
      </c>
    </row>
    <row r="383" spans="1:4">
      <c r="A383">
        <v>382</v>
      </c>
      <c r="B383">
        <v>27020</v>
      </c>
      <c r="C383">
        <f t="shared" si="22"/>
        <v>29189.960774894731</v>
      </c>
      <c r="D383">
        <f t="shared" si="23"/>
        <v>0.92566071631171776</v>
      </c>
    </row>
    <row r="384" spans="1:4">
      <c r="A384">
        <v>383</v>
      </c>
      <c r="B384">
        <v>27325</v>
      </c>
      <c r="C384">
        <f t="shared" si="22"/>
        <v>29205.053707590709</v>
      </c>
      <c r="D384">
        <f t="shared" si="23"/>
        <v>0.9356257404484053</v>
      </c>
    </row>
    <row r="385" spans="1:4">
      <c r="A385">
        <v>384</v>
      </c>
      <c r="B385">
        <v>27840</v>
      </c>
      <c r="C385">
        <f t="shared" si="22"/>
        <v>29220.109615618087</v>
      </c>
      <c r="D385">
        <f t="shared" si="23"/>
        <v>0.95276849971567457</v>
      </c>
    </row>
    <row r="386" spans="1:4">
      <c r="A386">
        <v>385</v>
      </c>
      <c r="B386">
        <v>28462</v>
      </c>
      <c r="C386">
        <f t="shared" ref="C386:C449" si="24" xml:space="preserve"> 0.00000002349111*A386*A386*A386*A386 - 0.0000664476*A386*A386*A386 + 0.03716061*A386*A386 + 10.57172*A386 + 22932.71</f>
        <v>29235.12831650344</v>
      </c>
      <c r="D386">
        <f t="shared" ref="D386:D449" si="25">B386/C386</f>
        <v>0.97355481706345026</v>
      </c>
    </row>
    <row r="387" spans="1:4">
      <c r="A387">
        <v>386</v>
      </c>
      <c r="B387">
        <v>28848</v>
      </c>
      <c r="C387">
        <f t="shared" si="24"/>
        <v>29250.109628337137</v>
      </c>
      <c r="D387">
        <f t="shared" si="25"/>
        <v>0.98625271380358936</v>
      </c>
    </row>
    <row r="388" spans="1:4">
      <c r="A388">
        <v>387</v>
      </c>
      <c r="B388">
        <v>28873</v>
      </c>
      <c r="C388">
        <f t="shared" si="24"/>
        <v>29265.053369773319</v>
      </c>
      <c r="D388">
        <f t="shared" si="25"/>
        <v>0.986603360505802</v>
      </c>
    </row>
    <row r="389" spans="1:4">
      <c r="A389">
        <v>388</v>
      </c>
      <c r="B389">
        <v>28503</v>
      </c>
      <c r="C389">
        <f t="shared" si="24"/>
        <v>29279.959360029927</v>
      </c>
      <c r="D389">
        <f t="shared" si="25"/>
        <v>0.97346446590050417</v>
      </c>
    </row>
    <row r="390" spans="1:4">
      <c r="A390">
        <v>389</v>
      </c>
      <c r="B390">
        <v>27829</v>
      </c>
      <c r="C390">
        <f t="shared" si="24"/>
        <v>29294.827418888683</v>
      </c>
      <c r="D390">
        <f t="shared" si="25"/>
        <v>0.94996292697244056</v>
      </c>
    </row>
    <row r="391" spans="1:4">
      <c r="A391">
        <v>390</v>
      </c>
      <c r="B391">
        <v>27041</v>
      </c>
      <c r="C391">
        <f t="shared" si="24"/>
        <v>29309.657366695101</v>
      </c>
      <c r="D391">
        <f t="shared" si="25"/>
        <v>0.92259693321174741</v>
      </c>
    </row>
    <row r="392" spans="1:4">
      <c r="A392">
        <v>391</v>
      </c>
      <c r="B392">
        <v>26500</v>
      </c>
      <c r="C392">
        <f t="shared" si="24"/>
        <v>29324.449024358466</v>
      </c>
      <c r="D392">
        <f t="shared" si="25"/>
        <v>0.90368279308462618</v>
      </c>
    </row>
    <row r="393" spans="1:4">
      <c r="A393">
        <v>392</v>
      </c>
      <c r="B393">
        <v>26306</v>
      </c>
      <c r="C393">
        <f t="shared" si="24"/>
        <v>29339.202213351873</v>
      </c>
      <c r="D393">
        <f t="shared" si="25"/>
        <v>0.89661606367839464</v>
      </c>
    </row>
    <row r="394" spans="1:4">
      <c r="A394">
        <v>393</v>
      </c>
      <c r="B394">
        <v>26519</v>
      </c>
      <c r="C394">
        <f t="shared" si="24"/>
        <v>29353.916755712184</v>
      </c>
      <c r="D394">
        <f t="shared" si="25"/>
        <v>0.90342287949833755</v>
      </c>
    </row>
    <row r="395" spans="1:4">
      <c r="A395">
        <v>394</v>
      </c>
      <c r="B395">
        <v>26925</v>
      </c>
      <c r="C395">
        <f t="shared" si="24"/>
        <v>29368.592474040062</v>
      </c>
      <c r="D395">
        <f t="shared" si="25"/>
        <v>0.91679572399664577</v>
      </c>
    </row>
    <row r="396" spans="1:4">
      <c r="A396">
        <v>395</v>
      </c>
      <c r="B396">
        <v>26951</v>
      </c>
      <c r="C396">
        <f t="shared" si="24"/>
        <v>29383.229191499944</v>
      </c>
      <c r="D396">
        <f t="shared" si="25"/>
        <v>0.91722389749444067</v>
      </c>
    </row>
    <row r="397" spans="1:4">
      <c r="A397">
        <v>396</v>
      </c>
      <c r="B397">
        <v>26638</v>
      </c>
      <c r="C397">
        <f t="shared" si="24"/>
        <v>29397.82673182006</v>
      </c>
      <c r="D397">
        <f t="shared" si="25"/>
        <v>0.90612140288476373</v>
      </c>
    </row>
    <row r="398" spans="1:4">
      <c r="A398">
        <v>397</v>
      </c>
      <c r="B398">
        <v>25980</v>
      </c>
      <c r="C398">
        <f t="shared" si="24"/>
        <v>29412.384919292424</v>
      </c>
      <c r="D398">
        <f t="shared" si="25"/>
        <v>0.88330137359786065</v>
      </c>
    </row>
    <row r="399" spans="1:4">
      <c r="A399">
        <v>398</v>
      </c>
      <c r="B399">
        <v>25374</v>
      </c>
      <c r="C399">
        <f t="shared" si="24"/>
        <v>29426.90357877285</v>
      </c>
      <c r="D399">
        <f t="shared" si="25"/>
        <v>0.86227216982161792</v>
      </c>
    </row>
    <row r="400" spans="1:4">
      <c r="A400">
        <v>399</v>
      </c>
      <c r="B400">
        <v>23938</v>
      </c>
      <c r="C400">
        <f t="shared" si="24"/>
        <v>29441.382535680914</v>
      </c>
      <c r="D400">
        <f t="shared" si="25"/>
        <v>0.81307323020543631</v>
      </c>
    </row>
    <row r="401" spans="1:7">
      <c r="A401">
        <v>400</v>
      </c>
      <c r="B401">
        <v>22679</v>
      </c>
      <c r="C401">
        <f t="shared" si="24"/>
        <v>29455.821616000001</v>
      </c>
      <c r="D401">
        <f t="shared" si="25"/>
        <v>0.7699326909177463</v>
      </c>
    </row>
    <row r="402" spans="1:7" ht="17.25">
      <c r="A402">
        <v>401</v>
      </c>
      <c r="B402">
        <v>21418</v>
      </c>
      <c r="C402">
        <f t="shared" si="24"/>
        <v>29470.220646277266</v>
      </c>
      <c r="D402">
        <f t="shared" si="25"/>
        <v>0.72676754806400001</v>
      </c>
      <c r="F402">
        <v>402</v>
      </c>
      <c r="G402" t="s">
        <v>65</v>
      </c>
    </row>
    <row r="403" spans="1:7" ht="17.25">
      <c r="A403">
        <v>402</v>
      </c>
      <c r="B403">
        <v>20664</v>
      </c>
      <c r="C403">
        <f t="shared" si="24"/>
        <v>29484.579453623664</v>
      </c>
      <c r="D403">
        <f t="shared" si="25"/>
        <v>0.7008409271192908</v>
      </c>
      <c r="F403">
        <v>402</v>
      </c>
      <c r="G403" t="s">
        <v>66</v>
      </c>
    </row>
    <row r="404" spans="1:7">
      <c r="A404">
        <v>403</v>
      </c>
      <c r="B404">
        <v>20439</v>
      </c>
      <c r="C404">
        <f t="shared" si="24"/>
        <v>29498.897865713931</v>
      </c>
      <c r="D404">
        <f t="shared" si="25"/>
        <v>0.69287334371077991</v>
      </c>
    </row>
    <row r="405" spans="1:7">
      <c r="A405">
        <v>404</v>
      </c>
      <c r="B405">
        <v>21235</v>
      </c>
      <c r="C405">
        <f t="shared" si="24"/>
        <v>29513.175710786585</v>
      </c>
      <c r="D405">
        <f t="shared" si="25"/>
        <v>0.7195091510344972</v>
      </c>
    </row>
    <row r="406" spans="1:7">
      <c r="A406">
        <v>405</v>
      </c>
      <c r="B406">
        <v>22040</v>
      </c>
      <c r="C406">
        <f t="shared" si="24"/>
        <v>29527.412817643941</v>
      </c>
      <c r="D406">
        <f t="shared" si="25"/>
        <v>0.7464250300598676</v>
      </c>
    </row>
    <row r="407" spans="1:7">
      <c r="A407">
        <v>406</v>
      </c>
      <c r="B407">
        <v>23165</v>
      </c>
      <c r="C407">
        <f t="shared" si="24"/>
        <v>29541.609015652095</v>
      </c>
      <c r="D407">
        <f t="shared" si="25"/>
        <v>0.78414821574973925</v>
      </c>
    </row>
    <row r="408" spans="1:7">
      <c r="A408">
        <v>407</v>
      </c>
      <c r="B408">
        <v>24123</v>
      </c>
      <c r="C408">
        <f t="shared" si="24"/>
        <v>29555.764134740923</v>
      </c>
      <c r="D408">
        <f t="shared" si="25"/>
        <v>0.81618596934345355</v>
      </c>
    </row>
    <row r="409" spans="1:7">
      <c r="A409">
        <v>408</v>
      </c>
      <c r="B409">
        <v>25079</v>
      </c>
      <c r="C409">
        <f t="shared" si="24"/>
        <v>29569.878005404098</v>
      </c>
      <c r="D409">
        <f t="shared" si="25"/>
        <v>0.84812659678259883</v>
      </c>
    </row>
    <row r="410" spans="1:7">
      <c r="A410">
        <v>409</v>
      </c>
      <c r="B410">
        <v>25753</v>
      </c>
      <c r="C410">
        <f t="shared" si="24"/>
        <v>29583.950458699073</v>
      </c>
      <c r="D410">
        <f t="shared" si="25"/>
        <v>0.87050578441012116</v>
      </c>
    </row>
    <row r="411" spans="1:7">
      <c r="A411">
        <v>410</v>
      </c>
      <c r="B411">
        <v>26509</v>
      </c>
      <c r="C411">
        <f t="shared" si="24"/>
        <v>29597.9813262471</v>
      </c>
      <c r="D411">
        <f t="shared" si="25"/>
        <v>0.89563540525962049</v>
      </c>
    </row>
    <row r="412" spans="1:7">
      <c r="A412">
        <v>411</v>
      </c>
      <c r="B412">
        <v>26744</v>
      </c>
      <c r="C412">
        <f t="shared" si="24"/>
        <v>29611.970440233199</v>
      </c>
      <c r="D412">
        <f t="shared" si="25"/>
        <v>0.90314827424194155</v>
      </c>
    </row>
    <row r="413" spans="1:7">
      <c r="A413">
        <v>412</v>
      </c>
      <c r="B413">
        <v>26908</v>
      </c>
      <c r="C413">
        <f t="shared" si="24"/>
        <v>29625.917633406185</v>
      </c>
      <c r="D413">
        <f t="shared" si="25"/>
        <v>0.9082587865450128</v>
      </c>
    </row>
    <row r="414" spans="1:7">
      <c r="A414">
        <v>413</v>
      </c>
      <c r="B414">
        <v>26890</v>
      </c>
      <c r="C414">
        <f t="shared" si="24"/>
        <v>29639.822739078663</v>
      </c>
      <c r="D414">
        <f t="shared" si="25"/>
        <v>0.90722539863731522</v>
      </c>
    </row>
    <row r="415" spans="1:7">
      <c r="A415">
        <v>414</v>
      </c>
      <c r="B415">
        <v>27123</v>
      </c>
      <c r="C415">
        <f t="shared" si="24"/>
        <v>29653.685591127025</v>
      </c>
      <c r="D415">
        <f t="shared" si="25"/>
        <v>0.91465864897804616</v>
      </c>
    </row>
    <row r="416" spans="1:7">
      <c r="A416">
        <v>415</v>
      </c>
      <c r="B416">
        <v>27382</v>
      </c>
      <c r="C416">
        <f t="shared" si="24"/>
        <v>29667.506023991442</v>
      </c>
      <c r="D416">
        <f t="shared" si="25"/>
        <v>0.92296265071478523</v>
      </c>
    </row>
    <row r="417" spans="1:4">
      <c r="A417">
        <v>416</v>
      </c>
      <c r="B417">
        <v>27568</v>
      </c>
      <c r="C417">
        <f t="shared" si="24"/>
        <v>29681.283872675878</v>
      </c>
      <c r="D417">
        <f t="shared" si="25"/>
        <v>0.92880079306066221</v>
      </c>
    </row>
    <row r="418" spans="1:4">
      <c r="A418">
        <v>417</v>
      </c>
      <c r="B418">
        <v>27247</v>
      </c>
      <c r="C418">
        <f t="shared" si="24"/>
        <v>29695.018972748083</v>
      </c>
      <c r="D418">
        <f t="shared" si="25"/>
        <v>0.91756129285538779</v>
      </c>
    </row>
    <row r="419" spans="1:4">
      <c r="A419">
        <v>418</v>
      </c>
      <c r="B419">
        <v>26935</v>
      </c>
      <c r="C419">
        <f t="shared" si="24"/>
        <v>29708.711160339593</v>
      </c>
      <c r="D419">
        <f t="shared" si="25"/>
        <v>0.90663643584638465</v>
      </c>
    </row>
    <row r="420" spans="1:4">
      <c r="A420">
        <v>419</v>
      </c>
      <c r="B420">
        <v>26486</v>
      </c>
      <c r="C420">
        <f t="shared" si="24"/>
        <v>29722.360272145728</v>
      </c>
      <c r="D420">
        <f t="shared" si="25"/>
        <v>0.89111361808036893</v>
      </c>
    </row>
    <row r="421" spans="1:4">
      <c r="A421">
        <v>420</v>
      </c>
      <c r="B421">
        <v>26843</v>
      </c>
      <c r="C421">
        <f t="shared" si="24"/>
        <v>29735.966145425598</v>
      </c>
      <c r="D421">
        <f t="shared" si="25"/>
        <v>0.90271154697724076</v>
      </c>
    </row>
    <row r="422" spans="1:4">
      <c r="A422">
        <v>421</v>
      </c>
      <c r="B422">
        <v>27259</v>
      </c>
      <c r="C422">
        <f t="shared" si="24"/>
        <v>29749.528618002099</v>
      </c>
      <c r="D422">
        <f t="shared" si="25"/>
        <v>0.91628342586594713</v>
      </c>
    </row>
    <row r="423" spans="1:4">
      <c r="A423">
        <v>422</v>
      </c>
      <c r="B423">
        <v>27725</v>
      </c>
      <c r="C423">
        <f t="shared" si="24"/>
        <v>29763.047528261912</v>
      </c>
      <c r="D423">
        <f t="shared" si="25"/>
        <v>0.93152423231100057</v>
      </c>
    </row>
    <row r="424" spans="1:4">
      <c r="A424">
        <v>423</v>
      </c>
      <c r="B424">
        <v>27711</v>
      </c>
      <c r="C424">
        <f t="shared" si="24"/>
        <v>29776.522715155505</v>
      </c>
      <c r="D424">
        <f t="shared" si="25"/>
        <v>0.93063250753237869</v>
      </c>
    </row>
    <row r="425" spans="1:4">
      <c r="A425">
        <v>424</v>
      </c>
      <c r="B425">
        <v>27614</v>
      </c>
      <c r="C425">
        <f t="shared" si="24"/>
        <v>29789.954018197135</v>
      </c>
      <c r="D425">
        <f t="shared" si="25"/>
        <v>0.92695678493266698</v>
      </c>
    </row>
    <row r="426" spans="1:4">
      <c r="A426">
        <v>425</v>
      </c>
      <c r="B426">
        <v>27086</v>
      </c>
      <c r="C426">
        <f t="shared" si="24"/>
        <v>29803.341277464842</v>
      </c>
      <c r="D426">
        <f t="shared" si="25"/>
        <v>0.90882427402462085</v>
      </c>
    </row>
    <row r="427" spans="1:4">
      <c r="A427">
        <v>426</v>
      </c>
      <c r="B427">
        <v>26595</v>
      </c>
      <c r="C427">
        <f t="shared" si="24"/>
        <v>29816.684333600457</v>
      </c>
      <c r="D427">
        <f t="shared" si="25"/>
        <v>0.89195028201140603</v>
      </c>
    </row>
    <row r="428" spans="1:4">
      <c r="A428">
        <v>427</v>
      </c>
      <c r="B428">
        <v>26171</v>
      </c>
      <c r="C428">
        <f t="shared" si="24"/>
        <v>29829.983027809594</v>
      </c>
      <c r="D428">
        <f t="shared" si="25"/>
        <v>0.87733874925780431</v>
      </c>
    </row>
    <row r="429" spans="1:4">
      <c r="A429">
        <v>428</v>
      </c>
      <c r="B429">
        <v>26076</v>
      </c>
      <c r="C429">
        <f t="shared" si="24"/>
        <v>29843.237201861659</v>
      </c>
      <c r="D429">
        <f t="shared" si="25"/>
        <v>0.87376579905256879</v>
      </c>
    </row>
    <row r="430" spans="1:4">
      <c r="A430">
        <v>429</v>
      </c>
      <c r="B430">
        <v>26208</v>
      </c>
      <c r="C430">
        <f t="shared" si="24"/>
        <v>29856.446698089832</v>
      </c>
      <c r="D430">
        <f t="shared" si="25"/>
        <v>0.8778003713910385</v>
      </c>
    </row>
    <row r="431" spans="1:4">
      <c r="A431">
        <v>430</v>
      </c>
      <c r="B431">
        <v>26766</v>
      </c>
      <c r="C431">
        <f t="shared" si="24"/>
        <v>29869.6113593911</v>
      </c>
      <c r="D431">
        <f t="shared" si="25"/>
        <v>0.89609468559706207</v>
      </c>
    </row>
    <row r="432" spans="1:4">
      <c r="A432">
        <v>431</v>
      </c>
      <c r="B432">
        <v>27409</v>
      </c>
      <c r="C432">
        <f t="shared" si="24"/>
        <v>29882.731029226212</v>
      </c>
      <c r="D432">
        <f t="shared" si="25"/>
        <v>0.91721870980243314</v>
      </c>
    </row>
    <row r="433" spans="1:4">
      <c r="A433">
        <v>432</v>
      </c>
      <c r="B433">
        <v>27902</v>
      </c>
      <c r="C433">
        <f t="shared" si="24"/>
        <v>29895.805551619724</v>
      </c>
      <c r="D433">
        <f t="shared" si="25"/>
        <v>0.93330818438134711</v>
      </c>
    </row>
    <row r="434" spans="1:4">
      <c r="A434">
        <v>433</v>
      </c>
      <c r="B434">
        <v>27877</v>
      </c>
      <c r="C434">
        <f t="shared" si="24"/>
        <v>29908.834771159971</v>
      </c>
      <c r="D434">
        <f t="shared" si="25"/>
        <v>0.93206573286100747</v>
      </c>
    </row>
    <row r="435" spans="1:4">
      <c r="A435">
        <v>434</v>
      </c>
      <c r="B435">
        <v>27568</v>
      </c>
      <c r="C435">
        <f t="shared" si="24"/>
        <v>29921.818532999074</v>
      </c>
      <c r="D435">
        <f t="shared" si="25"/>
        <v>0.92133437576986899</v>
      </c>
    </row>
    <row r="436" spans="1:4">
      <c r="A436">
        <v>435</v>
      </c>
      <c r="B436">
        <v>27371</v>
      </c>
      <c r="C436">
        <f t="shared" si="24"/>
        <v>29934.756682852942</v>
      </c>
      <c r="D436">
        <f t="shared" si="25"/>
        <v>0.91435518551178008</v>
      </c>
    </row>
    <row r="437" spans="1:4">
      <c r="A437">
        <v>436</v>
      </c>
      <c r="B437">
        <v>27749</v>
      </c>
      <c r="C437">
        <f t="shared" si="24"/>
        <v>29947.649067001268</v>
      </c>
      <c r="D437">
        <f t="shared" si="25"/>
        <v>0.92658358383717287</v>
      </c>
    </row>
    <row r="438" spans="1:4">
      <c r="A438">
        <v>437</v>
      </c>
      <c r="B438">
        <v>27886</v>
      </c>
      <c r="C438">
        <f t="shared" si="24"/>
        <v>29960.495532287532</v>
      </c>
      <c r="D438">
        <f t="shared" si="25"/>
        <v>0.93075897125760454</v>
      </c>
    </row>
    <row r="439" spans="1:4">
      <c r="A439">
        <v>438</v>
      </c>
      <c r="B439">
        <v>28023</v>
      </c>
      <c r="C439">
        <f t="shared" si="24"/>
        <v>29973.295926119012</v>
      </c>
      <c r="D439">
        <f t="shared" si="25"/>
        <v>0.93493221663288939</v>
      </c>
    </row>
    <row r="440" spans="1:4">
      <c r="A440">
        <v>439</v>
      </c>
      <c r="B440">
        <v>28403</v>
      </c>
      <c r="C440">
        <f t="shared" si="24"/>
        <v>29986.050096466752</v>
      </c>
      <c r="D440">
        <f t="shared" si="25"/>
        <v>0.94720711492930898</v>
      </c>
    </row>
    <row r="441" spans="1:4">
      <c r="A441">
        <v>440</v>
      </c>
      <c r="B441">
        <v>29022</v>
      </c>
      <c r="C441">
        <f t="shared" si="24"/>
        <v>29998.7578918656</v>
      </c>
      <c r="D441">
        <f t="shared" si="25"/>
        <v>0.96744005550541623</v>
      </c>
    </row>
    <row r="442" spans="1:4">
      <c r="A442">
        <v>441</v>
      </c>
      <c r="B442">
        <v>29794</v>
      </c>
      <c r="C442">
        <f t="shared" si="24"/>
        <v>30011.419161414178</v>
      </c>
      <c r="D442">
        <f t="shared" si="25"/>
        <v>0.99275545217489369</v>
      </c>
    </row>
    <row r="443" spans="1:4">
      <c r="A443">
        <v>442</v>
      </c>
      <c r="B443">
        <v>30526</v>
      </c>
      <c r="C443">
        <f t="shared" si="24"/>
        <v>30024.033754774908</v>
      </c>
      <c r="D443">
        <f t="shared" si="25"/>
        <v>1.0167188143113934</v>
      </c>
    </row>
    <row r="444" spans="1:4">
      <c r="A444">
        <v>443</v>
      </c>
      <c r="B444">
        <v>30921</v>
      </c>
      <c r="C444">
        <f t="shared" si="24"/>
        <v>30036.601522173991</v>
      </c>
      <c r="D444">
        <f t="shared" si="25"/>
        <v>1.0294440260551154</v>
      </c>
    </row>
    <row r="445" spans="1:4">
      <c r="A445">
        <v>444</v>
      </c>
      <c r="B445">
        <v>30480</v>
      </c>
      <c r="C445">
        <f t="shared" si="24"/>
        <v>30049.122314401407</v>
      </c>
      <c r="D445">
        <f t="shared" si="25"/>
        <v>1.0143391105101291</v>
      </c>
    </row>
    <row r="446" spans="1:4">
      <c r="A446">
        <v>445</v>
      </c>
      <c r="B446">
        <v>29497</v>
      </c>
      <c r="C446">
        <f t="shared" si="24"/>
        <v>30061.595982810941</v>
      </c>
      <c r="D446">
        <f t="shared" si="25"/>
        <v>0.98121869566959208</v>
      </c>
    </row>
    <row r="447" spans="1:4">
      <c r="A447">
        <v>446</v>
      </c>
      <c r="B447">
        <v>28201</v>
      </c>
      <c r="C447">
        <f t="shared" si="24"/>
        <v>30074.022379320151</v>
      </c>
      <c r="D447">
        <f t="shared" si="25"/>
        <v>0.93771959215511858</v>
      </c>
    </row>
    <row r="448" spans="1:4">
      <c r="A448">
        <v>447</v>
      </c>
      <c r="B448">
        <v>26456</v>
      </c>
      <c r="C448">
        <f t="shared" si="24"/>
        <v>30086.401356410381</v>
      </c>
      <c r="D448">
        <f t="shared" si="25"/>
        <v>0.87933414457236614</v>
      </c>
    </row>
    <row r="449" spans="1:7">
      <c r="A449">
        <v>448</v>
      </c>
      <c r="B449">
        <v>24281</v>
      </c>
      <c r="C449">
        <f t="shared" si="24"/>
        <v>30098.732767126774</v>
      </c>
      <c r="D449">
        <f t="shared" si="25"/>
        <v>0.80671170403955395</v>
      </c>
    </row>
    <row r="450" spans="1:7">
      <c r="A450">
        <v>449</v>
      </c>
      <c r="B450">
        <v>22061</v>
      </c>
      <c r="C450">
        <f t="shared" ref="C450:C513" si="26" xml:space="preserve"> 0.00000002349111*A450*A450*A450*A450 - 0.0000664476*A450*A450*A450 + 0.03716061*A450*A450 + 10.57172*A450 + 22932.71</f>
        <v>30111.016465078243</v>
      </c>
      <c r="D450">
        <f t="shared" ref="D450:D513" si="27">B450/C450</f>
        <v>0.73265543943312628</v>
      </c>
    </row>
    <row r="451" spans="1:7" ht="17.25">
      <c r="A451">
        <v>450</v>
      </c>
      <c r="B451">
        <v>20869</v>
      </c>
      <c r="C451">
        <f t="shared" si="26"/>
        <v>30123.252304437498</v>
      </c>
      <c r="D451">
        <f t="shared" si="27"/>
        <v>0.69278707986407428</v>
      </c>
      <c r="F451">
        <v>451</v>
      </c>
      <c r="G451" t="s">
        <v>67</v>
      </c>
    </row>
    <row r="452" spans="1:7" ht="17.25">
      <c r="A452">
        <v>451</v>
      </c>
      <c r="B452">
        <v>20865</v>
      </c>
      <c r="C452">
        <f t="shared" si="26"/>
        <v>30135.440139941038</v>
      </c>
      <c r="D452">
        <f t="shared" si="27"/>
        <v>0.69237415823722637</v>
      </c>
      <c r="F452">
        <v>451</v>
      </c>
      <c r="G452" t="s">
        <v>68</v>
      </c>
    </row>
    <row r="453" spans="1:7">
      <c r="A453">
        <v>452</v>
      </c>
      <c r="B453">
        <v>21288</v>
      </c>
      <c r="C453">
        <f t="shared" si="26"/>
        <v>30147.579826889138</v>
      </c>
      <c r="D453">
        <f t="shared" si="27"/>
        <v>0.70612633326582563</v>
      </c>
    </row>
    <row r="454" spans="1:7">
      <c r="A454">
        <v>453</v>
      </c>
      <c r="B454">
        <v>21979</v>
      </c>
      <c r="C454">
        <f t="shared" si="26"/>
        <v>30159.671221145873</v>
      </c>
      <c r="D454">
        <f t="shared" si="27"/>
        <v>0.72875462861776319</v>
      </c>
    </row>
    <row r="455" spans="1:7">
      <c r="A455">
        <v>454</v>
      </c>
      <c r="B455">
        <v>23306</v>
      </c>
      <c r="C455">
        <f t="shared" si="26"/>
        <v>30171.714179139093</v>
      </c>
      <c r="D455">
        <f t="shared" si="27"/>
        <v>0.77244533942038696</v>
      </c>
    </row>
    <row r="456" spans="1:7">
      <c r="A456">
        <v>455</v>
      </c>
      <c r="B456">
        <v>25190</v>
      </c>
      <c r="C456">
        <f t="shared" si="26"/>
        <v>30183.708557860442</v>
      </c>
      <c r="D456">
        <f t="shared" si="27"/>
        <v>0.83455616302788682</v>
      </c>
    </row>
    <row r="457" spans="1:7">
      <c r="A457">
        <v>456</v>
      </c>
      <c r="B457">
        <v>26472</v>
      </c>
      <c r="C457">
        <f t="shared" si="26"/>
        <v>30195.654214865346</v>
      </c>
      <c r="D457">
        <f t="shared" si="27"/>
        <v>0.87668244614378354</v>
      </c>
    </row>
    <row r="458" spans="1:7">
      <c r="A458">
        <v>457</v>
      </c>
      <c r="B458">
        <v>27372</v>
      </c>
      <c r="C458">
        <f t="shared" si="26"/>
        <v>30207.551008273018</v>
      </c>
      <c r="D458">
        <f t="shared" si="27"/>
        <v>0.90613105287825424</v>
      </c>
    </row>
    <row r="459" spans="1:7">
      <c r="A459">
        <v>458</v>
      </c>
      <c r="B459">
        <v>27894</v>
      </c>
      <c r="C459">
        <f t="shared" si="26"/>
        <v>30219.398796766458</v>
      </c>
      <c r="D459">
        <f t="shared" si="27"/>
        <v>0.923049468574627</v>
      </c>
    </row>
    <row r="460" spans="1:7">
      <c r="A460">
        <v>459</v>
      </c>
      <c r="B460">
        <v>27861</v>
      </c>
      <c r="C460">
        <f t="shared" si="26"/>
        <v>30231.197439592463</v>
      </c>
      <c r="D460">
        <f t="shared" si="27"/>
        <v>0.92159763289798369</v>
      </c>
    </row>
    <row r="461" spans="1:7">
      <c r="A461">
        <v>460</v>
      </c>
      <c r="B461">
        <v>27500</v>
      </c>
      <c r="C461">
        <f t="shared" si="26"/>
        <v>30242.946796561599</v>
      </c>
      <c r="D461">
        <f t="shared" si="27"/>
        <v>0.90930292557094827</v>
      </c>
    </row>
    <row r="462" spans="1:7">
      <c r="A462">
        <v>461</v>
      </c>
      <c r="B462">
        <v>26950</v>
      </c>
      <c r="C462">
        <f t="shared" si="26"/>
        <v>30254.646728048228</v>
      </c>
      <c r="D462">
        <f t="shared" si="27"/>
        <v>0.89077225863012366</v>
      </c>
    </row>
    <row r="463" spans="1:7">
      <c r="A463">
        <v>462</v>
      </c>
      <c r="B463">
        <v>26172</v>
      </c>
      <c r="C463">
        <f t="shared" si="26"/>
        <v>30266.297094990499</v>
      </c>
      <c r="D463">
        <f t="shared" si="27"/>
        <v>0.86472421511820274</v>
      </c>
    </row>
    <row r="464" spans="1:7">
      <c r="A464">
        <v>463</v>
      </c>
      <c r="B464">
        <v>24978</v>
      </c>
      <c r="C464">
        <f t="shared" si="26"/>
        <v>30277.897758890347</v>
      </c>
      <c r="D464">
        <f t="shared" si="27"/>
        <v>0.82495819884542132</v>
      </c>
    </row>
    <row r="465" spans="1:7">
      <c r="A465">
        <v>464</v>
      </c>
      <c r="B465">
        <v>23863</v>
      </c>
      <c r="C465">
        <f t="shared" si="26"/>
        <v>30289.448581813493</v>
      </c>
      <c r="D465">
        <f t="shared" si="27"/>
        <v>0.78783210382799485</v>
      </c>
    </row>
    <row r="466" spans="1:7" ht="17.25">
      <c r="A466">
        <v>465</v>
      </c>
      <c r="B466">
        <v>22617</v>
      </c>
      <c r="C466">
        <f t="shared" si="26"/>
        <v>30300.949426389445</v>
      </c>
      <c r="D466">
        <f t="shared" si="27"/>
        <v>0.74641225533027666</v>
      </c>
      <c r="F466">
        <v>466</v>
      </c>
      <c r="G466" t="s">
        <v>128</v>
      </c>
    </row>
    <row r="467" spans="1:7" ht="17.25">
      <c r="A467">
        <v>466</v>
      </c>
      <c r="B467">
        <v>22444</v>
      </c>
      <c r="C467">
        <f t="shared" si="26"/>
        <v>30312.400155811491</v>
      </c>
      <c r="D467">
        <f t="shared" si="27"/>
        <v>0.74042305738356518</v>
      </c>
      <c r="F467">
        <v>466</v>
      </c>
      <c r="G467" t="s">
        <v>129</v>
      </c>
    </row>
    <row r="468" spans="1:7">
      <c r="A468">
        <v>467</v>
      </c>
      <c r="B468">
        <v>22689</v>
      </c>
      <c r="C468">
        <f t="shared" si="26"/>
        <v>30323.800633836719</v>
      </c>
      <c r="D468">
        <f t="shared" si="27"/>
        <v>0.74822415151623667</v>
      </c>
    </row>
    <row r="469" spans="1:7">
      <c r="A469">
        <v>468</v>
      </c>
      <c r="B469">
        <v>23725</v>
      </c>
      <c r="C469">
        <f t="shared" si="26"/>
        <v>30335.150724785999</v>
      </c>
      <c r="D469">
        <f t="shared" si="27"/>
        <v>0.78209599864011781</v>
      </c>
    </row>
    <row r="470" spans="1:7">
      <c r="A470">
        <v>469</v>
      </c>
      <c r="B470">
        <v>24781</v>
      </c>
      <c r="C470">
        <f t="shared" si="26"/>
        <v>30346.450293543978</v>
      </c>
      <c r="D470">
        <f t="shared" si="27"/>
        <v>0.81660292259197143</v>
      </c>
    </row>
    <row r="471" spans="1:7">
      <c r="A471">
        <v>470</v>
      </c>
      <c r="B471">
        <v>25371</v>
      </c>
      <c r="C471">
        <f t="shared" si="26"/>
        <v>30357.699205559096</v>
      </c>
      <c r="D471">
        <f t="shared" si="27"/>
        <v>0.83573527190604968</v>
      </c>
    </row>
    <row r="472" spans="1:7">
      <c r="A472">
        <v>471</v>
      </c>
      <c r="B472">
        <v>25839</v>
      </c>
      <c r="C472">
        <f t="shared" si="26"/>
        <v>30368.897326843591</v>
      </c>
      <c r="D472">
        <f t="shared" si="27"/>
        <v>0.85083760934449415</v>
      </c>
    </row>
    <row r="473" spans="1:7">
      <c r="A473">
        <v>472</v>
      </c>
      <c r="B473">
        <v>26511</v>
      </c>
      <c r="C473">
        <f t="shared" si="26"/>
        <v>30380.044523973465</v>
      </c>
      <c r="D473">
        <f t="shared" si="27"/>
        <v>0.87264519902463178</v>
      </c>
    </row>
    <row r="474" spans="1:7">
      <c r="A474">
        <v>473</v>
      </c>
      <c r="B474">
        <v>27188</v>
      </c>
      <c r="C474">
        <f t="shared" si="26"/>
        <v>30391.140664088525</v>
      </c>
      <c r="D474">
        <f t="shared" si="27"/>
        <v>0.89460281535686181</v>
      </c>
    </row>
    <row r="475" spans="1:7">
      <c r="A475">
        <v>474</v>
      </c>
      <c r="B475">
        <v>27256</v>
      </c>
      <c r="C475">
        <f t="shared" si="26"/>
        <v>30402.185614892362</v>
      </c>
      <c r="D475">
        <f t="shared" si="27"/>
        <v>0.89651449225574043</v>
      </c>
    </row>
    <row r="476" spans="1:7">
      <c r="A476">
        <v>475</v>
      </c>
      <c r="B476">
        <v>26898</v>
      </c>
      <c r="C476">
        <f t="shared" si="26"/>
        <v>30413.179244652343</v>
      </c>
      <c r="D476">
        <f t="shared" si="27"/>
        <v>0.88441921127760992</v>
      </c>
    </row>
    <row r="477" spans="1:7">
      <c r="A477">
        <v>476</v>
      </c>
      <c r="B477">
        <v>26072</v>
      </c>
      <c r="C477">
        <f t="shared" si="26"/>
        <v>30424.121422199631</v>
      </c>
      <c r="D477">
        <f t="shared" si="27"/>
        <v>0.85695161540395348</v>
      </c>
    </row>
    <row r="478" spans="1:7">
      <c r="A478">
        <v>477</v>
      </c>
      <c r="B478">
        <v>25434</v>
      </c>
      <c r="C478">
        <f t="shared" si="26"/>
        <v>30435.012016929173</v>
      </c>
      <c r="D478">
        <f t="shared" si="27"/>
        <v>0.83568227230705838</v>
      </c>
    </row>
    <row r="479" spans="1:7">
      <c r="A479">
        <v>478</v>
      </c>
      <c r="B479">
        <v>25457</v>
      </c>
      <c r="C479">
        <f t="shared" si="26"/>
        <v>30445.850898799705</v>
      </c>
      <c r="D479">
        <f t="shared" si="27"/>
        <v>0.83614020460842553</v>
      </c>
    </row>
    <row r="480" spans="1:7">
      <c r="A480">
        <v>479</v>
      </c>
      <c r="B480">
        <v>26118</v>
      </c>
      <c r="C480">
        <f t="shared" si="26"/>
        <v>30456.637938333744</v>
      </c>
      <c r="D480">
        <f t="shared" si="27"/>
        <v>0.85754704944392468</v>
      </c>
    </row>
    <row r="481" spans="1:4">
      <c r="A481">
        <v>480</v>
      </c>
      <c r="B481">
        <v>27133</v>
      </c>
      <c r="C481">
        <f t="shared" si="26"/>
        <v>30467.373006617599</v>
      </c>
      <c r="D481">
        <f t="shared" si="27"/>
        <v>0.89055922196201931</v>
      </c>
    </row>
    <row r="482" spans="1:4">
      <c r="A482">
        <v>481</v>
      </c>
      <c r="B482">
        <v>27973</v>
      </c>
      <c r="C482">
        <f t="shared" si="26"/>
        <v>30478.055975301366</v>
      </c>
      <c r="D482">
        <f t="shared" si="27"/>
        <v>0.91780788192884089</v>
      </c>
    </row>
    <row r="483" spans="1:4">
      <c r="A483">
        <v>482</v>
      </c>
      <c r="B483">
        <v>28392</v>
      </c>
      <c r="C483">
        <f t="shared" si="26"/>
        <v>30488.686716598921</v>
      </c>
      <c r="D483">
        <f t="shared" si="27"/>
        <v>0.93123066480074312</v>
      </c>
    </row>
    <row r="484" spans="1:4">
      <c r="A484">
        <v>483</v>
      </c>
      <c r="B484">
        <v>28849</v>
      </c>
      <c r="C484">
        <f t="shared" si="26"/>
        <v>30499.265103287937</v>
      </c>
      <c r="D484">
        <f t="shared" si="27"/>
        <v>0.94589164369373502</v>
      </c>
    </row>
    <row r="485" spans="1:4">
      <c r="A485">
        <v>484</v>
      </c>
      <c r="B485">
        <v>29179</v>
      </c>
      <c r="C485">
        <f t="shared" si="26"/>
        <v>30509.791008709861</v>
      </c>
      <c r="D485">
        <f t="shared" si="27"/>
        <v>0.95638151017389961</v>
      </c>
    </row>
    <row r="486" spans="1:4">
      <c r="A486">
        <v>485</v>
      </c>
      <c r="B486">
        <v>29123</v>
      </c>
      <c r="C486">
        <f t="shared" si="26"/>
        <v>30520.264306769939</v>
      </c>
      <c r="D486">
        <f t="shared" si="27"/>
        <v>0.95421847292259521</v>
      </c>
    </row>
    <row r="487" spans="1:4">
      <c r="A487">
        <v>486</v>
      </c>
      <c r="B487">
        <v>29063</v>
      </c>
      <c r="C487">
        <f t="shared" si="26"/>
        <v>30530.684871937199</v>
      </c>
      <c r="D487">
        <f t="shared" si="27"/>
        <v>0.95192754836344184</v>
      </c>
    </row>
    <row r="488" spans="1:4">
      <c r="A488">
        <v>487</v>
      </c>
      <c r="B488">
        <v>28714</v>
      </c>
      <c r="C488">
        <f t="shared" si="26"/>
        <v>30541.052579244453</v>
      </c>
      <c r="D488">
        <f t="shared" si="27"/>
        <v>0.94017715746686126</v>
      </c>
    </row>
    <row r="489" spans="1:4">
      <c r="A489">
        <v>488</v>
      </c>
      <c r="B489">
        <v>28917</v>
      </c>
      <c r="C489">
        <f t="shared" si="26"/>
        <v>30551.367304288295</v>
      </c>
      <c r="D489">
        <f t="shared" si="27"/>
        <v>0.94650428283584909</v>
      </c>
    </row>
    <row r="490" spans="1:4">
      <c r="A490">
        <v>489</v>
      </c>
      <c r="B490">
        <v>29380</v>
      </c>
      <c r="C490">
        <f t="shared" si="26"/>
        <v>30561.62892322912</v>
      </c>
      <c r="D490">
        <f t="shared" si="27"/>
        <v>0.96133619296938089</v>
      </c>
    </row>
    <row r="491" spans="1:4">
      <c r="A491">
        <v>490</v>
      </c>
      <c r="B491">
        <v>29868</v>
      </c>
      <c r="C491">
        <f t="shared" si="26"/>
        <v>30571.837312791096</v>
      </c>
      <c r="D491">
        <f t="shared" si="27"/>
        <v>0.97697759197166034</v>
      </c>
    </row>
    <row r="492" spans="1:4">
      <c r="A492">
        <v>491</v>
      </c>
      <c r="B492">
        <v>30479</v>
      </c>
      <c r="C492">
        <f t="shared" si="26"/>
        <v>30581.992350262193</v>
      </c>
      <c r="D492">
        <f t="shared" si="27"/>
        <v>0.99663225505118835</v>
      </c>
    </row>
    <row r="493" spans="1:4">
      <c r="A493">
        <v>492</v>
      </c>
      <c r="B493">
        <v>31007</v>
      </c>
      <c r="C493">
        <f t="shared" si="26"/>
        <v>30592.093913494144</v>
      </c>
      <c r="D493">
        <f t="shared" si="27"/>
        <v>1.01356252656909</v>
      </c>
    </row>
    <row r="494" spans="1:4">
      <c r="A494">
        <v>493</v>
      </c>
      <c r="B494">
        <v>30980</v>
      </c>
      <c r="C494">
        <f t="shared" si="26"/>
        <v>30602.141880902494</v>
      </c>
      <c r="D494">
        <f t="shared" si="27"/>
        <v>1.0123474402729082</v>
      </c>
    </row>
    <row r="495" spans="1:4">
      <c r="A495">
        <v>494</v>
      </c>
      <c r="B495">
        <v>30775</v>
      </c>
      <c r="C495">
        <f t="shared" si="26"/>
        <v>30612.136131466556</v>
      </c>
      <c r="D495">
        <f t="shared" si="27"/>
        <v>1.0053202386084399</v>
      </c>
    </row>
    <row r="496" spans="1:4">
      <c r="A496">
        <v>495</v>
      </c>
      <c r="B496">
        <v>30458</v>
      </c>
      <c r="C496">
        <f t="shared" si="26"/>
        <v>30622.076544729443</v>
      </c>
      <c r="D496">
        <f t="shared" si="27"/>
        <v>0.99464188705524992</v>
      </c>
    </row>
    <row r="497" spans="1:4">
      <c r="A497">
        <v>496</v>
      </c>
      <c r="B497">
        <v>30481</v>
      </c>
      <c r="C497">
        <f t="shared" si="26"/>
        <v>30631.963000798045</v>
      </c>
      <c r="D497">
        <f t="shared" si="27"/>
        <v>0.99507171640308811</v>
      </c>
    </row>
    <row r="498" spans="1:4">
      <c r="A498">
        <v>497</v>
      </c>
      <c r="B498">
        <v>30653</v>
      </c>
      <c r="C498">
        <f t="shared" si="26"/>
        <v>30641.795380343039</v>
      </c>
      <c r="D498">
        <f t="shared" si="27"/>
        <v>1.0003656645936663</v>
      </c>
    </row>
    <row r="499" spans="1:4">
      <c r="A499">
        <v>498</v>
      </c>
      <c r="B499">
        <v>30619</v>
      </c>
      <c r="C499">
        <f t="shared" si="26"/>
        <v>30651.573564598897</v>
      </c>
      <c r="D499">
        <f t="shared" si="27"/>
        <v>0.99893729551827914</v>
      </c>
    </row>
    <row r="500" spans="1:4">
      <c r="A500">
        <v>499</v>
      </c>
      <c r="B500">
        <v>30261</v>
      </c>
      <c r="C500">
        <f t="shared" si="26"/>
        <v>30661.297435363871</v>
      </c>
      <c r="D500">
        <f t="shared" si="27"/>
        <v>0.98694453696202111</v>
      </c>
    </row>
    <row r="501" spans="1:4">
      <c r="A501">
        <v>500</v>
      </c>
      <c r="B501">
        <v>29731</v>
      </c>
      <c r="C501">
        <f t="shared" si="26"/>
        <v>30670.966874999998</v>
      </c>
      <c r="D501">
        <f t="shared" si="27"/>
        <v>0.96935320367203137</v>
      </c>
    </row>
    <row r="502" spans="1:4">
      <c r="A502">
        <v>501</v>
      </c>
      <c r="B502">
        <v>29206</v>
      </c>
      <c r="C502">
        <f t="shared" si="26"/>
        <v>30680.581766433112</v>
      </c>
      <c r="D502">
        <f t="shared" si="27"/>
        <v>0.95193762042522878</v>
      </c>
    </row>
    <row r="503" spans="1:4">
      <c r="A503">
        <v>502</v>
      </c>
      <c r="B503">
        <v>28905</v>
      </c>
      <c r="C503">
        <f t="shared" si="26"/>
        <v>30690.141993152818</v>
      </c>
      <c r="D503">
        <f t="shared" si="27"/>
        <v>0.9418333745881301</v>
      </c>
    </row>
    <row r="504" spans="1:4">
      <c r="A504">
        <v>503</v>
      </c>
      <c r="B504">
        <v>28522</v>
      </c>
      <c r="C504">
        <f t="shared" si="26"/>
        <v>30699.647439212516</v>
      </c>
      <c r="D504">
        <f t="shared" si="27"/>
        <v>0.92906604404743043</v>
      </c>
    </row>
    <row r="505" spans="1:4">
      <c r="A505">
        <v>504</v>
      </c>
      <c r="B505">
        <v>28060</v>
      </c>
      <c r="C505">
        <f t="shared" si="26"/>
        <v>30709.097989229402</v>
      </c>
      <c r="D505">
        <f t="shared" si="27"/>
        <v>0.91373572775864276</v>
      </c>
    </row>
    <row r="506" spans="1:4">
      <c r="A506">
        <v>505</v>
      </c>
      <c r="B506">
        <v>27752</v>
      </c>
      <c r="C506">
        <f t="shared" si="26"/>
        <v>30718.493528384442</v>
      </c>
      <c r="D506">
        <f t="shared" si="27"/>
        <v>0.90342971976658459</v>
      </c>
    </row>
    <row r="507" spans="1:4">
      <c r="A507">
        <v>506</v>
      </c>
      <c r="B507">
        <v>27745</v>
      </c>
      <c r="C507">
        <f t="shared" si="26"/>
        <v>30727.833942422396</v>
      </c>
      <c r="D507">
        <f t="shared" si="27"/>
        <v>0.90292729555843054</v>
      </c>
    </row>
    <row r="508" spans="1:4">
      <c r="A508">
        <v>507</v>
      </c>
      <c r="B508">
        <v>28204</v>
      </c>
      <c r="C508">
        <f t="shared" si="26"/>
        <v>30737.119117651811</v>
      </c>
      <c r="D508">
        <f t="shared" si="27"/>
        <v>0.91758762075405165</v>
      </c>
    </row>
    <row r="509" spans="1:4">
      <c r="A509">
        <v>508</v>
      </c>
      <c r="B509">
        <v>28631</v>
      </c>
      <c r="C509">
        <f t="shared" si="26"/>
        <v>30746.348940945023</v>
      </c>
      <c r="D509">
        <f t="shared" si="27"/>
        <v>0.93119999564800338</v>
      </c>
    </row>
    <row r="510" spans="1:4">
      <c r="A510">
        <v>509</v>
      </c>
      <c r="B510">
        <v>28935</v>
      </c>
      <c r="C510">
        <f t="shared" si="26"/>
        <v>30755.523299738154</v>
      </c>
      <c r="D510">
        <f t="shared" si="27"/>
        <v>0.94080662253749869</v>
      </c>
    </row>
    <row r="511" spans="1:4">
      <c r="A511">
        <v>510</v>
      </c>
      <c r="B511">
        <v>28871</v>
      </c>
      <c r="C511">
        <f t="shared" si="26"/>
        <v>30764.642082031096</v>
      </c>
      <c r="D511">
        <f t="shared" si="27"/>
        <v>0.93844745285897124</v>
      </c>
    </row>
    <row r="512" spans="1:4">
      <c r="A512">
        <v>511</v>
      </c>
      <c r="B512">
        <v>28433</v>
      </c>
      <c r="C512">
        <f t="shared" si="26"/>
        <v>30773.705176387561</v>
      </c>
      <c r="D512">
        <f t="shared" si="27"/>
        <v>0.92393814254828288</v>
      </c>
    </row>
    <row r="513" spans="1:7">
      <c r="A513">
        <v>512</v>
      </c>
      <c r="B513">
        <v>28245</v>
      </c>
      <c r="C513">
        <f t="shared" si="26"/>
        <v>30782.712471935014</v>
      </c>
      <c r="D513">
        <f t="shared" si="27"/>
        <v>0.9175604659839941</v>
      </c>
    </row>
    <row r="514" spans="1:7">
      <c r="A514">
        <v>513</v>
      </c>
      <c r="B514">
        <v>28163</v>
      </c>
      <c r="C514">
        <f t="shared" ref="C514:C577" si="28" xml:space="preserve"> 0.00000002349111*A514*A514*A514*A514 - 0.0000664476*A514*A514*A514 + 0.03716061*A514*A514 + 10.57172*A514 + 22932.71</f>
        <v>30791.663858364729</v>
      </c>
      <c r="D514">
        <f t="shared" ref="D514:D577" si="29">B514/C514</f>
        <v>0.91463066528473302</v>
      </c>
    </row>
    <row r="515" spans="1:7">
      <c r="A515">
        <v>514</v>
      </c>
      <c r="B515">
        <v>28227</v>
      </c>
      <c r="C515">
        <f t="shared" si="28"/>
        <v>30800.559225931764</v>
      </c>
      <c r="D515">
        <f t="shared" si="29"/>
        <v>0.91644439936775501</v>
      </c>
    </row>
    <row r="516" spans="1:7">
      <c r="A516">
        <v>515</v>
      </c>
      <c r="B516">
        <v>28310</v>
      </c>
      <c r="C516">
        <f t="shared" si="28"/>
        <v>30809.398465454939</v>
      </c>
      <c r="D516">
        <f t="shared" si="29"/>
        <v>0.91887545392171832</v>
      </c>
    </row>
    <row r="517" spans="1:7">
      <c r="A517">
        <v>516</v>
      </c>
      <c r="B517">
        <v>28120</v>
      </c>
      <c r="C517">
        <f t="shared" si="28"/>
        <v>30818.1814683169</v>
      </c>
      <c r="D517">
        <f t="shared" si="29"/>
        <v>0.91244838793973593</v>
      </c>
    </row>
    <row r="518" spans="1:7">
      <c r="A518">
        <v>517</v>
      </c>
      <c r="B518">
        <v>27347</v>
      </c>
      <c r="C518">
        <f t="shared" si="28"/>
        <v>30826.908126464055</v>
      </c>
      <c r="D518">
        <f t="shared" si="29"/>
        <v>0.88711459118157066</v>
      </c>
    </row>
    <row r="519" spans="1:7">
      <c r="A519">
        <v>518</v>
      </c>
      <c r="B519">
        <v>25690</v>
      </c>
      <c r="C519">
        <f t="shared" si="28"/>
        <v>30835.578332406603</v>
      </c>
      <c r="D519">
        <f t="shared" si="29"/>
        <v>0.83312852845056373</v>
      </c>
    </row>
    <row r="520" spans="1:7">
      <c r="A520">
        <v>519</v>
      </c>
      <c r="B520">
        <v>23944</v>
      </c>
      <c r="C520">
        <f t="shared" si="28"/>
        <v>30844.191979218522</v>
      </c>
      <c r="D520">
        <f t="shared" si="29"/>
        <v>0.77628877475968339</v>
      </c>
    </row>
    <row r="521" spans="1:7" ht="17.25">
      <c r="A521">
        <v>520</v>
      </c>
      <c r="B521">
        <v>22760</v>
      </c>
      <c r="C521">
        <f t="shared" si="28"/>
        <v>30852.748960537596</v>
      </c>
      <c r="D521">
        <f t="shared" si="29"/>
        <v>0.73769763689813583</v>
      </c>
      <c r="F521">
        <v>520.5</v>
      </c>
      <c r="G521" t="s">
        <v>69</v>
      </c>
    </row>
    <row r="522" spans="1:7" ht="17.25">
      <c r="A522">
        <v>521</v>
      </c>
      <c r="B522">
        <v>22982</v>
      </c>
      <c r="C522">
        <f t="shared" si="28"/>
        <v>30861.249170565381</v>
      </c>
      <c r="D522">
        <f t="shared" si="29"/>
        <v>0.74468793771055797</v>
      </c>
      <c r="F522">
        <v>520.5</v>
      </c>
      <c r="G522" t="s">
        <v>70</v>
      </c>
    </row>
    <row r="523" spans="1:7">
      <c r="A523">
        <v>522</v>
      </c>
      <c r="B523">
        <v>24027</v>
      </c>
      <c r="C523">
        <f t="shared" si="28"/>
        <v>30869.692504067225</v>
      </c>
      <c r="D523">
        <f t="shared" si="29"/>
        <v>0.7783362272505413</v>
      </c>
    </row>
    <row r="524" spans="1:7">
      <c r="A524">
        <v>523</v>
      </c>
      <c r="B524">
        <v>25352</v>
      </c>
      <c r="C524">
        <f t="shared" si="28"/>
        <v>30878.078856372249</v>
      </c>
      <c r="D524">
        <f t="shared" si="29"/>
        <v>0.8210355352068206</v>
      </c>
    </row>
    <row r="525" spans="1:7">
      <c r="A525">
        <v>524</v>
      </c>
      <c r="B525">
        <v>26391</v>
      </c>
      <c r="C525">
        <f t="shared" si="28"/>
        <v>30886.408123373389</v>
      </c>
      <c r="D525">
        <f t="shared" si="29"/>
        <v>0.85445351542928449</v>
      </c>
    </row>
    <row r="526" spans="1:7">
      <c r="A526">
        <v>525</v>
      </c>
      <c r="B526">
        <v>27087</v>
      </c>
      <c r="C526">
        <f t="shared" si="28"/>
        <v>30894.680201527342</v>
      </c>
      <c r="D526">
        <f t="shared" si="29"/>
        <v>0.87675288506986704</v>
      </c>
    </row>
    <row r="527" spans="1:7">
      <c r="A527">
        <v>526</v>
      </c>
      <c r="B527">
        <v>27479</v>
      </c>
      <c r="C527">
        <f t="shared" si="28"/>
        <v>30902.894987854601</v>
      </c>
      <c r="D527">
        <f t="shared" si="29"/>
        <v>0.88920471725382833</v>
      </c>
    </row>
    <row r="528" spans="1:7">
      <c r="A528">
        <v>527</v>
      </c>
      <c r="B528">
        <v>28060</v>
      </c>
      <c r="C528">
        <f t="shared" si="28"/>
        <v>30911.05237993945</v>
      </c>
      <c r="D528">
        <f t="shared" si="29"/>
        <v>0.90776592317543625</v>
      </c>
    </row>
    <row r="529" spans="1:4">
      <c r="A529">
        <v>528</v>
      </c>
      <c r="B529">
        <v>28837</v>
      </c>
      <c r="C529">
        <f t="shared" si="28"/>
        <v>30919.152275929948</v>
      </c>
      <c r="D529">
        <f t="shared" si="29"/>
        <v>0.93265817065913326</v>
      </c>
    </row>
    <row r="530" spans="1:4">
      <c r="A530">
        <v>529</v>
      </c>
      <c r="B530">
        <v>29776</v>
      </c>
      <c r="C530">
        <f t="shared" si="28"/>
        <v>30927.194574537949</v>
      </c>
      <c r="D530">
        <f t="shared" si="29"/>
        <v>0.96277727125350987</v>
      </c>
    </row>
    <row r="531" spans="1:4">
      <c r="A531">
        <v>530</v>
      </c>
      <c r="B531">
        <v>30297</v>
      </c>
      <c r="C531">
        <f t="shared" si="28"/>
        <v>30935.179175039098</v>
      </c>
      <c r="D531">
        <f t="shared" si="29"/>
        <v>0.97937043870254903</v>
      </c>
    </row>
    <row r="532" spans="1:4">
      <c r="A532">
        <v>531</v>
      </c>
      <c r="B532">
        <v>30861</v>
      </c>
      <c r="C532">
        <f t="shared" si="28"/>
        <v>30943.105977272819</v>
      </c>
      <c r="D532">
        <f t="shared" si="29"/>
        <v>0.99734655023535379</v>
      </c>
    </row>
    <row r="533" spans="1:4">
      <c r="A533">
        <v>532</v>
      </c>
      <c r="B533">
        <v>31065</v>
      </c>
      <c r="C533">
        <f t="shared" si="28"/>
        <v>30950.974881642316</v>
      </c>
      <c r="D533">
        <f t="shared" si="29"/>
        <v>1.0036840557944853</v>
      </c>
    </row>
    <row r="534" spans="1:4">
      <c r="A534">
        <v>533</v>
      </c>
      <c r="B534">
        <v>31082</v>
      </c>
      <c r="C534">
        <f t="shared" si="28"/>
        <v>30958.785789114601</v>
      </c>
      <c r="D534">
        <f t="shared" si="29"/>
        <v>1.0039799432614933</v>
      </c>
    </row>
    <row r="535" spans="1:4">
      <c r="A535">
        <v>534</v>
      </c>
      <c r="B535">
        <v>30934</v>
      </c>
      <c r="C535">
        <f t="shared" si="28"/>
        <v>30966.538601220454</v>
      </c>
      <c r="D535">
        <f t="shared" si="29"/>
        <v>0.99894923350525289</v>
      </c>
    </row>
    <row r="536" spans="1:4">
      <c r="A536">
        <v>535</v>
      </c>
      <c r="B536">
        <v>30831</v>
      </c>
      <c r="C536">
        <f t="shared" si="28"/>
        <v>30974.233220054441</v>
      </c>
      <c r="D536">
        <f t="shared" si="29"/>
        <v>0.99537572991599665</v>
      </c>
    </row>
    <row r="537" spans="1:4">
      <c r="A537">
        <v>536</v>
      </c>
      <c r="B537">
        <v>31111</v>
      </c>
      <c r="C537">
        <f t="shared" si="28"/>
        <v>30981.869548274928</v>
      </c>
      <c r="D537">
        <f t="shared" si="29"/>
        <v>1.004167936073834</v>
      </c>
    </row>
    <row r="538" spans="1:4">
      <c r="A538">
        <v>537</v>
      </c>
      <c r="B538">
        <v>31475</v>
      </c>
      <c r="C538">
        <f t="shared" si="28"/>
        <v>30989.447489104066</v>
      </c>
      <c r="D538">
        <f t="shared" si="29"/>
        <v>1.0156683177738697</v>
      </c>
    </row>
    <row r="539" spans="1:4">
      <c r="A539">
        <v>538</v>
      </c>
      <c r="B539">
        <v>31598</v>
      </c>
      <c r="C539">
        <f t="shared" si="28"/>
        <v>30996.966946327782</v>
      </c>
      <c r="D539">
        <f t="shared" si="29"/>
        <v>1.0193900601537216</v>
      </c>
    </row>
    <row r="540" spans="1:4">
      <c r="A540">
        <v>539</v>
      </c>
      <c r="B540">
        <v>31531</v>
      </c>
      <c r="C540">
        <f t="shared" si="28"/>
        <v>31004.427824295788</v>
      </c>
      <c r="D540">
        <f t="shared" si="29"/>
        <v>1.0169837733722529</v>
      </c>
    </row>
    <row r="541" spans="1:4">
      <c r="A541">
        <v>540</v>
      </c>
      <c r="B541">
        <v>31129</v>
      </c>
      <c r="C541">
        <f t="shared" si="28"/>
        <v>31011.830027921598</v>
      </c>
      <c r="D541">
        <f t="shared" si="29"/>
        <v>1.0037782346921451</v>
      </c>
    </row>
    <row r="542" spans="1:4">
      <c r="A542">
        <v>541</v>
      </c>
      <c r="B542">
        <v>30597</v>
      </c>
      <c r="C542">
        <f t="shared" si="28"/>
        <v>31019.173462682502</v>
      </c>
      <c r="D542">
        <f t="shared" si="29"/>
        <v>0.98638991902249118</v>
      </c>
    </row>
    <row r="543" spans="1:4">
      <c r="A543">
        <v>542</v>
      </c>
      <c r="B543">
        <v>30185</v>
      </c>
      <c r="C543">
        <f t="shared" si="28"/>
        <v>31026.45803461958</v>
      </c>
      <c r="D543">
        <f t="shared" si="29"/>
        <v>0.97287933950821348</v>
      </c>
    </row>
    <row r="544" spans="1:4">
      <c r="A544">
        <v>543</v>
      </c>
      <c r="B544">
        <v>30147</v>
      </c>
      <c r="C544">
        <f t="shared" si="28"/>
        <v>31033.683650337698</v>
      </c>
      <c r="D544">
        <f t="shared" si="29"/>
        <v>0.97142834668522993</v>
      </c>
    </row>
    <row r="545" spans="1:4">
      <c r="A545">
        <v>544</v>
      </c>
      <c r="B545">
        <v>30305</v>
      </c>
      <c r="C545">
        <f t="shared" si="28"/>
        <v>31040.850217005504</v>
      </c>
      <c r="D545">
        <f t="shared" si="29"/>
        <v>0.97629413460452275</v>
      </c>
    </row>
    <row r="546" spans="1:4">
      <c r="A546">
        <v>545</v>
      </c>
      <c r="B546">
        <v>30704</v>
      </c>
      <c r="C546">
        <f t="shared" si="28"/>
        <v>31047.957642355439</v>
      </c>
      <c r="D546">
        <f t="shared" si="29"/>
        <v>0.98892173049456189</v>
      </c>
    </row>
    <row r="547" spans="1:4">
      <c r="A547">
        <v>546</v>
      </c>
      <c r="B547">
        <v>30764</v>
      </c>
      <c r="C547">
        <f t="shared" si="28"/>
        <v>31055.005834683736</v>
      </c>
      <c r="D547">
        <f t="shared" si="29"/>
        <v>0.99062934213463494</v>
      </c>
    </row>
    <row r="548" spans="1:4">
      <c r="A548">
        <v>547</v>
      </c>
      <c r="B548">
        <v>31203</v>
      </c>
      <c r="C548">
        <f t="shared" si="28"/>
        <v>31061.994702850396</v>
      </c>
      <c r="D548">
        <f t="shared" si="29"/>
        <v>1.0045394797886777</v>
      </c>
    </row>
    <row r="549" spans="1:4">
      <c r="A549">
        <v>548</v>
      </c>
      <c r="B549">
        <v>31604</v>
      </c>
      <c r="C549">
        <f t="shared" si="28"/>
        <v>31068.924156279219</v>
      </c>
      <c r="D549">
        <f t="shared" si="29"/>
        <v>1.0172222198950085</v>
      </c>
    </row>
    <row r="550" spans="1:4">
      <c r="A550">
        <v>549</v>
      </c>
      <c r="B550">
        <v>32130</v>
      </c>
      <c r="C550">
        <f t="shared" si="28"/>
        <v>31075.794104957797</v>
      </c>
      <c r="D550">
        <f t="shared" si="29"/>
        <v>1.0339236993101977</v>
      </c>
    </row>
    <row r="551" spans="1:4">
      <c r="A551">
        <v>550</v>
      </c>
      <c r="B551">
        <v>32584</v>
      </c>
      <c r="C551">
        <f t="shared" si="28"/>
        <v>31082.604459437498</v>
      </c>
      <c r="D551">
        <f t="shared" si="29"/>
        <v>1.0483034020692124</v>
      </c>
    </row>
    <row r="552" spans="1:4">
      <c r="A552">
        <v>551</v>
      </c>
      <c r="B552">
        <v>32766</v>
      </c>
      <c r="C552">
        <f t="shared" si="28"/>
        <v>31089.355130833483</v>
      </c>
      <c r="D552">
        <f t="shared" si="29"/>
        <v>1.0539298696325698</v>
      </c>
    </row>
    <row r="553" spans="1:4">
      <c r="A553">
        <v>552</v>
      </c>
      <c r="B553">
        <v>32286</v>
      </c>
      <c r="C553">
        <f t="shared" si="28"/>
        <v>31096.046030824691</v>
      </c>
      <c r="D553">
        <f t="shared" si="29"/>
        <v>1.0382670506724789</v>
      </c>
    </row>
    <row r="554" spans="1:4">
      <c r="A554">
        <v>553</v>
      </c>
      <c r="B554">
        <v>31459</v>
      </c>
      <c r="C554">
        <f t="shared" si="28"/>
        <v>31102.677071653859</v>
      </c>
      <c r="D554">
        <f t="shared" si="29"/>
        <v>1.0114563427297674</v>
      </c>
    </row>
    <row r="555" spans="1:4">
      <c r="A555">
        <v>554</v>
      </c>
      <c r="B555">
        <v>30314</v>
      </c>
      <c r="C555">
        <f t="shared" si="28"/>
        <v>31109.248166127509</v>
      </c>
      <c r="D555">
        <f t="shared" si="29"/>
        <v>0.97443692107630575</v>
      </c>
    </row>
    <row r="556" spans="1:4">
      <c r="A556">
        <v>555</v>
      </c>
      <c r="B556">
        <v>29032</v>
      </c>
      <c r="C556">
        <f t="shared" si="28"/>
        <v>31115.759227615941</v>
      </c>
      <c r="D556">
        <f t="shared" si="29"/>
        <v>0.93303203009211622</v>
      </c>
    </row>
    <row r="557" spans="1:4">
      <c r="A557">
        <v>556</v>
      </c>
      <c r="B557">
        <v>28197</v>
      </c>
      <c r="C557">
        <f t="shared" si="28"/>
        <v>31122.210170053251</v>
      </c>
      <c r="D557">
        <f t="shared" si="29"/>
        <v>0.90600891922296767</v>
      </c>
    </row>
    <row r="558" spans="1:4">
      <c r="A558">
        <v>557</v>
      </c>
      <c r="B558">
        <v>27709</v>
      </c>
      <c r="C558">
        <f t="shared" si="28"/>
        <v>31128.600907937311</v>
      </c>
      <c r="D558">
        <f t="shared" si="29"/>
        <v>0.89014601337044463</v>
      </c>
    </row>
    <row r="559" spans="1:4">
      <c r="A559">
        <v>558</v>
      </c>
      <c r="B559">
        <v>27416</v>
      </c>
      <c r="C559">
        <f t="shared" si="28"/>
        <v>31134.931356329787</v>
      </c>
      <c r="D559">
        <f t="shared" si="29"/>
        <v>0.88055437432099171</v>
      </c>
    </row>
    <row r="560" spans="1:4">
      <c r="A560">
        <v>559</v>
      </c>
      <c r="B560">
        <v>27321</v>
      </c>
      <c r="C560">
        <f t="shared" si="28"/>
        <v>31141.201430856141</v>
      </c>
      <c r="D560">
        <f t="shared" si="29"/>
        <v>0.87732645963135802</v>
      </c>
    </row>
    <row r="561" spans="1:4">
      <c r="A561">
        <v>560</v>
      </c>
      <c r="B561">
        <v>27434</v>
      </c>
      <c r="C561">
        <f t="shared" si="28"/>
        <v>31147.411047705598</v>
      </c>
      <c r="D561">
        <f t="shared" si="29"/>
        <v>0.88077946375645444</v>
      </c>
    </row>
    <row r="562" spans="1:4">
      <c r="A562">
        <v>561</v>
      </c>
      <c r="B562">
        <v>27699</v>
      </c>
      <c r="C562">
        <f t="shared" si="28"/>
        <v>31153.560123631192</v>
      </c>
      <c r="D562">
        <f t="shared" si="29"/>
        <v>0.88911186683249166</v>
      </c>
    </row>
    <row r="563" spans="1:4">
      <c r="A563">
        <v>562</v>
      </c>
      <c r="B563">
        <v>28524</v>
      </c>
      <c r="C563">
        <f t="shared" si="28"/>
        <v>31159.64857594973</v>
      </c>
      <c r="D563">
        <f t="shared" si="29"/>
        <v>0.91541468866295139</v>
      </c>
    </row>
    <row r="564" spans="1:4">
      <c r="A564">
        <v>563</v>
      </c>
      <c r="B564">
        <v>29182</v>
      </c>
      <c r="C564">
        <f t="shared" si="28"/>
        <v>31165.676322541814</v>
      </c>
      <c r="D564">
        <f t="shared" si="29"/>
        <v>0.93635060885532451</v>
      </c>
    </row>
    <row r="565" spans="1:4">
      <c r="A565">
        <v>564</v>
      </c>
      <c r="B565">
        <v>29659</v>
      </c>
      <c r="C565">
        <f t="shared" si="28"/>
        <v>31171.64328185183</v>
      </c>
      <c r="D565">
        <f t="shared" si="29"/>
        <v>0.951473739508225</v>
      </c>
    </row>
    <row r="566" spans="1:4">
      <c r="A566">
        <v>565</v>
      </c>
      <c r="B566">
        <v>29737</v>
      </c>
      <c r="C566">
        <f t="shared" si="28"/>
        <v>31177.549372887941</v>
      </c>
      <c r="D566">
        <f t="shared" si="29"/>
        <v>0.95379529815962238</v>
      </c>
    </row>
    <row r="567" spans="1:4">
      <c r="A567">
        <v>566</v>
      </c>
      <c r="B567">
        <v>29801</v>
      </c>
      <c r="C567">
        <f t="shared" si="28"/>
        <v>31183.394515222117</v>
      </c>
      <c r="D567">
        <f t="shared" si="29"/>
        <v>0.95566888926902094</v>
      </c>
    </row>
    <row r="568" spans="1:4">
      <c r="A568">
        <v>567</v>
      </c>
      <c r="B568">
        <v>29805</v>
      </c>
      <c r="C568">
        <f t="shared" si="28"/>
        <v>31189.178628990092</v>
      </c>
      <c r="D568">
        <f t="shared" si="29"/>
        <v>0.95561990761425475</v>
      </c>
    </row>
    <row r="569" spans="1:4">
      <c r="A569">
        <v>568</v>
      </c>
      <c r="B569">
        <v>29940</v>
      </c>
      <c r="C569">
        <f t="shared" si="28"/>
        <v>31194.901634891405</v>
      </c>
      <c r="D569">
        <f t="shared" si="29"/>
        <v>0.95977222016665054</v>
      </c>
    </row>
    <row r="570" spans="1:4">
      <c r="A570">
        <v>569</v>
      </c>
      <c r="B570">
        <v>29921</v>
      </c>
      <c r="C570">
        <f t="shared" si="28"/>
        <v>31200.563454189374</v>
      </c>
      <c r="D570">
        <f t="shared" si="29"/>
        <v>0.95898909146086064</v>
      </c>
    </row>
    <row r="571" spans="1:4">
      <c r="A571">
        <v>570</v>
      </c>
      <c r="B571">
        <v>29549</v>
      </c>
      <c r="C571">
        <f t="shared" si="28"/>
        <v>31206.164008711101</v>
      </c>
      <c r="D571">
        <f t="shared" si="29"/>
        <v>0.94689626035905894</v>
      </c>
    </row>
    <row r="572" spans="1:4">
      <c r="A572">
        <v>571</v>
      </c>
      <c r="B572">
        <v>28854</v>
      </c>
      <c r="C572">
        <f t="shared" si="28"/>
        <v>31211.703220847477</v>
      </c>
      <c r="D572">
        <f t="shared" si="29"/>
        <v>0.92446092402696312</v>
      </c>
    </row>
    <row r="573" spans="1:4">
      <c r="A573">
        <v>572</v>
      </c>
      <c r="B573">
        <v>28058</v>
      </c>
      <c r="C573">
        <f t="shared" si="28"/>
        <v>31217.181013553181</v>
      </c>
      <c r="D573">
        <f t="shared" si="29"/>
        <v>0.89879992648338114</v>
      </c>
    </row>
    <row r="574" spans="1:4">
      <c r="A574">
        <v>573</v>
      </c>
      <c r="B574">
        <v>27435</v>
      </c>
      <c r="C574">
        <f t="shared" si="28"/>
        <v>31222.597310346675</v>
      </c>
      <c r="D574">
        <f t="shared" si="29"/>
        <v>0.87869051146838684</v>
      </c>
    </row>
    <row r="575" spans="1:4">
      <c r="A575">
        <v>574</v>
      </c>
      <c r="B575">
        <v>26818</v>
      </c>
      <c r="C575">
        <f t="shared" si="28"/>
        <v>31227.95203531022</v>
      </c>
      <c r="D575">
        <f t="shared" si="29"/>
        <v>0.85878190057664439</v>
      </c>
    </row>
    <row r="576" spans="1:4">
      <c r="A576">
        <v>575</v>
      </c>
      <c r="B576">
        <v>25836</v>
      </c>
      <c r="C576">
        <f t="shared" si="28"/>
        <v>31233.245113089841</v>
      </c>
      <c r="D576">
        <f t="shared" si="29"/>
        <v>0.82719550614905979</v>
      </c>
    </row>
    <row r="577" spans="1:7">
      <c r="A577">
        <v>576</v>
      </c>
      <c r="B577">
        <v>24488</v>
      </c>
      <c r="C577">
        <f t="shared" si="28"/>
        <v>31238.476468895373</v>
      </c>
      <c r="D577">
        <f t="shared" si="29"/>
        <v>0.78390506734165077</v>
      </c>
    </row>
    <row r="578" spans="1:7">
      <c r="A578">
        <v>577</v>
      </c>
      <c r="B578">
        <v>22805</v>
      </c>
      <c r="C578">
        <f t="shared" ref="C578:C641" si="30" xml:space="preserve"> 0.00000002349111*A578*A578*A578*A578 - 0.0000664476*A578*A578*A578 + 0.03716061*A578*A578 + 10.57172*A578 + 22932.71</f>
        <v>31243.646028500421</v>
      </c>
      <c r="D578">
        <f t="shared" ref="D578:D641" si="31">B578/C578</f>
        <v>0.72990841015153296</v>
      </c>
    </row>
    <row r="579" spans="1:7" ht="17.25">
      <c r="A579">
        <v>578</v>
      </c>
      <c r="B579">
        <v>21287</v>
      </c>
      <c r="C579">
        <f t="shared" si="30"/>
        <v>31248.753718242391</v>
      </c>
      <c r="D579">
        <f t="shared" si="31"/>
        <v>0.68121116739363208</v>
      </c>
      <c r="F579">
        <v>579</v>
      </c>
      <c r="G579" t="s">
        <v>71</v>
      </c>
    </row>
    <row r="580" spans="1:7" ht="17.25">
      <c r="A580">
        <v>579</v>
      </c>
      <c r="B580">
        <v>20979</v>
      </c>
      <c r="C580">
        <f t="shared" si="30"/>
        <v>31253.799465022457</v>
      </c>
      <c r="D580">
        <f t="shared" si="31"/>
        <v>0.67124638793048341</v>
      </c>
      <c r="F580">
        <v>579</v>
      </c>
      <c r="G580" t="s">
        <v>72</v>
      </c>
    </row>
    <row r="581" spans="1:7">
      <c r="A581">
        <v>580</v>
      </c>
      <c r="B581">
        <v>21545</v>
      </c>
      <c r="C581">
        <f t="shared" si="30"/>
        <v>31258.783196305598</v>
      </c>
      <c r="D581">
        <f t="shared" si="31"/>
        <v>0.68924627886815359</v>
      </c>
    </row>
    <row r="582" spans="1:7">
      <c r="A582">
        <v>581</v>
      </c>
      <c r="B582">
        <v>22660</v>
      </c>
      <c r="C582">
        <f t="shared" si="30"/>
        <v>31263.704840120568</v>
      </c>
      <c r="D582">
        <f t="shared" si="31"/>
        <v>0.72480213448409114</v>
      </c>
    </row>
    <row r="583" spans="1:7">
      <c r="A583">
        <v>582</v>
      </c>
      <c r="B583">
        <v>24282</v>
      </c>
      <c r="C583">
        <f t="shared" si="30"/>
        <v>31268.564325059913</v>
      </c>
      <c r="D583">
        <f t="shared" si="31"/>
        <v>0.77656267641745891</v>
      </c>
    </row>
    <row r="584" spans="1:7">
      <c r="A584">
        <v>583</v>
      </c>
      <c r="B584">
        <v>25439</v>
      </c>
      <c r="C584">
        <f t="shared" si="30"/>
        <v>31273.361580279965</v>
      </c>
      <c r="D584">
        <f t="shared" si="31"/>
        <v>0.81343989627392865</v>
      </c>
    </row>
    <row r="585" spans="1:7">
      <c r="A585">
        <v>584</v>
      </c>
      <c r="B585">
        <v>26496</v>
      </c>
      <c r="C585">
        <f t="shared" si="30"/>
        <v>31278.096535500841</v>
      </c>
      <c r="D585">
        <f t="shared" si="31"/>
        <v>0.84711037226727881</v>
      </c>
    </row>
    <row r="586" spans="1:7">
      <c r="A586">
        <v>585</v>
      </c>
      <c r="B586">
        <v>27165</v>
      </c>
      <c r="C586">
        <f t="shared" si="30"/>
        <v>31282.76912100644</v>
      </c>
      <c r="D586">
        <f t="shared" si="31"/>
        <v>0.8683694175193285</v>
      </c>
    </row>
    <row r="587" spans="1:7">
      <c r="A587">
        <v>586</v>
      </c>
      <c r="B587">
        <v>27721</v>
      </c>
      <c r="C587">
        <f t="shared" si="30"/>
        <v>31287.379267644465</v>
      </c>
      <c r="D587">
        <f t="shared" si="31"/>
        <v>0.8860122084008295</v>
      </c>
    </row>
    <row r="588" spans="1:7">
      <c r="A588">
        <v>587</v>
      </c>
      <c r="B588">
        <v>28083</v>
      </c>
      <c r="C588">
        <f t="shared" si="30"/>
        <v>31291.926906826382</v>
      </c>
      <c r="D588">
        <f t="shared" si="31"/>
        <v>0.89745192373799298</v>
      </c>
    </row>
    <row r="589" spans="1:7">
      <c r="A589">
        <v>588</v>
      </c>
      <c r="B589">
        <v>28519</v>
      </c>
      <c r="C589">
        <f t="shared" si="30"/>
        <v>31296.411970527464</v>
      </c>
      <c r="D589">
        <f t="shared" si="31"/>
        <v>0.91125462007775793</v>
      </c>
    </row>
    <row r="590" spans="1:7">
      <c r="A590">
        <v>589</v>
      </c>
      <c r="B590">
        <v>28840</v>
      </c>
      <c r="C590">
        <f t="shared" si="30"/>
        <v>31300.834391286757</v>
      </c>
      <c r="D590">
        <f t="shared" si="31"/>
        <v>0.92138118874007457</v>
      </c>
    </row>
    <row r="591" spans="1:7">
      <c r="A591">
        <v>590</v>
      </c>
      <c r="B591">
        <v>28916</v>
      </c>
      <c r="C591">
        <f t="shared" si="30"/>
        <v>31305.194102207097</v>
      </c>
      <c r="D591">
        <f t="shared" si="31"/>
        <v>0.92368058494041883</v>
      </c>
    </row>
    <row r="592" spans="1:7">
      <c r="A592">
        <v>591</v>
      </c>
      <c r="B592">
        <v>28975</v>
      </c>
      <c r="C592">
        <f t="shared" si="30"/>
        <v>31309.491036955114</v>
      </c>
      <c r="D592">
        <f t="shared" si="31"/>
        <v>0.92543823103992096</v>
      </c>
    </row>
    <row r="593" spans="1:4">
      <c r="A593">
        <v>592</v>
      </c>
      <c r="B593">
        <v>28502</v>
      </c>
      <c r="C593">
        <f t="shared" si="30"/>
        <v>31313.725129761217</v>
      </c>
      <c r="D593">
        <f t="shared" si="31"/>
        <v>0.910207900270259</v>
      </c>
    </row>
    <row r="594" spans="1:4">
      <c r="A594">
        <v>593</v>
      </c>
      <c r="B594">
        <v>27949</v>
      </c>
      <c r="C594">
        <f t="shared" si="30"/>
        <v>31317.896315419603</v>
      </c>
      <c r="D594">
        <f t="shared" si="31"/>
        <v>0.89242903541509899</v>
      </c>
    </row>
    <row r="595" spans="1:4">
      <c r="A595">
        <v>594</v>
      </c>
      <c r="B595">
        <v>27575</v>
      </c>
      <c r="C595">
        <f t="shared" si="30"/>
        <v>31322.004529288257</v>
      </c>
      <c r="D595">
        <f t="shared" si="31"/>
        <v>0.88037149647352397</v>
      </c>
    </row>
    <row r="596" spans="1:4">
      <c r="A596">
        <v>595</v>
      </c>
      <c r="B596">
        <v>27441</v>
      </c>
      <c r="C596">
        <f t="shared" si="30"/>
        <v>31326.049707288941</v>
      </c>
      <c r="D596">
        <f t="shared" si="31"/>
        <v>0.87598022273504317</v>
      </c>
    </row>
    <row r="597" spans="1:4">
      <c r="A597">
        <v>596</v>
      </c>
      <c r="B597">
        <v>27385</v>
      </c>
      <c r="C597">
        <f t="shared" si="30"/>
        <v>31330.031785907231</v>
      </c>
      <c r="D597">
        <f t="shared" si="31"/>
        <v>0.87408146238518114</v>
      </c>
    </row>
    <row r="598" spans="1:4">
      <c r="A598">
        <v>597</v>
      </c>
      <c r="B598">
        <v>27569</v>
      </c>
      <c r="C598">
        <f t="shared" si="30"/>
        <v>31333.950702192451</v>
      </c>
      <c r="D598">
        <f t="shared" si="31"/>
        <v>0.87984436632406471</v>
      </c>
    </row>
    <row r="599" spans="1:4">
      <c r="A599">
        <v>598</v>
      </c>
      <c r="B599">
        <v>27590</v>
      </c>
      <c r="C599">
        <f t="shared" si="30"/>
        <v>31337.806393757743</v>
      </c>
      <c r="D599">
        <f t="shared" si="31"/>
        <v>0.88040623052338862</v>
      </c>
    </row>
    <row r="600" spans="1:4">
      <c r="A600">
        <v>599</v>
      </c>
      <c r="B600">
        <v>27638</v>
      </c>
      <c r="C600">
        <f t="shared" si="30"/>
        <v>31341.598798780025</v>
      </c>
      <c r="D600">
        <f t="shared" si="31"/>
        <v>0.88183121025325018</v>
      </c>
    </row>
    <row r="601" spans="1:4">
      <c r="A601">
        <v>600</v>
      </c>
      <c r="B601">
        <v>28024</v>
      </c>
      <c r="C601">
        <f t="shared" si="30"/>
        <v>31345.327856</v>
      </c>
      <c r="D601">
        <f t="shared" si="31"/>
        <v>0.89404073642942472</v>
      </c>
    </row>
    <row r="602" spans="1:4">
      <c r="A602">
        <v>601</v>
      </c>
      <c r="B602">
        <v>27794</v>
      </c>
      <c r="C602">
        <f t="shared" si="30"/>
        <v>31348.993504722152</v>
      </c>
      <c r="D602">
        <f t="shared" si="31"/>
        <v>0.88659943726146562</v>
      </c>
    </row>
    <row r="603" spans="1:4">
      <c r="A603">
        <v>602</v>
      </c>
      <c r="B603">
        <v>27599</v>
      </c>
      <c r="C603">
        <f t="shared" si="30"/>
        <v>31352.595684814769</v>
      </c>
      <c r="D603">
        <f t="shared" si="31"/>
        <v>0.88027799284788488</v>
      </c>
    </row>
    <row r="604" spans="1:4">
      <c r="A604">
        <v>603</v>
      </c>
      <c r="B604">
        <v>27227</v>
      </c>
      <c r="C604">
        <f t="shared" si="30"/>
        <v>31356.134336709907</v>
      </c>
      <c r="D604">
        <f t="shared" si="31"/>
        <v>0.86831494302294265</v>
      </c>
    </row>
    <row r="605" spans="1:4">
      <c r="A605">
        <v>604</v>
      </c>
      <c r="B605">
        <v>26635</v>
      </c>
      <c r="C605">
        <f t="shared" si="30"/>
        <v>31359.609401403421</v>
      </c>
      <c r="D605">
        <f t="shared" si="31"/>
        <v>0.84934093594954074</v>
      </c>
    </row>
    <row r="606" spans="1:4">
      <c r="A606">
        <v>605</v>
      </c>
      <c r="B606">
        <v>26019</v>
      </c>
      <c r="C606">
        <f t="shared" si="30"/>
        <v>31363.020820454945</v>
      </c>
      <c r="D606">
        <f t="shared" si="31"/>
        <v>0.82960758623832631</v>
      </c>
    </row>
    <row r="607" spans="1:4">
      <c r="A607">
        <v>606</v>
      </c>
      <c r="B607">
        <v>25076</v>
      </c>
      <c r="C607">
        <f t="shared" si="30"/>
        <v>31366.368535987902</v>
      </c>
      <c r="D607">
        <f t="shared" si="31"/>
        <v>0.79945499496472761</v>
      </c>
    </row>
    <row r="608" spans="1:4">
      <c r="A608">
        <v>607</v>
      </c>
      <c r="B608">
        <v>23131</v>
      </c>
      <c r="C608">
        <f t="shared" si="30"/>
        <v>31369.652490689503</v>
      </c>
      <c r="D608">
        <f t="shared" si="31"/>
        <v>0.73736870393655995</v>
      </c>
    </row>
    <row r="609" spans="1:7">
      <c r="A609">
        <v>608</v>
      </c>
      <c r="B609">
        <v>20812</v>
      </c>
      <c r="C609">
        <f t="shared" si="30"/>
        <v>31372.872627810753</v>
      </c>
      <c r="D609">
        <f t="shared" si="31"/>
        <v>0.66337565727248782</v>
      </c>
    </row>
    <row r="610" spans="1:7">
      <c r="A610">
        <v>609</v>
      </c>
      <c r="B610">
        <v>18743</v>
      </c>
      <c r="C610">
        <f t="shared" si="30"/>
        <v>31376.028891166428</v>
      </c>
      <c r="D610">
        <f t="shared" si="31"/>
        <v>0.59736686452621424</v>
      </c>
    </row>
    <row r="611" spans="1:7" ht="17.25">
      <c r="A611">
        <v>610</v>
      </c>
      <c r="B611">
        <v>17679</v>
      </c>
      <c r="C611">
        <f t="shared" si="30"/>
        <v>31379.121225135095</v>
      </c>
      <c r="D611">
        <f t="shared" si="31"/>
        <v>0.56340009884785702</v>
      </c>
      <c r="F611">
        <v>610.5</v>
      </c>
      <c r="G611" t="s">
        <v>73</v>
      </c>
    </row>
    <row r="612" spans="1:7" ht="17.25">
      <c r="A612">
        <v>611</v>
      </c>
      <c r="B612">
        <v>17756</v>
      </c>
      <c r="C612">
        <f t="shared" si="30"/>
        <v>31382.149574659124</v>
      </c>
      <c r="D612">
        <f t="shared" si="31"/>
        <v>0.56579935538698256</v>
      </c>
      <c r="F612">
        <v>610.5</v>
      </c>
      <c r="G612" t="s">
        <v>74</v>
      </c>
    </row>
    <row r="613" spans="1:7">
      <c r="A613">
        <v>612</v>
      </c>
      <c r="B613">
        <v>19551</v>
      </c>
      <c r="C613">
        <f t="shared" si="30"/>
        <v>31385.113885244646</v>
      </c>
      <c r="D613">
        <f t="shared" si="31"/>
        <v>0.62293863490460932</v>
      </c>
    </row>
    <row r="614" spans="1:7">
      <c r="A614">
        <v>613</v>
      </c>
      <c r="B614">
        <v>21673</v>
      </c>
      <c r="C614">
        <f t="shared" si="30"/>
        <v>31388.014102961599</v>
      </c>
      <c r="D614">
        <f t="shared" si="31"/>
        <v>0.69048650000303957</v>
      </c>
    </row>
    <row r="615" spans="1:7">
      <c r="A615">
        <v>614</v>
      </c>
      <c r="B615">
        <v>23833</v>
      </c>
      <c r="C615">
        <f t="shared" si="30"/>
        <v>31390.850174443694</v>
      </c>
      <c r="D615">
        <f t="shared" si="31"/>
        <v>0.75923397638344992</v>
      </c>
    </row>
    <row r="616" spans="1:7">
      <c r="A616">
        <v>615</v>
      </c>
      <c r="B616">
        <v>25694</v>
      </c>
      <c r="C616">
        <f t="shared" si="30"/>
        <v>31393.622046888442</v>
      </c>
      <c r="D616">
        <f t="shared" si="31"/>
        <v>0.81844649724151997</v>
      </c>
    </row>
    <row r="617" spans="1:7">
      <c r="A617">
        <v>616</v>
      </c>
      <c r="B617">
        <v>26821</v>
      </c>
      <c r="C617">
        <f t="shared" si="30"/>
        <v>31396.329668057126</v>
      </c>
      <c r="D617">
        <f t="shared" si="31"/>
        <v>0.85427182997405893</v>
      </c>
    </row>
    <row r="618" spans="1:7">
      <c r="A618">
        <v>617</v>
      </c>
      <c r="B618">
        <v>27049</v>
      </c>
      <c r="C618">
        <f t="shared" si="30"/>
        <v>31398.972986274828</v>
      </c>
      <c r="D618">
        <f t="shared" si="31"/>
        <v>0.86146129721579445</v>
      </c>
    </row>
    <row r="619" spans="1:7">
      <c r="A619">
        <v>618</v>
      </c>
      <c r="B619">
        <v>26833</v>
      </c>
      <c r="C619">
        <f t="shared" si="30"/>
        <v>31401.55195043041</v>
      </c>
      <c r="D619">
        <f t="shared" si="31"/>
        <v>0.85451190572866609</v>
      </c>
    </row>
    <row r="620" spans="1:7">
      <c r="A620">
        <v>619</v>
      </c>
      <c r="B620">
        <v>26428</v>
      </c>
      <c r="C620">
        <f t="shared" si="30"/>
        <v>31404.066509976517</v>
      </c>
      <c r="D620">
        <f t="shared" si="31"/>
        <v>0.84154706498294707</v>
      </c>
    </row>
    <row r="621" spans="1:7">
      <c r="A621">
        <v>620</v>
      </c>
      <c r="B621">
        <v>26336</v>
      </c>
      <c r="C621">
        <f t="shared" si="30"/>
        <v>31406.516614929598</v>
      </c>
      <c r="D621">
        <f t="shared" si="31"/>
        <v>0.83855208531724768</v>
      </c>
    </row>
    <row r="622" spans="1:7">
      <c r="A622">
        <v>621</v>
      </c>
      <c r="B622">
        <v>26313</v>
      </c>
      <c r="C622">
        <f t="shared" si="30"/>
        <v>31408.902215869868</v>
      </c>
      <c r="D622">
        <f t="shared" si="31"/>
        <v>0.83775611828626473</v>
      </c>
    </row>
    <row r="623" spans="1:7">
      <c r="A623">
        <v>622</v>
      </c>
      <c r="B623">
        <v>25805</v>
      </c>
      <c r="C623">
        <f t="shared" si="30"/>
        <v>31411.223263941338</v>
      </c>
      <c r="D623">
        <f t="shared" si="31"/>
        <v>0.82152165113617115</v>
      </c>
    </row>
    <row r="624" spans="1:7">
      <c r="A624">
        <v>623</v>
      </c>
      <c r="B624">
        <v>25425</v>
      </c>
      <c r="C624">
        <f t="shared" si="30"/>
        <v>31413.479710851796</v>
      </c>
      <c r="D624">
        <f t="shared" si="31"/>
        <v>0.80936592297404497</v>
      </c>
    </row>
    <row r="625" spans="1:4">
      <c r="A625">
        <v>624</v>
      </c>
      <c r="B625">
        <v>24801</v>
      </c>
      <c r="C625">
        <f t="shared" si="30"/>
        <v>31415.671508872845</v>
      </c>
      <c r="D625">
        <f t="shared" si="31"/>
        <v>0.78944675726556923</v>
      </c>
    </row>
    <row r="626" spans="1:4">
      <c r="A626">
        <v>625</v>
      </c>
      <c r="B626">
        <v>24726</v>
      </c>
      <c r="C626">
        <f t="shared" si="30"/>
        <v>31417.798610839844</v>
      </c>
      <c r="D626">
        <f t="shared" si="31"/>
        <v>0.78700612688595495</v>
      </c>
    </row>
    <row r="627" spans="1:4">
      <c r="A627">
        <v>626</v>
      </c>
      <c r="B627">
        <v>24791</v>
      </c>
      <c r="C627">
        <f t="shared" si="30"/>
        <v>31419.860970151949</v>
      </c>
      <c r="D627">
        <f t="shared" si="31"/>
        <v>0.78902322399041824</v>
      </c>
    </row>
    <row r="628" spans="1:4">
      <c r="A628">
        <v>627</v>
      </c>
      <c r="B628">
        <v>24872</v>
      </c>
      <c r="C628">
        <f t="shared" si="30"/>
        <v>31421.858540772097</v>
      </c>
      <c r="D628">
        <f t="shared" si="31"/>
        <v>0.79155088702747523</v>
      </c>
    </row>
    <row r="629" spans="1:4">
      <c r="A629">
        <v>628</v>
      </c>
      <c r="B629">
        <v>24406</v>
      </c>
      <c r="C629">
        <f t="shared" si="30"/>
        <v>31423.791277227036</v>
      </c>
      <c r="D629">
        <f t="shared" si="31"/>
        <v>0.77667267404767737</v>
      </c>
    </row>
    <row r="630" spans="1:4">
      <c r="A630">
        <v>629</v>
      </c>
      <c r="B630">
        <v>24075</v>
      </c>
      <c r="C630">
        <f t="shared" si="30"/>
        <v>31425.659134607264</v>
      </c>
      <c r="D630">
        <f t="shared" si="31"/>
        <v>0.76609371650339042</v>
      </c>
    </row>
    <row r="631" spans="1:4">
      <c r="A631">
        <v>630</v>
      </c>
      <c r="B631">
        <v>24408</v>
      </c>
      <c r="C631">
        <f t="shared" si="30"/>
        <v>31427.462068567096</v>
      </c>
      <c r="D631">
        <f t="shared" si="31"/>
        <v>0.77664559571331804</v>
      </c>
    </row>
    <row r="632" spans="1:4">
      <c r="A632">
        <v>631</v>
      </c>
      <c r="B632">
        <v>25443</v>
      </c>
      <c r="C632">
        <f t="shared" si="30"/>
        <v>31429.200035324619</v>
      </c>
      <c r="D632">
        <f t="shared" si="31"/>
        <v>0.80953380841394396</v>
      </c>
    </row>
    <row r="633" spans="1:4">
      <c r="A633">
        <v>632</v>
      </c>
      <c r="B633">
        <v>26203</v>
      </c>
      <c r="C633">
        <f t="shared" si="30"/>
        <v>31430.872991661709</v>
      </c>
      <c r="D633">
        <f t="shared" si="31"/>
        <v>0.83367076717695332</v>
      </c>
    </row>
    <row r="634" spans="1:4">
      <c r="A634">
        <v>633</v>
      </c>
      <c r="B634">
        <v>27269</v>
      </c>
      <c r="C634">
        <f t="shared" si="30"/>
        <v>31432.480894924029</v>
      </c>
      <c r="D634">
        <f t="shared" si="31"/>
        <v>0.86754208460852411</v>
      </c>
    </row>
    <row r="635" spans="1:4">
      <c r="A635">
        <v>634</v>
      </c>
      <c r="B635">
        <v>28082</v>
      </c>
      <c r="C635">
        <f t="shared" si="30"/>
        <v>31434.02370302103</v>
      </c>
      <c r="D635">
        <f t="shared" si="31"/>
        <v>0.89336319986617307</v>
      </c>
    </row>
    <row r="636" spans="1:4">
      <c r="A636">
        <v>635</v>
      </c>
      <c r="B636">
        <v>28872</v>
      </c>
      <c r="C636">
        <f t="shared" si="30"/>
        <v>31435.501374425941</v>
      </c>
      <c r="D636">
        <f t="shared" si="31"/>
        <v>0.91845202836461026</v>
      </c>
    </row>
    <row r="637" spans="1:4">
      <c r="A637">
        <v>636</v>
      </c>
      <c r="B637">
        <v>29547</v>
      </c>
      <c r="C637">
        <f t="shared" si="30"/>
        <v>31436.913868175794</v>
      </c>
      <c r="D637">
        <f t="shared" si="31"/>
        <v>0.93988233463053161</v>
      </c>
    </row>
    <row r="638" spans="1:4">
      <c r="A638">
        <v>637</v>
      </c>
      <c r="B638">
        <v>29684</v>
      </c>
      <c r="C638">
        <f t="shared" si="30"/>
        <v>31438.261143871401</v>
      </c>
      <c r="D638">
        <f t="shared" si="31"/>
        <v>0.9441998036773297</v>
      </c>
    </row>
    <row r="639" spans="1:4">
      <c r="A639">
        <v>638</v>
      </c>
      <c r="B639">
        <v>29991</v>
      </c>
      <c r="C639">
        <f t="shared" si="30"/>
        <v>31439.543161677342</v>
      </c>
      <c r="D639">
        <f t="shared" si="31"/>
        <v>0.953926074745163</v>
      </c>
    </row>
    <row r="640" spans="1:4">
      <c r="A640">
        <v>639</v>
      </c>
      <c r="B640">
        <v>29989</v>
      </c>
      <c r="C640">
        <f t="shared" si="30"/>
        <v>31440.759882322021</v>
      </c>
      <c r="D640">
        <f t="shared" si="31"/>
        <v>0.95382554722736546</v>
      </c>
    </row>
    <row r="641" spans="1:4">
      <c r="A641">
        <v>640</v>
      </c>
      <c r="B641">
        <v>29978</v>
      </c>
      <c r="C641">
        <f t="shared" si="30"/>
        <v>31441.911267097596</v>
      </c>
      <c r="D641">
        <f t="shared" si="31"/>
        <v>0.95344076717659632</v>
      </c>
    </row>
    <row r="642" spans="1:4">
      <c r="A642">
        <v>641</v>
      </c>
      <c r="B642">
        <v>29891</v>
      </c>
      <c r="C642">
        <f t="shared" ref="C642:C705" si="32" xml:space="preserve"> 0.00000002349111*A642*A642*A642*A642 - 0.0000664476*A642*A642*A642 + 0.03716061*A642*A642 + 10.57172*A642 + 22932.71</f>
        <v>31442.997277860028</v>
      </c>
      <c r="D642">
        <f t="shared" ref="D642:D705" si="33">B642/C642</f>
        <v>0.95064092445942372</v>
      </c>
    </row>
    <row r="643" spans="1:4">
      <c r="A643">
        <v>642</v>
      </c>
      <c r="B643">
        <v>29601</v>
      </c>
      <c r="C643">
        <f t="shared" si="32"/>
        <v>31444.017877029051</v>
      </c>
      <c r="D643">
        <f t="shared" si="33"/>
        <v>0.941387328927343</v>
      </c>
    </row>
    <row r="644" spans="1:4">
      <c r="A644">
        <v>643</v>
      </c>
      <c r="B644">
        <v>28657</v>
      </c>
      <c r="C644">
        <f t="shared" si="32"/>
        <v>31444.973027588207</v>
      </c>
      <c r="D644">
        <f t="shared" si="33"/>
        <v>0.91133803723914208</v>
      </c>
    </row>
    <row r="645" spans="1:4">
      <c r="A645">
        <v>644</v>
      </c>
      <c r="B645">
        <v>27637</v>
      </c>
      <c r="C645">
        <f t="shared" si="32"/>
        <v>31445.862693084804</v>
      </c>
      <c r="D645">
        <f t="shared" si="33"/>
        <v>0.87887555414651086</v>
      </c>
    </row>
    <row r="646" spans="1:4">
      <c r="A646">
        <v>645</v>
      </c>
      <c r="B646">
        <v>26347</v>
      </c>
      <c r="C646">
        <f t="shared" si="32"/>
        <v>31446.686837629939</v>
      </c>
      <c r="D646">
        <f t="shared" si="33"/>
        <v>0.83783071126184527</v>
      </c>
    </row>
    <row r="647" spans="1:4">
      <c r="A647">
        <v>646</v>
      </c>
      <c r="B647">
        <v>25645</v>
      </c>
      <c r="C647">
        <f t="shared" si="32"/>
        <v>31447.445425898521</v>
      </c>
      <c r="D647">
        <f t="shared" si="33"/>
        <v>0.81548754287303982</v>
      </c>
    </row>
    <row r="648" spans="1:4">
      <c r="A648">
        <v>647</v>
      </c>
      <c r="B648">
        <v>25316</v>
      </c>
      <c r="C648">
        <f t="shared" si="32"/>
        <v>31448.13842312921</v>
      </c>
      <c r="D648">
        <f t="shared" si="33"/>
        <v>0.80500790410477219</v>
      </c>
    </row>
    <row r="649" spans="1:4">
      <c r="A649">
        <v>648</v>
      </c>
      <c r="B649">
        <v>25397</v>
      </c>
      <c r="C649">
        <f t="shared" si="32"/>
        <v>31448.765795124469</v>
      </c>
      <c r="D649">
        <f t="shared" si="33"/>
        <v>0.80756746275675217</v>
      </c>
    </row>
    <row r="650" spans="1:4">
      <c r="A650">
        <v>649</v>
      </c>
      <c r="B650">
        <v>25804</v>
      </c>
      <c r="C650">
        <f t="shared" si="32"/>
        <v>31449.327508250553</v>
      </c>
      <c r="D650">
        <f t="shared" si="33"/>
        <v>0.8204944920755608</v>
      </c>
    </row>
    <row r="651" spans="1:4">
      <c r="A651">
        <v>650</v>
      </c>
      <c r="B651">
        <v>26019</v>
      </c>
      <c r="C651">
        <f t="shared" si="32"/>
        <v>31449.823529437497</v>
      </c>
      <c r="D651">
        <f t="shared" si="33"/>
        <v>0.82731783775021295</v>
      </c>
    </row>
    <row r="652" spans="1:4">
      <c r="A652">
        <v>651</v>
      </c>
      <c r="B652">
        <v>25914</v>
      </c>
      <c r="C652">
        <f t="shared" si="32"/>
        <v>31450.253826179127</v>
      </c>
      <c r="D652">
        <f t="shared" si="33"/>
        <v>0.82396791273046066</v>
      </c>
    </row>
    <row r="653" spans="1:4">
      <c r="A653">
        <v>652</v>
      </c>
      <c r="B653">
        <v>25806</v>
      </c>
      <c r="C653">
        <f t="shared" si="32"/>
        <v>31450.618366533043</v>
      </c>
      <c r="D653">
        <f t="shared" si="33"/>
        <v>0.82052440747748401</v>
      </c>
    </row>
    <row r="654" spans="1:4">
      <c r="A654">
        <v>653</v>
      </c>
      <c r="B654">
        <v>25880</v>
      </c>
      <c r="C654">
        <f t="shared" si="32"/>
        <v>31450.917119120651</v>
      </c>
      <c r="D654">
        <f t="shared" si="33"/>
        <v>0.82286948587156461</v>
      </c>
    </row>
    <row r="655" spans="1:4">
      <c r="A655">
        <v>654</v>
      </c>
      <c r="B655">
        <v>25988</v>
      </c>
      <c r="C655">
        <f t="shared" si="32"/>
        <v>31451.150053127127</v>
      </c>
      <c r="D655">
        <f t="shared" si="33"/>
        <v>0.82629728821048509</v>
      </c>
    </row>
    <row r="656" spans="1:4">
      <c r="A656">
        <v>655</v>
      </c>
      <c r="B656">
        <v>26349</v>
      </c>
      <c r="C656">
        <f t="shared" si="32"/>
        <v>31451.317138301441</v>
      </c>
      <c r="D656">
        <f t="shared" si="33"/>
        <v>0.83777095516016287</v>
      </c>
    </row>
    <row r="657" spans="1:7">
      <c r="A657">
        <v>656</v>
      </c>
      <c r="B657">
        <v>26883</v>
      </c>
      <c r="C657">
        <f t="shared" si="32"/>
        <v>31451.418344956353</v>
      </c>
      <c r="D657">
        <f t="shared" si="33"/>
        <v>0.85474682588713968</v>
      </c>
    </row>
    <row r="658" spans="1:7">
      <c r="A658">
        <v>657</v>
      </c>
      <c r="B658">
        <v>27430</v>
      </c>
      <c r="C658">
        <f t="shared" si="32"/>
        <v>31451.453643968398</v>
      </c>
      <c r="D658">
        <f t="shared" si="33"/>
        <v>0.87213774951417511</v>
      </c>
    </row>
    <row r="659" spans="1:7">
      <c r="A659">
        <v>658</v>
      </c>
      <c r="B659">
        <v>27812</v>
      </c>
      <c r="C659">
        <f t="shared" si="32"/>
        <v>31451.423006777914</v>
      </c>
      <c r="D659">
        <f t="shared" si="33"/>
        <v>0.88428431343174507</v>
      </c>
    </row>
    <row r="660" spans="1:7">
      <c r="A660">
        <v>659</v>
      </c>
      <c r="B660">
        <v>27952</v>
      </c>
      <c r="C660">
        <f t="shared" si="32"/>
        <v>31451.326405389016</v>
      </c>
      <c r="D660">
        <f t="shared" si="33"/>
        <v>0.88873835207187235</v>
      </c>
    </row>
    <row r="661" spans="1:7">
      <c r="A661">
        <v>660</v>
      </c>
      <c r="B661">
        <v>27654</v>
      </c>
      <c r="C661">
        <f t="shared" si="32"/>
        <v>31451.163812369596</v>
      </c>
      <c r="D661">
        <f t="shared" si="33"/>
        <v>0.87926793949430293</v>
      </c>
    </row>
    <row r="662" spans="1:7">
      <c r="A662">
        <v>661</v>
      </c>
      <c r="B662">
        <v>27304</v>
      </c>
      <c r="C662">
        <f t="shared" si="32"/>
        <v>31450.935200851352</v>
      </c>
      <c r="D662">
        <f t="shared" si="33"/>
        <v>0.8681458858260247</v>
      </c>
    </row>
    <row r="663" spans="1:7">
      <c r="A663">
        <v>662</v>
      </c>
      <c r="B663">
        <v>26987</v>
      </c>
      <c r="C663">
        <f t="shared" si="32"/>
        <v>31450.640544529764</v>
      </c>
      <c r="D663">
        <f t="shared" si="33"/>
        <v>0.85807473338389195</v>
      </c>
    </row>
    <row r="664" spans="1:7">
      <c r="A664">
        <v>663</v>
      </c>
      <c r="B664">
        <v>26277</v>
      </c>
      <c r="C664">
        <f t="shared" si="32"/>
        <v>31450.279817664083</v>
      </c>
      <c r="D664">
        <f t="shared" si="33"/>
        <v>0.83550925945153265</v>
      </c>
    </row>
    <row r="665" spans="1:7">
      <c r="A665">
        <v>664</v>
      </c>
      <c r="B665">
        <v>25276</v>
      </c>
      <c r="C665">
        <f t="shared" si="32"/>
        <v>31449.852995077366</v>
      </c>
      <c r="D665">
        <f t="shared" si="33"/>
        <v>0.80369215092853641</v>
      </c>
    </row>
    <row r="666" spans="1:7">
      <c r="A666">
        <v>665</v>
      </c>
      <c r="B666">
        <v>23759</v>
      </c>
      <c r="C666">
        <f t="shared" si="32"/>
        <v>31449.360052156444</v>
      </c>
      <c r="D666">
        <f t="shared" si="33"/>
        <v>0.75546847250937543</v>
      </c>
    </row>
    <row r="667" spans="1:7">
      <c r="A667">
        <v>666</v>
      </c>
      <c r="B667">
        <v>22052</v>
      </c>
      <c r="C667">
        <f t="shared" si="32"/>
        <v>31448.800964851944</v>
      </c>
      <c r="D667">
        <f t="shared" si="33"/>
        <v>0.70120320404729997</v>
      </c>
    </row>
    <row r="668" spans="1:7">
      <c r="A668">
        <v>667</v>
      </c>
      <c r="B668">
        <v>20438</v>
      </c>
      <c r="C668">
        <f t="shared" si="32"/>
        <v>31448.175709678264</v>
      </c>
      <c r="D668">
        <f t="shared" si="33"/>
        <v>0.64989461355973499</v>
      </c>
    </row>
    <row r="669" spans="1:7">
      <c r="A669">
        <v>668</v>
      </c>
      <c r="B669">
        <v>19522</v>
      </c>
      <c r="C669">
        <f t="shared" si="32"/>
        <v>31447.484263713617</v>
      </c>
      <c r="D669">
        <f t="shared" si="33"/>
        <v>0.62078097682764077</v>
      </c>
    </row>
    <row r="670" spans="1:7" ht="17.25">
      <c r="A670">
        <v>669</v>
      </c>
      <c r="B670">
        <v>19435</v>
      </c>
      <c r="C670">
        <f t="shared" si="32"/>
        <v>31446.726604599968</v>
      </c>
      <c r="D670">
        <f t="shared" si="33"/>
        <v>0.61802934990241831</v>
      </c>
      <c r="F670">
        <v>669</v>
      </c>
      <c r="G670" t="s">
        <v>75</v>
      </c>
    </row>
    <row r="671" spans="1:7" ht="17.25">
      <c r="A671">
        <v>670</v>
      </c>
      <c r="B671">
        <v>19955</v>
      </c>
      <c r="C671">
        <f t="shared" si="32"/>
        <v>31445.902710543098</v>
      </c>
      <c r="D671">
        <f t="shared" si="33"/>
        <v>0.63458187808071864</v>
      </c>
      <c r="F671">
        <v>669</v>
      </c>
      <c r="G671" t="s">
        <v>76</v>
      </c>
    </row>
    <row r="672" spans="1:7">
      <c r="A672">
        <v>671</v>
      </c>
      <c r="B672">
        <v>20860</v>
      </c>
      <c r="C672">
        <f t="shared" si="32"/>
        <v>31445.01256031256</v>
      </c>
      <c r="D672">
        <f t="shared" si="33"/>
        <v>0.66338024066582391</v>
      </c>
    </row>
    <row r="673" spans="1:4">
      <c r="A673">
        <v>672</v>
      </c>
      <c r="B673">
        <v>21764</v>
      </c>
      <c r="C673">
        <f t="shared" si="32"/>
        <v>31444.056133241691</v>
      </c>
      <c r="D673">
        <f t="shared" si="33"/>
        <v>0.69214989019790507</v>
      </c>
    </row>
    <row r="674" spans="1:4">
      <c r="A674">
        <v>673</v>
      </c>
      <c r="B674">
        <v>23458</v>
      </c>
      <c r="C674">
        <f t="shared" si="32"/>
        <v>31443.033409227621</v>
      </c>
      <c r="D674">
        <f t="shared" si="33"/>
        <v>0.74604761235014161</v>
      </c>
    </row>
    <row r="675" spans="1:4">
      <c r="A675">
        <v>674</v>
      </c>
      <c r="B675">
        <v>25334</v>
      </c>
      <c r="C675">
        <f t="shared" si="32"/>
        <v>31441.944368731274</v>
      </c>
      <c r="D675">
        <f t="shared" si="33"/>
        <v>0.80573897412001116</v>
      </c>
    </row>
    <row r="676" spans="1:4">
      <c r="A676">
        <v>675</v>
      </c>
      <c r="B676">
        <v>26595</v>
      </c>
      <c r="C676">
        <f t="shared" si="32"/>
        <v>31440.788992777339</v>
      </c>
      <c r="D676">
        <f t="shared" si="33"/>
        <v>0.84587571915289639</v>
      </c>
    </row>
    <row r="677" spans="1:4">
      <c r="A677">
        <v>676</v>
      </c>
      <c r="B677">
        <v>27484</v>
      </c>
      <c r="C677">
        <f t="shared" si="32"/>
        <v>31439.567262954319</v>
      </c>
      <c r="D677">
        <f t="shared" si="33"/>
        <v>0.87418506018639708</v>
      </c>
    </row>
    <row r="678" spans="1:4">
      <c r="A678">
        <v>677</v>
      </c>
      <c r="B678">
        <v>27813</v>
      </c>
      <c r="C678">
        <f t="shared" si="32"/>
        <v>31438.279161414477</v>
      </c>
      <c r="D678">
        <f t="shared" si="33"/>
        <v>0.88468582701994913</v>
      </c>
    </row>
    <row r="679" spans="1:4">
      <c r="A679">
        <v>678</v>
      </c>
      <c r="B679">
        <v>27695</v>
      </c>
      <c r="C679">
        <f t="shared" si="32"/>
        <v>31436.924670873879</v>
      </c>
      <c r="D679">
        <f t="shared" si="33"/>
        <v>0.88097039675319289</v>
      </c>
    </row>
    <row r="680" spans="1:4">
      <c r="A680">
        <v>679</v>
      </c>
      <c r="B680">
        <v>27594</v>
      </c>
      <c r="C680">
        <f t="shared" si="32"/>
        <v>31435.503774612374</v>
      </c>
      <c r="D680">
        <f t="shared" si="33"/>
        <v>0.8777972892639051</v>
      </c>
    </row>
    <row r="681" spans="1:4">
      <c r="A681">
        <v>680</v>
      </c>
      <c r="B681">
        <v>27314</v>
      </c>
      <c r="C681">
        <f t="shared" si="32"/>
        <v>31434.016456473597</v>
      </c>
      <c r="D681">
        <f t="shared" si="33"/>
        <v>0.86893127506697887</v>
      </c>
    </row>
    <row r="682" spans="1:4">
      <c r="A682">
        <v>681</v>
      </c>
      <c r="B682">
        <v>27322</v>
      </c>
      <c r="C682">
        <f t="shared" si="32"/>
        <v>31432.46270086497</v>
      </c>
      <c r="D682">
        <f t="shared" si="33"/>
        <v>0.86922874163621111</v>
      </c>
    </row>
    <row r="683" spans="1:4">
      <c r="A683">
        <v>682</v>
      </c>
      <c r="B683">
        <v>26970</v>
      </c>
      <c r="C683">
        <f t="shared" si="32"/>
        <v>31430.842492757703</v>
      </c>
      <c r="D683">
        <f t="shared" si="33"/>
        <v>0.85807435821086975</v>
      </c>
    </row>
    <row r="684" spans="1:4">
      <c r="A684">
        <v>683</v>
      </c>
      <c r="B684">
        <v>26796</v>
      </c>
      <c r="C684">
        <f t="shared" si="32"/>
        <v>31429.155817686795</v>
      </c>
      <c r="D684">
        <f t="shared" si="33"/>
        <v>0.8525841468806018</v>
      </c>
    </row>
    <row r="685" spans="1:4">
      <c r="A685">
        <v>684</v>
      </c>
      <c r="B685">
        <v>26619</v>
      </c>
      <c r="C685">
        <f t="shared" si="32"/>
        <v>31427.402661751014</v>
      </c>
      <c r="D685">
        <f t="shared" si="33"/>
        <v>0.84699968007209447</v>
      </c>
    </row>
    <row r="686" spans="1:4">
      <c r="A686">
        <v>685</v>
      </c>
      <c r="B686">
        <v>26741</v>
      </c>
      <c r="C686">
        <f t="shared" si="32"/>
        <v>31425.58301161294</v>
      </c>
      <c r="D686">
        <f t="shared" si="33"/>
        <v>0.85093091161166967</v>
      </c>
    </row>
    <row r="687" spans="1:4">
      <c r="A687">
        <v>686</v>
      </c>
      <c r="B687">
        <v>27265</v>
      </c>
      <c r="C687">
        <f t="shared" si="32"/>
        <v>31423.696854498925</v>
      </c>
      <c r="D687">
        <f t="shared" si="33"/>
        <v>0.86765730099310312</v>
      </c>
    </row>
    <row r="688" spans="1:4">
      <c r="A688">
        <v>687</v>
      </c>
      <c r="B688">
        <v>27651</v>
      </c>
      <c r="C688">
        <f t="shared" si="32"/>
        <v>31421.744178199115</v>
      </c>
      <c r="D688">
        <f t="shared" si="33"/>
        <v>0.87999570753251455</v>
      </c>
    </row>
    <row r="689" spans="1:7">
      <c r="A689">
        <v>688</v>
      </c>
      <c r="B689">
        <v>27953</v>
      </c>
      <c r="C689">
        <f t="shared" si="32"/>
        <v>31419.72497106743</v>
      </c>
      <c r="D689">
        <f t="shared" si="33"/>
        <v>0.88966405739516397</v>
      </c>
    </row>
    <row r="690" spans="1:7">
      <c r="A690">
        <v>689</v>
      </c>
      <c r="B690">
        <v>27636</v>
      </c>
      <c r="C690">
        <f t="shared" si="32"/>
        <v>31417.639222021593</v>
      </c>
      <c r="D690">
        <f t="shared" si="33"/>
        <v>0.87963324693820644</v>
      </c>
    </row>
    <row r="691" spans="1:7">
      <c r="A691">
        <v>690</v>
      </c>
      <c r="B691">
        <v>27138</v>
      </c>
      <c r="C691">
        <f t="shared" si="32"/>
        <v>31415.486920543099</v>
      </c>
      <c r="D691">
        <f t="shared" si="33"/>
        <v>0.86384145719715133</v>
      </c>
    </row>
    <row r="692" spans="1:7">
      <c r="A692">
        <v>691</v>
      </c>
      <c r="B692">
        <v>26655</v>
      </c>
      <c r="C692">
        <f t="shared" si="32"/>
        <v>31413.26805667724</v>
      </c>
      <c r="D692">
        <f t="shared" si="33"/>
        <v>0.84852680567675554</v>
      </c>
    </row>
    <row r="693" spans="1:7">
      <c r="A693">
        <v>692</v>
      </c>
      <c r="B693">
        <v>25494</v>
      </c>
      <c r="C693">
        <f t="shared" si="32"/>
        <v>31410.982621033094</v>
      </c>
      <c r="D693">
        <f t="shared" si="33"/>
        <v>0.8116269493246917</v>
      </c>
    </row>
    <row r="694" spans="1:7">
      <c r="A694">
        <v>693</v>
      </c>
      <c r="B694">
        <v>24134</v>
      </c>
      <c r="C694">
        <f t="shared" si="32"/>
        <v>31408.630604783513</v>
      </c>
      <c r="D694">
        <f t="shared" si="33"/>
        <v>0.76838752709977776</v>
      </c>
    </row>
    <row r="695" spans="1:7">
      <c r="A695">
        <v>694</v>
      </c>
      <c r="B695">
        <v>22426</v>
      </c>
      <c r="C695">
        <f t="shared" si="32"/>
        <v>31406.211999665149</v>
      </c>
      <c r="D695">
        <f t="shared" si="33"/>
        <v>0.71406255553006848</v>
      </c>
    </row>
    <row r="696" spans="1:7">
      <c r="A696">
        <v>695</v>
      </c>
      <c r="B696">
        <v>20730</v>
      </c>
      <c r="C696">
        <f t="shared" si="32"/>
        <v>31403.726797978441</v>
      </c>
      <c r="D696">
        <f t="shared" si="33"/>
        <v>0.66011273545197369</v>
      </c>
    </row>
    <row r="697" spans="1:7" ht="17.25">
      <c r="A697">
        <v>696</v>
      </c>
      <c r="B697">
        <v>19472</v>
      </c>
      <c r="C697">
        <f t="shared" si="32"/>
        <v>31401.17499258761</v>
      </c>
      <c r="D697">
        <f t="shared" si="33"/>
        <v>0.62010418414586255</v>
      </c>
      <c r="F697">
        <v>696.5</v>
      </c>
      <c r="G697" t="s">
        <v>77</v>
      </c>
    </row>
    <row r="698" spans="1:7" ht="17.25">
      <c r="A698">
        <v>697</v>
      </c>
      <c r="B698">
        <v>19514</v>
      </c>
      <c r="C698">
        <f t="shared" si="32"/>
        <v>31398.556576920662</v>
      </c>
      <c r="D698">
        <f t="shared" si="33"/>
        <v>0.62149353751960879</v>
      </c>
      <c r="F698">
        <v>696.5</v>
      </c>
      <c r="G698" t="s">
        <v>78</v>
      </c>
    </row>
    <row r="699" spans="1:7">
      <c r="A699">
        <v>698</v>
      </c>
      <c r="B699">
        <v>20537</v>
      </c>
      <c r="C699">
        <f t="shared" si="32"/>
        <v>31395.871544969388</v>
      </c>
      <c r="D699">
        <f t="shared" si="33"/>
        <v>0.65413059072382007</v>
      </c>
    </row>
    <row r="700" spans="1:7">
      <c r="A700">
        <v>699</v>
      </c>
      <c r="B700">
        <v>22343</v>
      </c>
      <c r="C700">
        <f t="shared" si="32"/>
        <v>31393.119891289381</v>
      </c>
      <c r="D700">
        <f t="shared" si="33"/>
        <v>0.71171645498667024</v>
      </c>
    </row>
    <row r="701" spans="1:7">
      <c r="A701">
        <v>700</v>
      </c>
      <c r="B701">
        <v>24337</v>
      </c>
      <c r="C701">
        <f t="shared" si="32"/>
        <v>31390.301611000003</v>
      </c>
      <c r="D701">
        <f t="shared" si="33"/>
        <v>0.77530315896906399</v>
      </c>
    </row>
    <row r="702" spans="1:7">
      <c r="A702">
        <v>701</v>
      </c>
      <c r="B702">
        <v>25596</v>
      </c>
      <c r="C702">
        <f t="shared" si="32"/>
        <v>31387.416699784393</v>
      </c>
      <c r="D702">
        <f t="shared" si="33"/>
        <v>0.81548603521027663</v>
      </c>
    </row>
    <row r="703" spans="1:7">
      <c r="A703">
        <v>702</v>
      </c>
      <c r="B703">
        <v>26564</v>
      </c>
      <c r="C703">
        <f t="shared" si="32"/>
        <v>31384.46515388952</v>
      </c>
      <c r="D703">
        <f t="shared" si="33"/>
        <v>0.84640601232957091</v>
      </c>
    </row>
    <row r="704" spans="1:7">
      <c r="A704">
        <v>703</v>
      </c>
      <c r="B704">
        <v>27232</v>
      </c>
      <c r="C704">
        <f t="shared" si="32"/>
        <v>31381.44697012609</v>
      </c>
      <c r="D704">
        <f t="shared" si="33"/>
        <v>0.86777388008665757</v>
      </c>
    </row>
    <row r="705" spans="1:7">
      <c r="A705">
        <v>704</v>
      </c>
      <c r="B705">
        <v>27215</v>
      </c>
      <c r="C705">
        <f t="shared" si="32"/>
        <v>31378.362145868639</v>
      </c>
      <c r="D705">
        <f t="shared" si="33"/>
        <v>0.86731741680733965</v>
      </c>
    </row>
    <row r="706" spans="1:7">
      <c r="A706">
        <v>705</v>
      </c>
      <c r="B706">
        <v>27463</v>
      </c>
      <c r="C706">
        <f t="shared" ref="C706:C769" si="34" xml:space="preserve"> 0.00000002349111*A706*A706*A706*A706 - 0.0000664476*A706*A706*A706 + 0.03716061*A706*A706 + 10.57172*A706 + 22932.71</f>
        <v>31375.210679055446</v>
      </c>
      <c r="D706">
        <f t="shared" ref="D706:D769" si="35">B706/C706</f>
        <v>0.87530886345037207</v>
      </c>
    </row>
    <row r="707" spans="1:7">
      <c r="A707">
        <v>706</v>
      </c>
      <c r="B707">
        <v>27690</v>
      </c>
      <c r="C707">
        <f t="shared" si="34"/>
        <v>31371.992568188602</v>
      </c>
      <c r="D707">
        <f t="shared" si="35"/>
        <v>0.88263440518846215</v>
      </c>
    </row>
    <row r="708" spans="1:7">
      <c r="A708">
        <v>707</v>
      </c>
      <c r="B708">
        <v>27306</v>
      </c>
      <c r="C708">
        <f t="shared" si="34"/>
        <v>31368.707812333996</v>
      </c>
      <c r="D708">
        <f t="shared" si="35"/>
        <v>0.87048533090239177</v>
      </c>
    </row>
    <row r="709" spans="1:7">
      <c r="A709">
        <v>708</v>
      </c>
      <c r="B709">
        <v>27153</v>
      </c>
      <c r="C709">
        <f t="shared" si="34"/>
        <v>31365.356411121276</v>
      </c>
      <c r="D709">
        <f t="shared" si="35"/>
        <v>0.86570034926726691</v>
      </c>
    </row>
    <row r="710" spans="1:7">
      <c r="A710">
        <v>709</v>
      </c>
      <c r="B710">
        <v>26731</v>
      </c>
      <c r="C710">
        <f t="shared" si="34"/>
        <v>31361.938364743903</v>
      </c>
      <c r="D710">
        <f t="shared" si="35"/>
        <v>0.85233889847988931</v>
      </c>
    </row>
    <row r="711" spans="1:7">
      <c r="A711">
        <v>710</v>
      </c>
      <c r="B711">
        <v>26020</v>
      </c>
      <c r="C711">
        <f t="shared" si="34"/>
        <v>31358.453673959102</v>
      </c>
      <c r="D711">
        <f t="shared" si="35"/>
        <v>0.82976030229474307</v>
      </c>
    </row>
    <row r="712" spans="1:7">
      <c r="A712">
        <v>711</v>
      </c>
      <c r="B712">
        <v>25055</v>
      </c>
      <c r="C712">
        <f t="shared" si="34"/>
        <v>31354.902340087887</v>
      </c>
      <c r="D712">
        <f t="shared" si="35"/>
        <v>0.79907759648693488</v>
      </c>
    </row>
    <row r="713" spans="1:7">
      <c r="A713">
        <v>712</v>
      </c>
      <c r="B713">
        <v>23566</v>
      </c>
      <c r="C713">
        <f t="shared" si="34"/>
        <v>31351.284365015083</v>
      </c>
      <c r="D713">
        <f t="shared" si="35"/>
        <v>0.7516757439863393</v>
      </c>
    </row>
    <row r="714" spans="1:7">
      <c r="A714">
        <v>713</v>
      </c>
      <c r="B714">
        <v>21696</v>
      </c>
      <c r="C714">
        <f t="shared" si="34"/>
        <v>31347.599751189271</v>
      </c>
      <c r="D714">
        <f t="shared" si="35"/>
        <v>0.69211040628962006</v>
      </c>
    </row>
    <row r="715" spans="1:7">
      <c r="A715">
        <v>714</v>
      </c>
      <c r="B715">
        <v>19195</v>
      </c>
      <c r="C715">
        <f t="shared" si="34"/>
        <v>31343.848501622826</v>
      </c>
      <c r="D715">
        <f t="shared" si="35"/>
        <v>0.61240086707942643</v>
      </c>
    </row>
    <row r="716" spans="1:7">
      <c r="A716">
        <v>715</v>
      </c>
      <c r="B716">
        <v>17317</v>
      </c>
      <c r="C716">
        <f t="shared" si="34"/>
        <v>31340.030619891939</v>
      </c>
      <c r="D716">
        <f t="shared" si="35"/>
        <v>0.55255210851672454</v>
      </c>
    </row>
    <row r="717" spans="1:7" ht="17.25">
      <c r="A717">
        <v>716</v>
      </c>
      <c r="B717">
        <v>16477</v>
      </c>
      <c r="C717">
        <f t="shared" si="34"/>
        <v>31336.146110136553</v>
      </c>
      <c r="D717">
        <f t="shared" si="35"/>
        <v>0.52581450003738828</v>
      </c>
      <c r="F717">
        <v>716</v>
      </c>
      <c r="G717" t="s">
        <v>79</v>
      </c>
    </row>
    <row r="718" spans="1:7" ht="17.25">
      <c r="A718">
        <v>717</v>
      </c>
      <c r="B718">
        <v>16846</v>
      </c>
      <c r="C718">
        <f t="shared" si="34"/>
        <v>31332.194977060404</v>
      </c>
      <c r="D718">
        <f t="shared" si="35"/>
        <v>0.53765783126058209</v>
      </c>
      <c r="F718">
        <v>716</v>
      </c>
      <c r="G718" t="s">
        <v>80</v>
      </c>
    </row>
    <row r="719" spans="1:7">
      <c r="A719">
        <v>718</v>
      </c>
      <c r="B719">
        <v>18619</v>
      </c>
      <c r="C719">
        <f t="shared" si="34"/>
        <v>31328.17722593102</v>
      </c>
      <c r="D719">
        <f t="shared" si="35"/>
        <v>0.59432120374333952</v>
      </c>
    </row>
    <row r="720" spans="1:7">
      <c r="A720">
        <v>719</v>
      </c>
      <c r="B720">
        <v>20969</v>
      </c>
      <c r="C720">
        <f t="shared" si="34"/>
        <v>31324.092862579717</v>
      </c>
      <c r="D720">
        <f t="shared" si="35"/>
        <v>0.66942082224031196</v>
      </c>
    </row>
    <row r="721" spans="1:4">
      <c r="A721">
        <v>720</v>
      </c>
      <c r="B721">
        <v>23240</v>
      </c>
      <c r="C721">
        <f t="shared" si="34"/>
        <v>31319.941893401596</v>
      </c>
      <c r="D721">
        <f t="shared" si="35"/>
        <v>0.74201925658412993</v>
      </c>
    </row>
    <row r="722" spans="1:4">
      <c r="A722">
        <v>721</v>
      </c>
      <c r="B722">
        <v>24810</v>
      </c>
      <c r="C722">
        <f t="shared" si="34"/>
        <v>31315.72432535555</v>
      </c>
      <c r="D722">
        <f t="shared" si="35"/>
        <v>0.7922537490187308</v>
      </c>
    </row>
    <row r="723" spans="1:4">
      <c r="A723">
        <v>722</v>
      </c>
      <c r="B723">
        <v>26175</v>
      </c>
      <c r="C723">
        <f t="shared" si="34"/>
        <v>31311.44016596425</v>
      </c>
      <c r="D723">
        <f t="shared" si="35"/>
        <v>0.83595643832609157</v>
      </c>
    </row>
    <row r="724" spans="1:4">
      <c r="A724">
        <v>723</v>
      </c>
      <c r="B724">
        <v>27184</v>
      </c>
      <c r="C724">
        <f t="shared" si="34"/>
        <v>31307.089423314144</v>
      </c>
      <c r="D724">
        <f t="shared" si="35"/>
        <v>0.86830173295369606</v>
      </c>
    </row>
    <row r="725" spans="1:4">
      <c r="A725">
        <v>724</v>
      </c>
      <c r="B725">
        <v>27571</v>
      </c>
      <c r="C725">
        <f t="shared" si="34"/>
        <v>31302.672106055499</v>
      </c>
      <c r="D725">
        <f t="shared" si="35"/>
        <v>0.88078742628065909</v>
      </c>
    </row>
    <row r="726" spans="1:4">
      <c r="A726">
        <v>725</v>
      </c>
      <c r="B726">
        <v>27705</v>
      </c>
      <c r="C726">
        <f t="shared" si="34"/>
        <v>31298.188223402343</v>
      </c>
      <c r="D726">
        <f t="shared" si="35"/>
        <v>0.88519500880515389</v>
      </c>
    </row>
    <row r="727" spans="1:4">
      <c r="A727">
        <v>726</v>
      </c>
      <c r="B727">
        <v>27683</v>
      </c>
      <c r="C727">
        <f t="shared" si="34"/>
        <v>31293.637785132494</v>
      </c>
      <c r="D727">
        <f t="shared" si="35"/>
        <v>0.88462070757245437</v>
      </c>
    </row>
    <row r="728" spans="1:4">
      <c r="A728">
        <v>727</v>
      </c>
      <c r="B728">
        <v>27484</v>
      </c>
      <c r="C728">
        <f t="shared" si="34"/>
        <v>31289.020801587547</v>
      </c>
      <c r="D728">
        <f t="shared" si="35"/>
        <v>0.87839118310169406</v>
      </c>
    </row>
    <row r="729" spans="1:4">
      <c r="A729">
        <v>728</v>
      </c>
      <c r="B729">
        <v>27068</v>
      </c>
      <c r="C729">
        <f t="shared" si="34"/>
        <v>31284.337283672925</v>
      </c>
      <c r="D729">
        <f t="shared" si="35"/>
        <v>0.86522529643377166</v>
      </c>
    </row>
    <row r="730" spans="1:4">
      <c r="A730">
        <v>729</v>
      </c>
      <c r="B730">
        <v>26393</v>
      </c>
      <c r="C730">
        <f t="shared" si="34"/>
        <v>31279.587242857782</v>
      </c>
      <c r="D730">
        <f t="shared" si="35"/>
        <v>0.84377711876701444</v>
      </c>
    </row>
    <row r="731" spans="1:4">
      <c r="A731">
        <v>730</v>
      </c>
      <c r="B731">
        <v>25899</v>
      </c>
      <c r="C731">
        <f t="shared" si="34"/>
        <v>31274.770691175097</v>
      </c>
      <c r="D731">
        <f t="shared" si="35"/>
        <v>0.82811158731558676</v>
      </c>
    </row>
    <row r="732" spans="1:4">
      <c r="A732">
        <v>731</v>
      </c>
      <c r="B732">
        <v>25875</v>
      </c>
      <c r="C732">
        <f t="shared" si="34"/>
        <v>31269.88764122162</v>
      </c>
      <c r="D732">
        <f t="shared" si="35"/>
        <v>0.82747339219377969</v>
      </c>
    </row>
    <row r="733" spans="1:4">
      <c r="A733">
        <v>732</v>
      </c>
      <c r="B733">
        <v>25944</v>
      </c>
      <c r="C733">
        <f t="shared" si="34"/>
        <v>31264.938106157897</v>
      </c>
      <c r="D733">
        <f t="shared" si="35"/>
        <v>0.8298113340864125</v>
      </c>
    </row>
    <row r="734" spans="1:4">
      <c r="A734">
        <v>733</v>
      </c>
      <c r="B734">
        <v>26140</v>
      </c>
      <c r="C734">
        <f t="shared" si="34"/>
        <v>31259.922099708252</v>
      </c>
      <c r="D734">
        <f t="shared" si="35"/>
        <v>0.83621449588461916</v>
      </c>
    </row>
    <row r="735" spans="1:4">
      <c r="A735">
        <v>734</v>
      </c>
      <c r="B735">
        <v>26199</v>
      </c>
      <c r="C735">
        <f t="shared" si="34"/>
        <v>31254.839636160803</v>
      </c>
      <c r="D735">
        <f t="shared" si="35"/>
        <v>0.83823818342963541</v>
      </c>
    </row>
    <row r="736" spans="1:4">
      <c r="A736">
        <v>735</v>
      </c>
      <c r="B736">
        <v>25868</v>
      </c>
      <c r="C736">
        <f t="shared" si="34"/>
        <v>31249.690730367442</v>
      </c>
      <c r="D736">
        <f t="shared" si="35"/>
        <v>0.8277841922724154</v>
      </c>
    </row>
    <row r="737" spans="1:4">
      <c r="A737">
        <v>736</v>
      </c>
      <c r="B737">
        <v>25161</v>
      </c>
      <c r="C737">
        <f t="shared" si="34"/>
        <v>31244.47539774386</v>
      </c>
      <c r="D737">
        <f t="shared" si="35"/>
        <v>0.80529436579424396</v>
      </c>
    </row>
    <row r="738" spans="1:4">
      <c r="A738">
        <v>737</v>
      </c>
      <c r="B738">
        <v>24577</v>
      </c>
      <c r="C738">
        <f t="shared" si="34"/>
        <v>31239.193654269529</v>
      </c>
      <c r="D738">
        <f t="shared" si="35"/>
        <v>0.78673605573814187</v>
      </c>
    </row>
    <row r="739" spans="1:4">
      <c r="A739">
        <v>738</v>
      </c>
      <c r="B739">
        <v>24530</v>
      </c>
      <c r="C739">
        <f t="shared" si="34"/>
        <v>31233.845516487712</v>
      </c>
      <c r="D739">
        <f t="shared" si="35"/>
        <v>0.785365989821878</v>
      </c>
    </row>
    <row r="740" spans="1:4">
      <c r="A740">
        <v>739</v>
      </c>
      <c r="B740">
        <v>25157</v>
      </c>
      <c r="C740">
        <f t="shared" si="34"/>
        <v>31228.431001505458</v>
      </c>
      <c r="D740">
        <f t="shared" si="35"/>
        <v>0.80558001773407162</v>
      </c>
    </row>
    <row r="741" spans="1:4">
      <c r="A741">
        <v>740</v>
      </c>
      <c r="B741">
        <v>26126</v>
      </c>
      <c r="C741">
        <f t="shared" si="34"/>
        <v>31222.950126993594</v>
      </c>
      <c r="D741">
        <f t="shared" si="35"/>
        <v>0.83675629284668207</v>
      </c>
    </row>
    <row r="742" spans="1:4">
      <c r="A742">
        <v>741</v>
      </c>
      <c r="B742">
        <v>27104</v>
      </c>
      <c r="C742">
        <f t="shared" si="34"/>
        <v>31217.402911186746</v>
      </c>
      <c r="D742">
        <f t="shared" si="35"/>
        <v>0.86823366047171369</v>
      </c>
    </row>
    <row r="743" spans="1:4">
      <c r="A743">
        <v>742</v>
      </c>
      <c r="B743">
        <v>27678</v>
      </c>
      <c r="C743">
        <f t="shared" si="34"/>
        <v>31211.789372883322</v>
      </c>
      <c r="D743">
        <f t="shared" si="35"/>
        <v>0.88678030180629552</v>
      </c>
    </row>
    <row r="744" spans="1:4">
      <c r="A744">
        <v>743</v>
      </c>
      <c r="B744">
        <v>28160</v>
      </c>
      <c r="C744">
        <f t="shared" si="34"/>
        <v>31206.109531445516</v>
      </c>
      <c r="D744">
        <f t="shared" si="35"/>
        <v>0.90238739858372807</v>
      </c>
    </row>
    <row r="745" spans="1:4">
      <c r="A745">
        <v>744</v>
      </c>
      <c r="B745">
        <v>28373</v>
      </c>
      <c r="C745">
        <f t="shared" si="34"/>
        <v>31200.363406799297</v>
      </c>
      <c r="D745">
        <f t="shared" si="35"/>
        <v>0.90938043349254238</v>
      </c>
    </row>
    <row r="746" spans="1:4">
      <c r="A746">
        <v>745</v>
      </c>
      <c r="B746">
        <v>28692</v>
      </c>
      <c r="C746">
        <f t="shared" si="34"/>
        <v>31194.551019434439</v>
      </c>
      <c r="D746">
        <f t="shared" si="35"/>
        <v>0.91977602056604912</v>
      </c>
    </row>
    <row r="747" spans="1:4">
      <c r="A747">
        <v>746</v>
      </c>
      <c r="B747">
        <v>29073</v>
      </c>
      <c r="C747">
        <f t="shared" si="34"/>
        <v>31188.672390404507</v>
      </c>
      <c r="D747">
        <f t="shared" si="35"/>
        <v>0.93216535914316723</v>
      </c>
    </row>
    <row r="748" spans="1:4">
      <c r="A748">
        <v>747</v>
      </c>
      <c r="B748">
        <v>29337</v>
      </c>
      <c r="C748">
        <f t="shared" si="34"/>
        <v>31182.727541326822</v>
      </c>
      <c r="D748">
        <f t="shared" si="35"/>
        <v>0.94080929774726541</v>
      </c>
    </row>
    <row r="749" spans="1:4">
      <c r="A749">
        <v>748</v>
      </c>
      <c r="B749">
        <v>29964</v>
      </c>
      <c r="C749">
        <f t="shared" si="34"/>
        <v>31176.716494382519</v>
      </c>
      <c r="D749">
        <f t="shared" si="35"/>
        <v>0.96110185321789643</v>
      </c>
    </row>
    <row r="750" spans="1:4">
      <c r="A750">
        <v>749</v>
      </c>
      <c r="B750">
        <v>30313</v>
      </c>
      <c r="C750">
        <f t="shared" si="34"/>
        <v>31170.639272316512</v>
      </c>
      <c r="D750">
        <f t="shared" si="35"/>
        <v>0.9724856694524644</v>
      </c>
    </row>
    <row r="751" spans="1:4">
      <c r="A751">
        <v>750</v>
      </c>
      <c r="B751">
        <v>30167</v>
      </c>
      <c r="C751">
        <f t="shared" si="34"/>
        <v>31164.495898437504</v>
      </c>
      <c r="D751">
        <f t="shared" si="35"/>
        <v>0.96799255467862333</v>
      </c>
    </row>
    <row r="752" spans="1:4">
      <c r="A752">
        <v>751</v>
      </c>
      <c r="B752">
        <v>29586</v>
      </c>
      <c r="C752">
        <f t="shared" si="34"/>
        <v>31158.286396617972</v>
      </c>
      <c r="D752">
        <f t="shared" si="35"/>
        <v>0.94953873982015158</v>
      </c>
    </row>
    <row r="753" spans="1:4">
      <c r="A753">
        <v>752</v>
      </c>
      <c r="B753">
        <v>28803</v>
      </c>
      <c r="C753">
        <f t="shared" si="34"/>
        <v>31152.010791294197</v>
      </c>
      <c r="D753">
        <f t="shared" si="35"/>
        <v>0.92459521130011113</v>
      </c>
    </row>
    <row r="754" spans="1:4">
      <c r="A754">
        <v>753</v>
      </c>
      <c r="B754">
        <v>27575</v>
      </c>
      <c r="C754">
        <f t="shared" si="34"/>
        <v>31145.669107466241</v>
      </c>
      <c r="D754">
        <f t="shared" si="35"/>
        <v>0.88535583887615754</v>
      </c>
    </row>
    <row r="755" spans="1:4">
      <c r="A755">
        <v>754</v>
      </c>
      <c r="B755">
        <v>26826</v>
      </c>
      <c r="C755">
        <f t="shared" si="34"/>
        <v>31139.261370697943</v>
      </c>
      <c r="D755">
        <f t="shared" si="35"/>
        <v>0.86148478862903521</v>
      </c>
    </row>
    <row r="756" spans="1:4">
      <c r="A756">
        <v>755</v>
      </c>
      <c r="B756">
        <v>26399</v>
      </c>
      <c r="C756">
        <f t="shared" si="34"/>
        <v>31132.787607116948</v>
      </c>
      <c r="D756">
        <f t="shared" si="35"/>
        <v>0.84794848226071451</v>
      </c>
    </row>
    <row r="757" spans="1:4">
      <c r="A757">
        <v>756</v>
      </c>
      <c r="B757">
        <v>26227</v>
      </c>
      <c r="C757">
        <f t="shared" si="34"/>
        <v>31126.247843414658</v>
      </c>
      <c r="D757">
        <f t="shared" si="35"/>
        <v>0.8426007571467955</v>
      </c>
    </row>
    <row r="758" spans="1:4">
      <c r="A758">
        <v>757</v>
      </c>
      <c r="B758">
        <v>26617</v>
      </c>
      <c r="C758">
        <f t="shared" si="34"/>
        <v>31119.642106846295</v>
      </c>
      <c r="D758">
        <f t="shared" si="35"/>
        <v>0.85531189300356003</v>
      </c>
    </row>
    <row r="759" spans="1:4">
      <c r="A759">
        <v>758</v>
      </c>
      <c r="B759">
        <v>27203</v>
      </c>
      <c r="C759">
        <f t="shared" si="34"/>
        <v>31112.970425230844</v>
      </c>
      <c r="D759">
        <f t="shared" si="35"/>
        <v>0.87432988969577519</v>
      </c>
    </row>
    <row r="760" spans="1:4">
      <c r="A760">
        <v>759</v>
      </c>
      <c r="B760">
        <v>27475</v>
      </c>
      <c r="C760">
        <f t="shared" si="34"/>
        <v>31106.232826951094</v>
      </c>
      <c r="D760">
        <f t="shared" si="35"/>
        <v>0.883263497474856</v>
      </c>
    </row>
    <row r="761" spans="1:4">
      <c r="A761">
        <v>760</v>
      </c>
      <c r="B761">
        <v>27547</v>
      </c>
      <c r="C761">
        <f t="shared" si="34"/>
        <v>31099.429340953597</v>
      </c>
      <c r="D761">
        <f t="shared" si="35"/>
        <v>0.88577188018445263</v>
      </c>
    </row>
    <row r="762" spans="1:4">
      <c r="A762">
        <v>761</v>
      </c>
      <c r="B762">
        <v>27619</v>
      </c>
      <c r="C762">
        <f t="shared" si="34"/>
        <v>31092.559996748725</v>
      </c>
      <c r="D762">
        <f t="shared" si="35"/>
        <v>0.88828324212892262</v>
      </c>
    </row>
    <row r="763" spans="1:4">
      <c r="A763">
        <v>762</v>
      </c>
      <c r="B763">
        <v>27630</v>
      </c>
      <c r="C763">
        <f t="shared" si="34"/>
        <v>31085.624824410592</v>
      </c>
      <c r="D763">
        <f t="shared" si="35"/>
        <v>0.88883527855946476</v>
      </c>
    </row>
    <row r="764" spans="1:4">
      <c r="A764">
        <v>763</v>
      </c>
      <c r="B764">
        <v>27636</v>
      </c>
      <c r="C764">
        <f t="shared" si="34"/>
        <v>31078.623854577152</v>
      </c>
      <c r="D764">
        <f t="shared" si="35"/>
        <v>0.88922856202752576</v>
      </c>
    </row>
    <row r="765" spans="1:4">
      <c r="A765">
        <v>764</v>
      </c>
      <c r="B765">
        <v>27649</v>
      </c>
      <c r="C765">
        <f t="shared" si="34"/>
        <v>31071.557118450102</v>
      </c>
      <c r="D765">
        <f t="shared" si="35"/>
        <v>0.88984919212761926</v>
      </c>
    </row>
    <row r="766" spans="1:4">
      <c r="A766">
        <v>765</v>
      </c>
      <c r="B766">
        <v>27917</v>
      </c>
      <c r="C766">
        <f t="shared" si="34"/>
        <v>31064.424647794945</v>
      </c>
      <c r="D766">
        <f t="shared" si="35"/>
        <v>0.89868073581017183</v>
      </c>
    </row>
    <row r="767" spans="1:4">
      <c r="A767">
        <v>766</v>
      </c>
      <c r="B767">
        <v>28371</v>
      </c>
      <c r="C767">
        <f t="shared" si="34"/>
        <v>31057.226474940962</v>
      </c>
      <c r="D767">
        <f t="shared" si="35"/>
        <v>0.91350720010016384</v>
      </c>
    </row>
    <row r="768" spans="1:4">
      <c r="A768">
        <v>767</v>
      </c>
      <c r="B768">
        <v>29001</v>
      </c>
      <c r="C768">
        <f t="shared" si="34"/>
        <v>31049.962632781233</v>
      </c>
      <c r="D768">
        <f t="shared" si="35"/>
        <v>0.93401078587392483</v>
      </c>
    </row>
    <row r="769" spans="1:4">
      <c r="A769">
        <v>768</v>
      </c>
      <c r="B769">
        <v>29550</v>
      </c>
      <c r="C769">
        <f t="shared" si="34"/>
        <v>31042.633154772622</v>
      </c>
      <c r="D769">
        <f t="shared" si="35"/>
        <v>0.95191667062099272</v>
      </c>
    </row>
    <row r="770" spans="1:4">
      <c r="A770">
        <v>769</v>
      </c>
      <c r="B770">
        <v>30305</v>
      </c>
      <c r="C770">
        <f t="shared" ref="C770:C833" si="36" xml:space="preserve"> 0.00000002349111*A770*A770*A770*A770 - 0.0000664476*A770*A770*A770 + 0.03716061*A770*A770 + 10.57172*A770 + 22932.71</f>
        <v>31035.238074935762</v>
      </c>
      <c r="D770">
        <f t="shared" ref="D770:D833" si="37">B770/C770</f>
        <v>0.97647067913020114</v>
      </c>
    </row>
    <row r="771" spans="1:4">
      <c r="A771">
        <v>770</v>
      </c>
      <c r="B771">
        <v>30977</v>
      </c>
      <c r="C771">
        <f t="shared" si="36"/>
        <v>31027.777427855097</v>
      </c>
      <c r="D771">
        <f t="shared" si="37"/>
        <v>0.99836348484923987</v>
      </c>
    </row>
    <row r="772" spans="1:4">
      <c r="A772">
        <v>771</v>
      </c>
      <c r="B772">
        <v>31453</v>
      </c>
      <c r="C772">
        <f t="shared" si="36"/>
        <v>31020.25124867884</v>
      </c>
      <c r="D772">
        <f t="shared" si="37"/>
        <v>1.0139505237353483</v>
      </c>
    </row>
    <row r="773" spans="1:4">
      <c r="A773">
        <v>772</v>
      </c>
      <c r="B773">
        <v>31716</v>
      </c>
      <c r="C773">
        <f t="shared" si="36"/>
        <v>31012.659573119006</v>
      </c>
      <c r="D773">
        <f t="shared" si="37"/>
        <v>1.0226791393115677</v>
      </c>
    </row>
    <row r="774" spans="1:4">
      <c r="A774">
        <v>773</v>
      </c>
      <c r="B774">
        <v>32019</v>
      </c>
      <c r="C774">
        <f t="shared" si="36"/>
        <v>31005.00243745137</v>
      </c>
      <c r="D774">
        <f t="shared" si="37"/>
        <v>1.0327043213298963</v>
      </c>
    </row>
    <row r="775" spans="1:4">
      <c r="A775">
        <v>774</v>
      </c>
      <c r="B775">
        <v>32455</v>
      </c>
      <c r="C775">
        <f t="shared" si="36"/>
        <v>30997.279878515532</v>
      </c>
      <c r="D775">
        <f t="shared" si="37"/>
        <v>1.0470273561808507</v>
      </c>
    </row>
    <row r="776" spans="1:4">
      <c r="A776">
        <v>775</v>
      </c>
      <c r="B776">
        <v>32229</v>
      </c>
      <c r="C776">
        <f t="shared" si="36"/>
        <v>30989.491933714842</v>
      </c>
      <c r="D776">
        <f t="shared" si="37"/>
        <v>1.0399976891823981</v>
      </c>
    </row>
    <row r="777" spans="1:4">
      <c r="A777">
        <v>776</v>
      </c>
      <c r="B777">
        <v>31813</v>
      </c>
      <c r="C777">
        <f t="shared" si="36"/>
        <v>30981.638641016463</v>
      </c>
      <c r="D777">
        <f t="shared" si="37"/>
        <v>1.0268340021848585</v>
      </c>
    </row>
    <row r="778" spans="1:4">
      <c r="A778">
        <v>777</v>
      </c>
      <c r="B778">
        <v>30844</v>
      </c>
      <c r="C778">
        <f t="shared" si="36"/>
        <v>30973.720038951327</v>
      </c>
      <c r="D778">
        <f t="shared" si="37"/>
        <v>0.99581193221904907</v>
      </c>
    </row>
    <row r="779" spans="1:4">
      <c r="A779">
        <v>778</v>
      </c>
      <c r="B779">
        <v>29295</v>
      </c>
      <c r="C779">
        <f t="shared" si="36"/>
        <v>30965.736166614166</v>
      </c>
      <c r="D779">
        <f t="shared" si="37"/>
        <v>0.94604565001701857</v>
      </c>
    </row>
    <row r="780" spans="1:4">
      <c r="A780">
        <v>779</v>
      </c>
      <c r="B780">
        <v>27108</v>
      </c>
      <c r="C780">
        <f t="shared" si="36"/>
        <v>30957.687063663485</v>
      </c>
      <c r="D780">
        <f t="shared" si="37"/>
        <v>0.87564681251067855</v>
      </c>
    </row>
    <row r="781" spans="1:4">
      <c r="A781">
        <v>780</v>
      </c>
      <c r="B781">
        <v>24341</v>
      </c>
      <c r="C781">
        <f t="shared" si="36"/>
        <v>30949.572770321596</v>
      </c>
      <c r="D781">
        <f t="shared" si="37"/>
        <v>0.7864728919082612</v>
      </c>
    </row>
    <row r="782" spans="1:4">
      <c r="A782">
        <v>781</v>
      </c>
      <c r="B782">
        <v>21157</v>
      </c>
      <c r="C782">
        <f t="shared" si="36"/>
        <v>30941.393327374579</v>
      </c>
      <c r="D782">
        <f t="shared" si="37"/>
        <v>0.68377657645048273</v>
      </c>
    </row>
    <row r="783" spans="1:4">
      <c r="A783">
        <v>782</v>
      </c>
      <c r="B783">
        <v>17509</v>
      </c>
      <c r="C783">
        <f t="shared" si="36"/>
        <v>30933.148776172304</v>
      </c>
      <c r="D783">
        <f t="shared" si="37"/>
        <v>0.56602708397688639</v>
      </c>
    </row>
    <row r="784" spans="1:4">
      <c r="A784">
        <v>783</v>
      </c>
      <c r="B784">
        <v>14152</v>
      </c>
      <c r="C784">
        <f t="shared" si="36"/>
        <v>30924.839158628427</v>
      </c>
      <c r="D784">
        <f t="shared" si="37"/>
        <v>0.45762566225187334</v>
      </c>
    </row>
    <row r="785" spans="1:23">
      <c r="A785">
        <v>784</v>
      </c>
      <c r="B785">
        <v>10967</v>
      </c>
      <c r="C785">
        <f t="shared" si="36"/>
        <v>30916.464517220389</v>
      </c>
      <c r="D785">
        <f t="shared" si="37"/>
        <v>0.35473008221530022</v>
      </c>
      <c r="E785">
        <f t="shared" ref="E785:E798" si="38" xml:space="preserve"> -3.600522996612E-13*A785*A785*A785*A785 + 1.066229076724E-09*A785*A785*A785 - 0.0000009856353200613*A785*A785 + 0.09290311830026*A785 + 6490.335754191</f>
        <v>6562.943749250715</v>
      </c>
      <c r="F785">
        <f t="shared" ref="F785:F798" si="39">E785-E$790</f>
        <v>-0.46315340689397999</v>
      </c>
      <c r="G785">
        <f t="shared" ref="G785:G798" si="40">D785</f>
        <v>0.35473008221530022</v>
      </c>
    </row>
    <row r="786" spans="1:23">
      <c r="A786">
        <v>785</v>
      </c>
      <c r="B786">
        <v>8622</v>
      </c>
      <c r="C786">
        <f t="shared" si="36"/>
        <v>30908.024894989438</v>
      </c>
      <c r="D786">
        <f t="shared" si="37"/>
        <v>0.27895667967440163</v>
      </c>
      <c r="E786">
        <f t="shared" si="38"/>
        <v>6563.0363791565051</v>
      </c>
      <c r="F786">
        <f t="shared" si="39"/>
        <v>-0.37052350110388943</v>
      </c>
      <c r="G786">
        <f t="shared" si="40"/>
        <v>0.27895667967440163</v>
      </c>
    </row>
    <row r="787" spans="1:23">
      <c r="A787">
        <v>786</v>
      </c>
      <c r="B787">
        <v>6953</v>
      </c>
      <c r="C787">
        <f t="shared" si="36"/>
        <v>30899.52033554059</v>
      </c>
      <c r="D787">
        <f t="shared" si="37"/>
        <v>0.2250196742375534</v>
      </c>
      <c r="E787">
        <f t="shared" si="38"/>
        <v>6563.1290094504848</v>
      </c>
      <c r="F787">
        <f t="shared" si="39"/>
        <v>-0.27789320712417975</v>
      </c>
      <c r="G787">
        <f t="shared" si="40"/>
        <v>0.2250196742375534</v>
      </c>
    </row>
    <row r="788" spans="1:23">
      <c r="A788">
        <v>787</v>
      </c>
      <c r="B788">
        <v>6060</v>
      </c>
      <c r="C788">
        <f t="shared" si="36"/>
        <v>30890.950883042649</v>
      </c>
      <c r="D788">
        <f t="shared" si="37"/>
        <v>0.19617395472687085</v>
      </c>
      <c r="E788">
        <f t="shared" si="38"/>
        <v>6563.2216401322621</v>
      </c>
      <c r="F788">
        <f t="shared" si="39"/>
        <v>-0.18526252534684318</v>
      </c>
      <c r="G788">
        <f t="shared" si="40"/>
        <v>0.19617395472687085</v>
      </c>
    </row>
    <row r="789" spans="1:23">
      <c r="A789">
        <v>788</v>
      </c>
      <c r="B789">
        <v>5555</v>
      </c>
      <c r="C789">
        <f t="shared" si="36"/>
        <v>30882.316582228203</v>
      </c>
      <c r="D789">
        <f t="shared" si="37"/>
        <v>0.17987640225140128</v>
      </c>
      <c r="E789">
        <f t="shared" si="38"/>
        <v>6563.3142712014396</v>
      </c>
      <c r="F789">
        <f t="shared" si="39"/>
        <v>-9.2631456169328885E-2</v>
      </c>
      <c r="G789">
        <f t="shared" si="40"/>
        <v>0.17987640225140128</v>
      </c>
      <c r="H789">
        <v>6563.406902657609</v>
      </c>
      <c r="O789">
        <v>14</v>
      </c>
    </row>
    <row r="790" spans="1:23" ht="17.25">
      <c r="A790" s="5">
        <v>789</v>
      </c>
      <c r="B790" s="5">
        <v>5482</v>
      </c>
      <c r="C790" s="5">
        <f t="shared" si="36"/>
        <v>30873.617478393629</v>
      </c>
      <c r="D790" s="5">
        <f t="shared" si="37"/>
        <v>0.17756260677377647</v>
      </c>
      <c r="E790">
        <f t="shared" si="38"/>
        <v>6563.406902657609</v>
      </c>
      <c r="F790">
        <f t="shared" si="39"/>
        <v>0</v>
      </c>
      <c r="G790">
        <f t="shared" si="40"/>
        <v>0.17756260677377647</v>
      </c>
      <c r="H790">
        <v>6562.79</v>
      </c>
      <c r="K790" s="7">
        <v>0.43248740000000002</v>
      </c>
      <c r="L790" s="7">
        <v>-0.6019892</v>
      </c>
      <c r="M790" s="7">
        <v>0.48521950000000003</v>
      </c>
      <c r="N790" s="7">
        <v>1.1330730000000001E-2</v>
      </c>
      <c r="O790" s="7">
        <v>0.17657110000000001</v>
      </c>
    </row>
    <row r="791" spans="1:23">
      <c r="A791">
        <v>790</v>
      </c>
      <c r="B791">
        <v>5574</v>
      </c>
      <c r="C791">
        <f t="shared" si="36"/>
        <v>30864.853617399101</v>
      </c>
      <c r="D791">
        <f t="shared" si="37"/>
        <v>0.18059376108162817</v>
      </c>
      <c r="E791">
        <f t="shared" si="38"/>
        <v>6563.4995345003535</v>
      </c>
      <c r="F791">
        <f t="shared" si="39"/>
        <v>9.2631842744594906E-2</v>
      </c>
      <c r="G791">
        <f t="shared" si="40"/>
        <v>0.18059376108162817</v>
      </c>
      <c r="I791" s="15"/>
      <c r="J791" s="16"/>
      <c r="K791" s="15"/>
      <c r="L791" s="15"/>
      <c r="M791" s="15"/>
      <c r="N791" s="15"/>
      <c r="O791" s="15"/>
      <c r="P791" s="15"/>
      <c r="Q791" s="15">
        <f>H790</f>
        <v>6562.79</v>
      </c>
      <c r="R791" s="15">
        <f>P793</f>
        <v>28.153630050731238</v>
      </c>
      <c r="S791" s="15">
        <f>J795</f>
        <v>0.17656010204745357</v>
      </c>
      <c r="T791" s="15">
        <f>N797</f>
        <v>58.170175383141874</v>
      </c>
      <c r="U791" s="15">
        <f>J796</f>
        <v>0.97410968237412809</v>
      </c>
      <c r="V791" s="16">
        <f>O789</f>
        <v>14</v>
      </c>
      <c r="W791" s="15">
        <f>MIN(J792:J794)*MAX(J792:J794)</f>
        <v>-8.3125573061468075E-3</v>
      </c>
    </row>
    <row r="792" spans="1:23" ht="18">
      <c r="A792">
        <v>791</v>
      </c>
      <c r="B792">
        <v>5885</v>
      </c>
      <c r="C792">
        <f t="shared" si="36"/>
        <v>30856.025045668561</v>
      </c>
      <c r="D792">
        <f t="shared" si="37"/>
        <v>0.19072450165858651</v>
      </c>
      <c r="E792">
        <f t="shared" si="38"/>
        <v>6563.5921667292496</v>
      </c>
      <c r="F792">
        <f t="shared" si="39"/>
        <v>0.1852640716406313</v>
      </c>
      <c r="G792">
        <f t="shared" si="40"/>
        <v>0.19072450165858651</v>
      </c>
      <c r="I792" s="17" t="s">
        <v>192</v>
      </c>
      <c r="J792" s="17">
        <f>6*I790*F789*F789*F789*F789*F789+5*J790*F789*F789*F789*F789+4*K790*F789*F789*F789+3*L790*F789*F789+2*M790*F789+N790</f>
        <v>-9.543372892479636E-2</v>
      </c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</row>
    <row r="793" spans="1:23" ht="18">
      <c r="A793">
        <v>792</v>
      </c>
      <c r="B793">
        <v>6405</v>
      </c>
      <c r="C793">
        <f t="shared" si="36"/>
        <v>30847.131810189756</v>
      </c>
      <c r="D793">
        <f t="shared" si="37"/>
        <v>0.20763680848552121</v>
      </c>
      <c r="E793">
        <f t="shared" si="38"/>
        <v>6563.6847993438623</v>
      </c>
      <c r="F793">
        <f t="shared" si="39"/>
        <v>0.27789668625337072</v>
      </c>
      <c r="G793">
        <f t="shared" si="40"/>
        <v>0.20763680848552121</v>
      </c>
      <c r="I793" s="17" t="s">
        <v>192</v>
      </c>
      <c r="J793" s="17">
        <f>6*I790*F790*F790*F790*F790*F790+5*J790*F790*F790*F790*F790+4*K790*F790*F790*F790+3*L790*F790*F790+2*M790*F790+N790</f>
        <v>1.1330730000000001E-2</v>
      </c>
      <c r="K793" s="16" t="s">
        <v>193</v>
      </c>
      <c r="L793" s="16">
        <f>((F789+F790+F791)*(F789*J792+F790*J793+F791*J794)-(J792+J793+J794)*(F789*F789+F790*F790+F791*F791))/(3*(F789*J792+F790*J793+F791*J794)-(F789+F790+F791)*(J792+J793+J794))</f>
        <v>-1.014785073178199E-3</v>
      </c>
      <c r="M793" s="17" t="s">
        <v>194</v>
      </c>
      <c r="N793" s="17">
        <f>H789+L793</f>
        <v>6563.4058878725355</v>
      </c>
      <c r="O793" s="16" t="s">
        <v>195</v>
      </c>
      <c r="P793" s="16">
        <f>300000*(N793/H790-1)</f>
        <v>28.153630050731238</v>
      </c>
      <c r="Q793" s="15"/>
      <c r="R793" s="15"/>
      <c r="S793" s="15"/>
      <c r="T793" s="15"/>
      <c r="U793" s="15"/>
      <c r="V793" s="15"/>
      <c r="W793" s="15"/>
    </row>
    <row r="794" spans="1:23" ht="18">
      <c r="A794">
        <v>793</v>
      </c>
      <c r="B794">
        <v>6961</v>
      </c>
      <c r="C794">
        <f t="shared" si="36"/>
        <v>30838.173958514213</v>
      </c>
      <c r="D794">
        <f t="shared" si="37"/>
        <v>0.22572672459025786</v>
      </c>
      <c r="E794">
        <f t="shared" si="38"/>
        <v>6563.7774323437507</v>
      </c>
      <c r="F794">
        <f t="shared" si="39"/>
        <v>0.37052968614170823</v>
      </c>
      <c r="G794">
        <f t="shared" si="40"/>
        <v>0.22572672459025786</v>
      </c>
      <c r="I794" s="17" t="s">
        <v>192</v>
      </c>
      <c r="J794" s="17">
        <f>6*I790*F791*F791*F791*F791*F791+5*J790*F791*F791*F791*F791+4*K790*F791*F791*F791+3*L790*F791*F791+2*M790*F791+N790</f>
        <v>8.7102928909937746E-2</v>
      </c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</row>
    <row r="795" spans="1:23" ht="18">
      <c r="A795">
        <v>794</v>
      </c>
      <c r="B795">
        <v>7605</v>
      </c>
      <c r="C795">
        <f t="shared" si="36"/>
        <v>30829.151538757236</v>
      </c>
      <c r="D795">
        <f t="shared" si="37"/>
        <v>0.24668210509910671</v>
      </c>
      <c r="E795">
        <f t="shared" si="38"/>
        <v>6563.8700657284626</v>
      </c>
      <c r="F795">
        <f t="shared" si="39"/>
        <v>0.46316307085362496</v>
      </c>
      <c r="G795">
        <f t="shared" si="40"/>
        <v>0.24668210509910671</v>
      </c>
      <c r="I795" s="16" t="s">
        <v>196</v>
      </c>
      <c r="J795" s="15">
        <f>I790*L793*L793*L793*L793*L793*L793+J790*L793*L793*L793*L793*L793+K790*L793*L793*L793*L793+L790*L793*L793*L793+M790*L793*L793+N790*L793+O790</f>
        <v>0.17656010204745357</v>
      </c>
      <c r="K795" s="18" t="s">
        <v>197</v>
      </c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</row>
    <row r="796" spans="1:23" ht="18">
      <c r="A796">
        <v>795</v>
      </c>
      <c r="B796">
        <v>8298</v>
      </c>
      <c r="C796">
        <f t="shared" si="36"/>
        <v>30820.064599597943</v>
      </c>
      <c r="D796">
        <f t="shared" si="37"/>
        <v>0.26924018842284486</v>
      </c>
      <c r="E796">
        <f t="shared" si="38"/>
        <v>6563.9626994975397</v>
      </c>
      <c r="F796">
        <f t="shared" si="39"/>
        <v>0.55579683993073559</v>
      </c>
      <c r="G796">
        <f t="shared" si="40"/>
        <v>0.26924018842284486</v>
      </c>
      <c r="I796" s="16" t="s">
        <v>198</v>
      </c>
      <c r="J796" s="15">
        <f>30*I790*L793*L793*L793*L793+20*J790*L793*L793*L793+12*K790*L793*L793+6*L790*L793+2*M790</f>
        <v>0.97410968237412809</v>
      </c>
      <c r="K796" s="18" t="s">
        <v>199</v>
      </c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</row>
    <row r="797" spans="1:23" ht="18">
      <c r="A797">
        <v>796</v>
      </c>
      <c r="B797">
        <v>9256</v>
      </c>
      <c r="C797">
        <f t="shared" si="36"/>
        <v>30810.913190279192</v>
      </c>
      <c r="D797">
        <f t="shared" si="37"/>
        <v>0.30041303686254445</v>
      </c>
      <c r="E797">
        <f t="shared" si="38"/>
        <v>6564.0553336505136</v>
      </c>
      <c r="F797">
        <f t="shared" si="39"/>
        <v>0.64843099290465034</v>
      </c>
      <c r="G797">
        <f t="shared" si="40"/>
        <v>0.30041303686254445</v>
      </c>
      <c r="I797" s="16" t="s">
        <v>200</v>
      </c>
      <c r="J797" s="16">
        <f>120*I790*L793*L793*L793+60*J790*L793*L793+24*K790*L793+6*L790</f>
        <v>-3.6224683621885836</v>
      </c>
      <c r="K797" s="19" t="s">
        <v>201</v>
      </c>
      <c r="L797" s="19">
        <f>-J797/(3*J796*J796)</f>
        <v>1.2725288176757656</v>
      </c>
      <c r="M797" s="20" t="s">
        <v>202</v>
      </c>
      <c r="N797" s="19">
        <f>300000*L797/H790</f>
        <v>58.170175383141874</v>
      </c>
      <c r="O797" s="15"/>
      <c r="P797" s="15"/>
      <c r="Q797" s="21" t="s">
        <v>203</v>
      </c>
      <c r="R797" s="16" t="s">
        <v>204</v>
      </c>
      <c r="S797" s="16" t="s">
        <v>136</v>
      </c>
      <c r="T797" s="16" t="s">
        <v>205</v>
      </c>
      <c r="U797" s="16" t="s">
        <v>206</v>
      </c>
      <c r="V797" s="16" t="s">
        <v>207</v>
      </c>
      <c r="W797" s="16" t="s">
        <v>208</v>
      </c>
    </row>
    <row r="798" spans="1:23">
      <c r="A798">
        <v>797</v>
      </c>
      <c r="B798">
        <v>10383</v>
      </c>
      <c r="C798">
        <f t="shared" si="36"/>
        <v>30801.697360607679</v>
      </c>
      <c r="D798">
        <f t="shared" si="37"/>
        <v>0.33709181278038364</v>
      </c>
      <c r="E798">
        <f t="shared" si="38"/>
        <v>6564.1479681869068</v>
      </c>
      <c r="F798">
        <f t="shared" si="39"/>
        <v>0.7410655292978845</v>
      </c>
      <c r="G798">
        <f t="shared" si="40"/>
        <v>0.33709181278038364</v>
      </c>
    </row>
    <row r="799" spans="1:23">
      <c r="A799">
        <v>798</v>
      </c>
      <c r="B799">
        <v>12015</v>
      </c>
      <c r="C799">
        <f t="shared" si="36"/>
        <v>30792.417160953839</v>
      </c>
      <c r="D799">
        <f t="shared" si="37"/>
        <v>0.39019346669658517</v>
      </c>
    </row>
    <row r="800" spans="1:23">
      <c r="A800">
        <v>799</v>
      </c>
      <c r="B800">
        <v>14121</v>
      </c>
      <c r="C800">
        <f t="shared" si="36"/>
        <v>30783.072642251936</v>
      </c>
      <c r="D800">
        <f t="shared" si="37"/>
        <v>0.45872613705942833</v>
      </c>
    </row>
    <row r="801" spans="1:4">
      <c r="A801">
        <v>800</v>
      </c>
      <c r="B801">
        <v>16452</v>
      </c>
      <c r="C801">
        <f t="shared" si="36"/>
        <v>30773.663856000003</v>
      </c>
      <c r="D801">
        <f t="shared" si="37"/>
        <v>0.53461297546448372</v>
      </c>
    </row>
    <row r="802" spans="1:4">
      <c r="A802">
        <v>801</v>
      </c>
      <c r="B802">
        <v>18746</v>
      </c>
      <c r="C802">
        <f t="shared" si="36"/>
        <v>30764.190854259839</v>
      </c>
      <c r="D802">
        <f t="shared" si="37"/>
        <v>0.60934480899582277</v>
      </c>
    </row>
    <row r="803" spans="1:4">
      <c r="A803">
        <v>802</v>
      </c>
      <c r="B803">
        <v>20738</v>
      </c>
      <c r="C803">
        <f t="shared" si="36"/>
        <v>30754.653689657069</v>
      </c>
      <c r="D803">
        <f t="shared" si="37"/>
        <v>0.67430445516524495</v>
      </c>
    </row>
    <row r="804" spans="1:4">
      <c r="A804">
        <v>803</v>
      </c>
      <c r="B804">
        <v>22519</v>
      </c>
      <c r="C804">
        <f t="shared" si="36"/>
        <v>30745.052415381084</v>
      </c>
      <c r="D804">
        <f t="shared" si="37"/>
        <v>0.73244305118615549</v>
      </c>
    </row>
    <row r="805" spans="1:4">
      <c r="A805">
        <v>804</v>
      </c>
      <c r="B805">
        <v>23915</v>
      </c>
      <c r="C805">
        <f t="shared" si="36"/>
        <v>30735.387085185048</v>
      </c>
      <c r="D805">
        <f t="shared" si="37"/>
        <v>0.77809334021784338</v>
      </c>
    </row>
    <row r="806" spans="1:4">
      <c r="A806">
        <v>805</v>
      </c>
      <c r="B806">
        <v>25332</v>
      </c>
      <c r="C806">
        <f t="shared" si="36"/>
        <v>30725.657753385938</v>
      </c>
      <c r="D806">
        <f t="shared" si="37"/>
        <v>0.8244575332877434</v>
      </c>
    </row>
    <row r="807" spans="1:4">
      <c r="A807">
        <v>806</v>
      </c>
      <c r="B807">
        <v>26307</v>
      </c>
      <c r="C807">
        <f t="shared" si="36"/>
        <v>30715.864474864506</v>
      </c>
      <c r="D807">
        <f t="shared" si="37"/>
        <v>0.85646295325751354</v>
      </c>
    </row>
    <row r="808" spans="1:4">
      <c r="A808">
        <v>807</v>
      </c>
      <c r="B808">
        <v>27040</v>
      </c>
      <c r="C808">
        <f t="shared" si="36"/>
        <v>30706.00730506529</v>
      </c>
      <c r="D808">
        <f t="shared" si="37"/>
        <v>0.88060944333649849</v>
      </c>
    </row>
    <row r="809" spans="1:4">
      <c r="A809">
        <v>808</v>
      </c>
      <c r="B809">
        <v>27606</v>
      </c>
      <c r="C809">
        <f t="shared" si="36"/>
        <v>30696.086299996612</v>
      </c>
      <c r="D809">
        <f t="shared" si="37"/>
        <v>0.89933288987407645</v>
      </c>
    </row>
    <row r="810" spans="1:4">
      <c r="A810">
        <v>809</v>
      </c>
      <c r="B810">
        <v>27986</v>
      </c>
      <c r="C810">
        <f t="shared" si="36"/>
        <v>30686.101516230581</v>
      </c>
      <c r="D810">
        <f t="shared" si="37"/>
        <v>0.91200897530752034</v>
      </c>
    </row>
    <row r="811" spans="1:4">
      <c r="A811">
        <v>810</v>
      </c>
      <c r="B811">
        <v>28269</v>
      </c>
      <c r="C811">
        <f t="shared" si="36"/>
        <v>30676.053010903091</v>
      </c>
      <c r="D811">
        <f t="shared" si="37"/>
        <v>0.9215331578007262</v>
      </c>
    </row>
    <row r="812" spans="1:4">
      <c r="A812">
        <v>811</v>
      </c>
      <c r="B812">
        <v>28546</v>
      </c>
      <c r="C812">
        <f t="shared" si="36"/>
        <v>30665.940841713851</v>
      </c>
      <c r="D812">
        <f t="shared" si="37"/>
        <v>0.93086985810557077</v>
      </c>
    </row>
    <row r="813" spans="1:4">
      <c r="A813">
        <v>812</v>
      </c>
      <c r="B813">
        <v>28806</v>
      </c>
      <c r="C813">
        <f t="shared" si="36"/>
        <v>30655.765066926313</v>
      </c>
      <c r="D813">
        <f t="shared" si="37"/>
        <v>0.93966012386616393</v>
      </c>
    </row>
    <row r="814" spans="1:4">
      <c r="A814">
        <v>813</v>
      </c>
      <c r="B814">
        <v>29077</v>
      </c>
      <c r="C814">
        <f t="shared" si="36"/>
        <v>30645.525745367737</v>
      </c>
      <c r="D814">
        <f t="shared" si="37"/>
        <v>0.94881713701371795</v>
      </c>
    </row>
    <row r="815" spans="1:4">
      <c r="A815">
        <v>814</v>
      </c>
      <c r="B815">
        <v>29284</v>
      </c>
      <c r="C815">
        <f t="shared" si="36"/>
        <v>30635.222936429163</v>
      </c>
      <c r="D815">
        <f t="shared" si="37"/>
        <v>0.95589315804121711</v>
      </c>
    </row>
    <row r="816" spans="1:4">
      <c r="A816">
        <v>815</v>
      </c>
      <c r="B816">
        <v>29037</v>
      </c>
      <c r="C816">
        <f t="shared" si="36"/>
        <v>30624.85670006544</v>
      </c>
      <c r="D816">
        <f t="shared" si="37"/>
        <v>0.94815137534791971</v>
      </c>
    </row>
    <row r="817" spans="1:7">
      <c r="A817">
        <v>816</v>
      </c>
      <c r="B817">
        <v>28232</v>
      </c>
      <c r="C817">
        <f t="shared" si="36"/>
        <v>30614.427096795178</v>
      </c>
      <c r="D817">
        <f t="shared" si="37"/>
        <v>0.92217959561148943</v>
      </c>
    </row>
    <row r="818" spans="1:7">
      <c r="A818">
        <v>817</v>
      </c>
      <c r="B818">
        <v>27455</v>
      </c>
      <c r="C818">
        <f t="shared" si="36"/>
        <v>30603.934187700776</v>
      </c>
      <c r="D818">
        <f t="shared" si="37"/>
        <v>0.89710688278220518</v>
      </c>
    </row>
    <row r="819" spans="1:7">
      <c r="A819">
        <v>818</v>
      </c>
      <c r="B819">
        <v>26318</v>
      </c>
      <c r="C819">
        <f t="shared" si="36"/>
        <v>30593.378034428413</v>
      </c>
      <c r="D819">
        <f t="shared" si="37"/>
        <v>0.86025152143653127</v>
      </c>
    </row>
    <row r="820" spans="1:7">
      <c r="A820">
        <v>819</v>
      </c>
      <c r="B820">
        <v>25407</v>
      </c>
      <c r="C820">
        <f t="shared" si="36"/>
        <v>30582.758699188118</v>
      </c>
      <c r="D820">
        <f t="shared" si="37"/>
        <v>0.83076220330229666</v>
      </c>
    </row>
    <row r="821" spans="1:7" ht="17.25">
      <c r="A821">
        <v>820</v>
      </c>
      <c r="B821">
        <v>24763</v>
      </c>
      <c r="C821">
        <f t="shared" si="36"/>
        <v>30572.0762447536</v>
      </c>
      <c r="D821">
        <f t="shared" si="37"/>
        <v>0.80998751284514148</v>
      </c>
      <c r="F821">
        <v>821</v>
      </c>
      <c r="G821" t="s">
        <v>130</v>
      </c>
    </row>
    <row r="822" spans="1:7" ht="17.25">
      <c r="A822">
        <v>821</v>
      </c>
      <c r="B822">
        <v>24289</v>
      </c>
      <c r="C822">
        <f t="shared" si="36"/>
        <v>30561.33073446243</v>
      </c>
      <c r="D822">
        <f t="shared" si="37"/>
        <v>0.79476251250442287</v>
      </c>
      <c r="F822">
        <v>821</v>
      </c>
      <c r="G822" t="s">
        <v>131</v>
      </c>
    </row>
    <row r="823" spans="1:7">
      <c r="A823">
        <v>822</v>
      </c>
      <c r="B823">
        <v>24367</v>
      </c>
      <c r="C823">
        <f t="shared" si="36"/>
        <v>30550.522232215961</v>
      </c>
      <c r="D823">
        <f t="shared" si="37"/>
        <v>0.79759684023681443</v>
      </c>
    </row>
    <row r="824" spans="1:7">
      <c r="A824">
        <v>823</v>
      </c>
      <c r="B824">
        <v>25118</v>
      </c>
      <c r="C824">
        <f t="shared" si="36"/>
        <v>30539.6508024793</v>
      </c>
      <c r="D824">
        <f t="shared" si="37"/>
        <v>0.82247174869336903</v>
      </c>
    </row>
    <row r="825" spans="1:7">
      <c r="A825">
        <v>824</v>
      </c>
      <c r="B825">
        <v>26200</v>
      </c>
      <c r="C825">
        <f t="shared" si="36"/>
        <v>30528.716510281352</v>
      </c>
      <c r="D825">
        <f t="shared" si="37"/>
        <v>0.85820836887055041</v>
      </c>
    </row>
    <row r="826" spans="1:7">
      <c r="A826">
        <v>825</v>
      </c>
      <c r="B826">
        <v>27067</v>
      </c>
      <c r="C826">
        <f t="shared" si="36"/>
        <v>30517.719421214839</v>
      </c>
      <c r="D826">
        <f t="shared" si="37"/>
        <v>0.88692734953136698</v>
      </c>
    </row>
    <row r="827" spans="1:7">
      <c r="A827">
        <v>826</v>
      </c>
      <c r="B827">
        <v>28008</v>
      </c>
      <c r="C827">
        <f t="shared" si="36"/>
        <v>30506.659601436229</v>
      </c>
      <c r="D827">
        <f t="shared" si="37"/>
        <v>0.91809461822170146</v>
      </c>
    </row>
    <row r="828" spans="1:7">
      <c r="A828">
        <v>827</v>
      </c>
      <c r="B828">
        <v>28407</v>
      </c>
      <c r="C828">
        <f t="shared" si="36"/>
        <v>30495.537117665801</v>
      </c>
      <c r="D828">
        <f t="shared" si="37"/>
        <v>0.93151335195024554</v>
      </c>
    </row>
    <row r="829" spans="1:7">
      <c r="A829">
        <v>828</v>
      </c>
      <c r="B829">
        <v>28507</v>
      </c>
      <c r="C829">
        <f t="shared" si="36"/>
        <v>30484.352037187607</v>
      </c>
      <c r="D829">
        <f t="shared" si="37"/>
        <v>0.93513550707013704</v>
      </c>
    </row>
    <row r="830" spans="1:7">
      <c r="A830">
        <v>829</v>
      </c>
      <c r="B830">
        <v>28120</v>
      </c>
      <c r="C830">
        <f t="shared" si="36"/>
        <v>30473.104427849496</v>
      </c>
      <c r="D830">
        <f t="shared" si="37"/>
        <v>0.92278094168512137</v>
      </c>
    </row>
    <row r="831" spans="1:7">
      <c r="A831">
        <v>830</v>
      </c>
      <c r="B831">
        <v>27654</v>
      </c>
      <c r="C831">
        <f t="shared" si="36"/>
        <v>30461.794358063104</v>
      </c>
      <c r="D831">
        <f t="shared" si="37"/>
        <v>0.90782570701322152</v>
      </c>
    </row>
    <row r="832" spans="1:7">
      <c r="A832">
        <v>831</v>
      </c>
      <c r="B832">
        <v>26738</v>
      </c>
      <c r="C832">
        <f t="shared" si="36"/>
        <v>30450.421896803833</v>
      </c>
      <c r="D832">
        <f t="shared" si="37"/>
        <v>0.87808307190668189</v>
      </c>
    </row>
    <row r="833" spans="1:4">
      <c r="A833">
        <v>832</v>
      </c>
      <c r="B833">
        <v>26359</v>
      </c>
      <c r="C833">
        <f t="shared" si="36"/>
        <v>30438.987113610892</v>
      </c>
      <c r="D833">
        <f t="shared" si="37"/>
        <v>0.86596179766486014</v>
      </c>
    </row>
    <row r="834" spans="1:4">
      <c r="A834">
        <v>833</v>
      </c>
      <c r="B834">
        <v>26595</v>
      </c>
      <c r="C834">
        <f t="shared" ref="C834:C897" si="41" xml:space="preserve"> 0.00000002349111*A834*A834*A834*A834 - 0.0000664476*A834*A834*A834 + 0.03716061*A834*A834 + 10.57172*A834 + 22932.71</f>
        <v>30427.490078587281</v>
      </c>
      <c r="D834">
        <f t="shared" ref="D834:D897" si="42">B834/C834</f>
        <v>0.87404514573207215</v>
      </c>
    </row>
    <row r="835" spans="1:4">
      <c r="A835">
        <v>834</v>
      </c>
      <c r="B835">
        <v>26780</v>
      </c>
      <c r="C835">
        <f t="shared" si="41"/>
        <v>30415.930862399779</v>
      </c>
      <c r="D835">
        <f t="shared" si="42"/>
        <v>0.88045965521000968</v>
      </c>
    </row>
    <row r="836" spans="1:4">
      <c r="A836">
        <v>835</v>
      </c>
      <c r="B836">
        <v>27313</v>
      </c>
      <c r="C836">
        <f t="shared" si="41"/>
        <v>30404.309536278946</v>
      </c>
      <c r="D836">
        <f t="shared" si="42"/>
        <v>0.89832659963580686</v>
      </c>
    </row>
    <row r="837" spans="1:4">
      <c r="A837">
        <v>836</v>
      </c>
      <c r="B837">
        <v>27512</v>
      </c>
      <c r="C837">
        <f t="shared" si="41"/>
        <v>30392.626172019118</v>
      </c>
      <c r="D837">
        <f t="shared" si="42"/>
        <v>0.90521957017748078</v>
      </c>
    </row>
    <row r="838" spans="1:4">
      <c r="A838">
        <v>837</v>
      </c>
      <c r="B838">
        <v>27641</v>
      </c>
      <c r="C838">
        <f t="shared" si="41"/>
        <v>30380.880841978462</v>
      </c>
      <c r="D838">
        <f t="shared" si="42"/>
        <v>0.90981562199497978</v>
      </c>
    </row>
    <row r="839" spans="1:4">
      <c r="A839">
        <v>838</v>
      </c>
      <c r="B839">
        <v>27557</v>
      </c>
      <c r="C839">
        <f t="shared" si="41"/>
        <v>30369.073619078888</v>
      </c>
      <c r="D839">
        <f t="shared" si="42"/>
        <v>0.90740337837265317</v>
      </c>
    </row>
    <row r="840" spans="1:4">
      <c r="A840">
        <v>839</v>
      </c>
      <c r="B840">
        <v>27803</v>
      </c>
      <c r="C840">
        <f t="shared" si="41"/>
        <v>30357.204576806093</v>
      </c>
      <c r="D840">
        <f t="shared" si="42"/>
        <v>0.91586166735663177</v>
      </c>
    </row>
    <row r="841" spans="1:4">
      <c r="A841">
        <v>840</v>
      </c>
      <c r="B841">
        <v>28027</v>
      </c>
      <c r="C841">
        <f t="shared" si="41"/>
        <v>30345.27378920959</v>
      </c>
      <c r="D841">
        <f t="shared" si="42"/>
        <v>0.92360346440393826</v>
      </c>
    </row>
    <row r="842" spans="1:4">
      <c r="A842">
        <v>841</v>
      </c>
      <c r="B842">
        <v>28110</v>
      </c>
      <c r="C842">
        <f t="shared" si="41"/>
        <v>30333.281330902675</v>
      </c>
      <c r="D842">
        <f t="shared" si="42"/>
        <v>0.92670488541450147</v>
      </c>
    </row>
    <row r="843" spans="1:4">
      <c r="A843">
        <v>842</v>
      </c>
      <c r="B843">
        <v>28348</v>
      </c>
      <c r="C843">
        <f t="shared" si="41"/>
        <v>30321.227277062397</v>
      </c>
      <c r="D843">
        <f t="shared" si="42"/>
        <v>0.93492257885764685</v>
      </c>
    </row>
    <row r="844" spans="1:4">
      <c r="A844">
        <v>843</v>
      </c>
      <c r="B844">
        <v>28634</v>
      </c>
      <c r="C844">
        <f t="shared" si="41"/>
        <v>30309.111703429622</v>
      </c>
      <c r="D844">
        <f t="shared" si="42"/>
        <v>0.94473240523112811</v>
      </c>
    </row>
    <row r="845" spans="1:4">
      <c r="A845">
        <v>844</v>
      </c>
      <c r="B845">
        <v>28702</v>
      </c>
      <c r="C845">
        <f t="shared" si="41"/>
        <v>30296.934686308996</v>
      </c>
      <c r="D845">
        <f t="shared" si="42"/>
        <v>0.9473565658432852</v>
      </c>
    </row>
    <row r="846" spans="1:4">
      <c r="A846">
        <v>845</v>
      </c>
      <c r="B846">
        <v>28575</v>
      </c>
      <c r="C846">
        <f t="shared" si="41"/>
        <v>30284.696302568937</v>
      </c>
      <c r="D846">
        <f t="shared" si="42"/>
        <v>0.94354586602131751</v>
      </c>
    </row>
    <row r="847" spans="1:4">
      <c r="A847">
        <v>846</v>
      </c>
      <c r="B847">
        <v>28542</v>
      </c>
      <c r="C847">
        <f t="shared" si="41"/>
        <v>30272.396629641695</v>
      </c>
      <c r="D847">
        <f t="shared" si="42"/>
        <v>0.94283912665350889</v>
      </c>
    </row>
    <row r="848" spans="1:4">
      <c r="A848">
        <v>847</v>
      </c>
      <c r="B848">
        <v>28591</v>
      </c>
      <c r="C848">
        <f t="shared" si="41"/>
        <v>30260.03574552323</v>
      </c>
      <c r="D848">
        <f t="shared" si="42"/>
        <v>0.94484356332030595</v>
      </c>
    </row>
    <row r="849" spans="1:7">
      <c r="A849">
        <v>848</v>
      </c>
      <c r="B849">
        <v>28762</v>
      </c>
      <c r="C849">
        <f t="shared" si="41"/>
        <v>30247.613728773365</v>
      </c>
      <c r="D849">
        <f t="shared" si="42"/>
        <v>0.95088492791217583</v>
      </c>
    </row>
    <row r="850" spans="1:7">
      <c r="A850">
        <v>849</v>
      </c>
      <c r="B850">
        <v>28785</v>
      </c>
      <c r="C850">
        <f t="shared" si="41"/>
        <v>30235.130658515667</v>
      </c>
      <c r="D850">
        <f t="shared" si="42"/>
        <v>0.95203822087313383</v>
      </c>
    </row>
    <row r="851" spans="1:7">
      <c r="A851">
        <v>850</v>
      </c>
      <c r="B851">
        <v>28474</v>
      </c>
      <c r="C851">
        <f t="shared" si="41"/>
        <v>30222.586614437496</v>
      </c>
      <c r="D851">
        <f t="shared" si="42"/>
        <v>0.94214305225608364</v>
      </c>
    </row>
    <row r="852" spans="1:7">
      <c r="A852">
        <v>851</v>
      </c>
      <c r="B852">
        <v>27962</v>
      </c>
      <c r="C852">
        <f t="shared" si="41"/>
        <v>30209.981676790016</v>
      </c>
      <c r="D852">
        <f t="shared" si="42"/>
        <v>0.92558811518521655</v>
      </c>
    </row>
    <row r="853" spans="1:7">
      <c r="A853">
        <v>852</v>
      </c>
      <c r="B853">
        <v>26982</v>
      </c>
      <c r="C853">
        <f t="shared" si="41"/>
        <v>30197.315926388146</v>
      </c>
      <c r="D853">
        <f t="shared" si="42"/>
        <v>0.89352312191500372</v>
      </c>
    </row>
    <row r="854" spans="1:7">
      <c r="A854">
        <v>853</v>
      </c>
      <c r="B854">
        <v>26031</v>
      </c>
      <c r="C854">
        <f t="shared" si="41"/>
        <v>30184.589444610621</v>
      </c>
      <c r="D854">
        <f t="shared" si="42"/>
        <v>0.86239370748333188</v>
      </c>
    </row>
    <row r="855" spans="1:7">
      <c r="A855">
        <v>854</v>
      </c>
      <c r="B855">
        <v>25089</v>
      </c>
      <c r="C855">
        <f t="shared" si="41"/>
        <v>30171.802313399952</v>
      </c>
      <c r="D855">
        <f t="shared" si="42"/>
        <v>0.83153799495953318</v>
      </c>
    </row>
    <row r="856" spans="1:7">
      <c r="A856">
        <v>855</v>
      </c>
      <c r="B856">
        <v>24066</v>
      </c>
      <c r="C856">
        <f t="shared" si="41"/>
        <v>30158.954615262446</v>
      </c>
      <c r="D856">
        <f t="shared" si="42"/>
        <v>0.79797195582571667</v>
      </c>
    </row>
    <row r="857" spans="1:7">
      <c r="A857">
        <v>856</v>
      </c>
      <c r="B857">
        <v>23173</v>
      </c>
      <c r="C857">
        <f t="shared" si="41"/>
        <v>30146.046433268159</v>
      </c>
      <c r="D857">
        <f t="shared" si="42"/>
        <v>0.76869117983003765</v>
      </c>
    </row>
    <row r="858" spans="1:7">
      <c r="A858">
        <v>857</v>
      </c>
      <c r="B858">
        <v>22111</v>
      </c>
      <c r="C858">
        <f t="shared" si="41"/>
        <v>30133.077851050981</v>
      </c>
      <c r="D858">
        <f t="shared" si="42"/>
        <v>0.7337783451559633</v>
      </c>
    </row>
    <row r="859" spans="1:7" ht="17.25">
      <c r="A859">
        <v>858</v>
      </c>
      <c r="B859">
        <v>21511</v>
      </c>
      <c r="C859">
        <f t="shared" si="41"/>
        <v>30120.048952808567</v>
      </c>
      <c r="D859">
        <f t="shared" si="42"/>
        <v>0.71417546610574778</v>
      </c>
      <c r="F859">
        <v>858.5</v>
      </c>
      <c r="G859" t="s">
        <v>81</v>
      </c>
    </row>
    <row r="860" spans="1:7" ht="17.25">
      <c r="A860">
        <v>859</v>
      </c>
      <c r="B860">
        <v>21384</v>
      </c>
      <c r="C860">
        <f t="shared" si="41"/>
        <v>30106.959823302361</v>
      </c>
      <c r="D860">
        <f t="shared" si="42"/>
        <v>0.71026766320819568</v>
      </c>
      <c r="F860">
        <v>858.5</v>
      </c>
      <c r="G860" t="s">
        <v>82</v>
      </c>
    </row>
    <row r="861" spans="1:7">
      <c r="A861">
        <v>860</v>
      </c>
      <c r="B861">
        <v>21851</v>
      </c>
      <c r="C861">
        <f t="shared" si="41"/>
        <v>30093.8105478576</v>
      </c>
      <c r="D861">
        <f t="shared" si="42"/>
        <v>0.7260961507433823</v>
      </c>
    </row>
    <row r="862" spans="1:7">
      <c r="A862">
        <v>861</v>
      </c>
      <c r="B862">
        <v>22871</v>
      </c>
      <c r="C862">
        <f t="shared" si="41"/>
        <v>30080.601212363286</v>
      </c>
      <c r="D862">
        <f t="shared" si="42"/>
        <v>0.76032389906488629</v>
      </c>
    </row>
    <row r="863" spans="1:7">
      <c r="A863">
        <v>862</v>
      </c>
      <c r="B863">
        <v>24040</v>
      </c>
      <c r="C863">
        <f t="shared" si="41"/>
        <v>30067.331903272228</v>
      </c>
      <c r="D863">
        <f t="shared" si="42"/>
        <v>0.79953885091426169</v>
      </c>
    </row>
    <row r="864" spans="1:7">
      <c r="A864">
        <v>863</v>
      </c>
      <c r="B864">
        <v>25090</v>
      </c>
      <c r="C864">
        <f t="shared" si="41"/>
        <v>30054.002707601026</v>
      </c>
      <c r="D864">
        <f t="shared" si="42"/>
        <v>0.83483056297371105</v>
      </c>
    </row>
    <row r="865" spans="1:4">
      <c r="A865">
        <v>864</v>
      </c>
      <c r="B865">
        <v>25918</v>
      </c>
      <c r="C865">
        <f t="shared" si="41"/>
        <v>30040.61371293003</v>
      </c>
      <c r="D865">
        <f t="shared" si="42"/>
        <v>0.86276532988553489</v>
      </c>
    </row>
    <row r="866" spans="1:4">
      <c r="A866">
        <v>865</v>
      </c>
      <c r="B866">
        <v>26147</v>
      </c>
      <c r="C866">
        <f t="shared" si="41"/>
        <v>30027.165007403448</v>
      </c>
      <c r="D866">
        <f t="shared" si="42"/>
        <v>0.87077817681267078</v>
      </c>
    </row>
    <row r="867" spans="1:4">
      <c r="A867">
        <v>866</v>
      </c>
      <c r="B867">
        <v>26308</v>
      </c>
      <c r="C867">
        <f t="shared" si="41"/>
        <v>30013.656679729189</v>
      </c>
      <c r="D867">
        <f t="shared" si="42"/>
        <v>0.87653431505292256</v>
      </c>
    </row>
    <row r="868" spans="1:4">
      <c r="A868">
        <v>867</v>
      </c>
      <c r="B868">
        <v>26245</v>
      </c>
      <c r="C868">
        <f t="shared" si="41"/>
        <v>30000.088819179007</v>
      </c>
      <c r="D868">
        <f t="shared" si="42"/>
        <v>0.87483074327505372</v>
      </c>
    </row>
    <row r="869" spans="1:4">
      <c r="A869">
        <v>868</v>
      </c>
      <c r="B869">
        <v>26440</v>
      </c>
      <c r="C869">
        <f t="shared" si="41"/>
        <v>29986.461515588424</v>
      </c>
      <c r="D869">
        <f t="shared" si="42"/>
        <v>0.88173124348983956</v>
      </c>
    </row>
    <row r="870" spans="1:4">
      <c r="A870">
        <v>869</v>
      </c>
      <c r="B870">
        <v>26705</v>
      </c>
      <c r="C870">
        <f t="shared" si="41"/>
        <v>29972.774859356759</v>
      </c>
      <c r="D870">
        <f t="shared" si="42"/>
        <v>0.89097523086566544</v>
      </c>
    </row>
    <row r="871" spans="1:4">
      <c r="A871">
        <v>870</v>
      </c>
      <c r="B871">
        <v>27019</v>
      </c>
      <c r="C871">
        <f t="shared" si="41"/>
        <v>29959.028941447097</v>
      </c>
      <c r="D871">
        <f t="shared" si="42"/>
        <v>0.90186501214064096</v>
      </c>
    </row>
    <row r="872" spans="1:4">
      <c r="A872">
        <v>871</v>
      </c>
      <c r="B872">
        <v>27293</v>
      </c>
      <c r="C872">
        <f t="shared" si="41"/>
        <v>29945.22385338632</v>
      </c>
      <c r="D872">
        <f t="shared" si="42"/>
        <v>0.9114308222783114</v>
      </c>
    </row>
    <row r="873" spans="1:4">
      <c r="A873">
        <v>872</v>
      </c>
      <c r="B873">
        <v>27273</v>
      </c>
      <c r="C873">
        <f t="shared" si="41"/>
        <v>29931.359687265118</v>
      </c>
      <c r="D873">
        <f t="shared" si="42"/>
        <v>0.91118480032177862</v>
      </c>
    </row>
    <row r="874" spans="1:4">
      <c r="A874">
        <v>873</v>
      </c>
      <c r="B874">
        <v>26950</v>
      </c>
      <c r="C874">
        <f t="shared" si="41"/>
        <v>29917.436535737914</v>
      </c>
      <c r="D874">
        <f t="shared" si="42"/>
        <v>0.90081247328148728</v>
      </c>
    </row>
    <row r="875" spans="1:4">
      <c r="A875">
        <v>874</v>
      </c>
      <c r="B875">
        <v>26814</v>
      </c>
      <c r="C875">
        <f t="shared" si="41"/>
        <v>29903.454492022975</v>
      </c>
      <c r="D875">
        <f t="shared" si="42"/>
        <v>0.89668569921086827</v>
      </c>
    </row>
    <row r="876" spans="1:4">
      <c r="A876">
        <v>875</v>
      </c>
      <c r="B876">
        <v>26371</v>
      </c>
      <c r="C876">
        <f t="shared" si="41"/>
        <v>29889.413649902344</v>
      </c>
      <c r="D876">
        <f t="shared" si="42"/>
        <v>0.88228562490004414</v>
      </c>
    </row>
    <row r="877" spans="1:4">
      <c r="A877">
        <v>876</v>
      </c>
      <c r="B877">
        <v>26035</v>
      </c>
      <c r="C877">
        <f t="shared" si="41"/>
        <v>29875.314103721808</v>
      </c>
      <c r="D877">
        <f t="shared" si="42"/>
        <v>0.87145527272486856</v>
      </c>
    </row>
    <row r="878" spans="1:4">
      <c r="A878">
        <v>877</v>
      </c>
      <c r="B878">
        <v>25615</v>
      </c>
      <c r="C878">
        <f t="shared" si="41"/>
        <v>29861.155948390973</v>
      </c>
      <c r="D878">
        <f t="shared" si="42"/>
        <v>0.85780336314744132</v>
      </c>
    </row>
    <row r="879" spans="1:4">
      <c r="A879">
        <v>878</v>
      </c>
      <c r="B879">
        <v>25439</v>
      </c>
      <c r="C879">
        <f t="shared" si="41"/>
        <v>29846.939279383259</v>
      </c>
      <c r="D879">
        <f t="shared" si="42"/>
        <v>0.85231519928651311</v>
      </c>
    </row>
    <row r="880" spans="1:4">
      <c r="A880">
        <v>879</v>
      </c>
      <c r="B880">
        <v>25142</v>
      </c>
      <c r="C880">
        <f t="shared" si="41"/>
        <v>29832.664192735807</v>
      </c>
      <c r="D880">
        <f t="shared" si="42"/>
        <v>0.8427675060319294</v>
      </c>
    </row>
    <row r="881" spans="1:4">
      <c r="A881">
        <v>880</v>
      </c>
      <c r="B881">
        <v>24951</v>
      </c>
      <c r="C881">
        <f t="shared" si="41"/>
        <v>29818.330785049598</v>
      </c>
      <c r="D881">
        <f t="shared" si="42"/>
        <v>0.83676716110849525</v>
      </c>
    </row>
    <row r="882" spans="1:4">
      <c r="A882">
        <v>881</v>
      </c>
      <c r="B882">
        <v>24796</v>
      </c>
      <c r="C882">
        <f t="shared" si="41"/>
        <v>29803.939153489373</v>
      </c>
      <c r="D882">
        <f t="shared" si="42"/>
        <v>0.8319705617536447</v>
      </c>
    </row>
    <row r="883" spans="1:4">
      <c r="A883">
        <v>882</v>
      </c>
      <c r="B883">
        <v>25061</v>
      </c>
      <c r="C883">
        <f t="shared" si="41"/>
        <v>29789.48939578369</v>
      </c>
      <c r="D883">
        <f t="shared" si="42"/>
        <v>0.8412698743183914</v>
      </c>
    </row>
    <row r="884" spans="1:4">
      <c r="A884">
        <v>883</v>
      </c>
      <c r="B884">
        <v>25786</v>
      </c>
      <c r="C884">
        <f t="shared" si="41"/>
        <v>29774.981610224851</v>
      </c>
      <c r="D884">
        <f t="shared" si="42"/>
        <v>0.86602908232007036</v>
      </c>
    </row>
    <row r="885" spans="1:4">
      <c r="A885">
        <v>884</v>
      </c>
      <c r="B885">
        <v>26963</v>
      </c>
      <c r="C885">
        <f t="shared" si="41"/>
        <v>29760.415895668972</v>
      </c>
      <c r="D885">
        <f t="shared" si="42"/>
        <v>0.90600212357663723</v>
      </c>
    </row>
    <row r="886" spans="1:4">
      <c r="A886">
        <v>885</v>
      </c>
      <c r="B886">
        <v>28022</v>
      </c>
      <c r="C886">
        <f t="shared" si="41"/>
        <v>29745.792351535943</v>
      </c>
      <c r="D886">
        <f t="shared" si="42"/>
        <v>0.94204920376084944</v>
      </c>
    </row>
    <row r="887" spans="1:4">
      <c r="A887">
        <v>886</v>
      </c>
      <c r="B887">
        <v>28916</v>
      </c>
      <c r="C887">
        <f t="shared" si="41"/>
        <v>29731.111077809455</v>
      </c>
      <c r="D887">
        <f t="shared" si="42"/>
        <v>0.97258390123139959</v>
      </c>
    </row>
    <row r="888" spans="1:4">
      <c r="A888">
        <v>887</v>
      </c>
      <c r="B888">
        <v>29236</v>
      </c>
      <c r="C888">
        <f t="shared" si="41"/>
        <v>29716.372175036984</v>
      </c>
      <c r="D888">
        <f t="shared" si="42"/>
        <v>0.98383476380604373</v>
      </c>
    </row>
    <row r="889" spans="1:4">
      <c r="A889">
        <v>888</v>
      </c>
      <c r="B889">
        <v>29289</v>
      </c>
      <c r="C889">
        <f t="shared" si="41"/>
        <v>29701.57574432977</v>
      </c>
      <c r="D889">
        <f t="shared" si="42"/>
        <v>0.98610929777324918</v>
      </c>
    </row>
    <row r="890" spans="1:4">
      <c r="A890">
        <v>889</v>
      </c>
      <c r="B890">
        <v>28900</v>
      </c>
      <c r="C890">
        <f t="shared" si="41"/>
        <v>29686.721887362866</v>
      </c>
      <c r="D890">
        <f t="shared" si="42"/>
        <v>0.97349919973152166</v>
      </c>
    </row>
    <row r="891" spans="1:4">
      <c r="A891">
        <v>890</v>
      </c>
      <c r="B891">
        <v>28163</v>
      </c>
      <c r="C891">
        <f t="shared" si="41"/>
        <v>29671.81070637509</v>
      </c>
      <c r="D891">
        <f t="shared" si="42"/>
        <v>0.94915002925484027</v>
      </c>
    </row>
    <row r="892" spans="1:4">
      <c r="A892">
        <v>891</v>
      </c>
      <c r="B892">
        <v>26836</v>
      </c>
      <c r="C892">
        <f t="shared" si="41"/>
        <v>29656.842304169091</v>
      </c>
      <c r="D892">
        <f t="shared" si="42"/>
        <v>0.90488392947442875</v>
      </c>
    </row>
    <row r="893" spans="1:4">
      <c r="A893">
        <v>892</v>
      </c>
      <c r="B893">
        <v>25332</v>
      </c>
      <c r="C893">
        <f t="shared" si="41"/>
        <v>29641.816784111234</v>
      </c>
      <c r="D893">
        <f t="shared" si="42"/>
        <v>0.85460348751560311</v>
      </c>
    </row>
    <row r="894" spans="1:4">
      <c r="A894">
        <v>893</v>
      </c>
      <c r="B894">
        <v>23085</v>
      </c>
      <c r="C894">
        <f t="shared" si="41"/>
        <v>29626.734250131722</v>
      </c>
      <c r="D894">
        <f t="shared" si="42"/>
        <v>0.77919489219090565</v>
      </c>
    </row>
    <row r="895" spans="1:4">
      <c r="A895">
        <v>894</v>
      </c>
      <c r="B895">
        <v>20362</v>
      </c>
      <c r="C895">
        <f t="shared" si="41"/>
        <v>29611.594806724544</v>
      </c>
      <c r="D895">
        <f t="shared" si="42"/>
        <v>0.68763604705870018</v>
      </c>
    </row>
    <row r="896" spans="1:4">
      <c r="A896">
        <v>895</v>
      </c>
      <c r="B896">
        <v>17993</v>
      </c>
      <c r="C896">
        <f t="shared" si="41"/>
        <v>29596.398558947443</v>
      </c>
      <c r="D896">
        <f t="shared" si="42"/>
        <v>0.60794559054755126</v>
      </c>
    </row>
    <row r="897" spans="1:7">
      <c r="A897">
        <v>896</v>
      </c>
      <c r="B897">
        <v>16040</v>
      </c>
      <c r="C897">
        <f t="shared" si="41"/>
        <v>29581.145612421984</v>
      </c>
      <c r="D897">
        <f t="shared" si="42"/>
        <v>0.5422372821580087</v>
      </c>
    </row>
    <row r="898" spans="1:7" ht="17.25">
      <c r="A898">
        <v>897</v>
      </c>
      <c r="B898">
        <v>15216</v>
      </c>
      <c r="C898">
        <f t="shared" ref="C898:C961" si="43" xml:space="preserve"> 0.00000002349111*A898*A898*A898*A898 - 0.0000664476*A898*A898*A898 + 0.03716061*A898*A898 + 10.57172*A898 + 22932.71</f>
        <v>29565.836073333492</v>
      </c>
      <c r="D898">
        <f t="shared" ref="D898:D961" si="44">B898/C898</f>
        <v>0.51464805399918545</v>
      </c>
      <c r="F898">
        <v>897</v>
      </c>
      <c r="G898" t="s">
        <v>83</v>
      </c>
    </row>
    <row r="899" spans="1:7" ht="17.25">
      <c r="A899">
        <v>898</v>
      </c>
      <c r="B899">
        <v>15765</v>
      </c>
      <c r="C899">
        <f t="shared" si="43"/>
        <v>29550.470048431092</v>
      </c>
      <c r="D899">
        <f t="shared" si="44"/>
        <v>0.5334940518429081</v>
      </c>
      <c r="F899">
        <v>897</v>
      </c>
      <c r="G899" t="s">
        <v>84</v>
      </c>
    </row>
    <row r="900" spans="1:7">
      <c r="A900">
        <v>899</v>
      </c>
      <c r="B900">
        <v>17502</v>
      </c>
      <c r="C900">
        <f t="shared" si="43"/>
        <v>29535.047645027691</v>
      </c>
      <c r="D900">
        <f t="shared" si="44"/>
        <v>0.59258411262277111</v>
      </c>
    </row>
    <row r="901" spans="1:7">
      <c r="A901">
        <v>900</v>
      </c>
      <c r="B901">
        <v>20022</v>
      </c>
      <c r="C901">
        <f t="shared" si="43"/>
        <v>29519.56897099999</v>
      </c>
      <c r="D901">
        <f t="shared" si="44"/>
        <v>0.67826193599471607</v>
      </c>
    </row>
    <row r="902" spans="1:7">
      <c r="A902">
        <v>901</v>
      </c>
      <c r="B902">
        <v>22927</v>
      </c>
      <c r="C902">
        <f t="shared" si="43"/>
        <v>29504.034134788486</v>
      </c>
      <c r="D902">
        <f t="shared" si="44"/>
        <v>0.7770801747062297</v>
      </c>
    </row>
    <row r="903" spans="1:7">
      <c r="A903">
        <v>902</v>
      </c>
      <c r="B903">
        <v>25439</v>
      </c>
      <c r="C903">
        <f t="shared" si="43"/>
        <v>29488.443245397422</v>
      </c>
      <c r="D903">
        <f t="shared" si="44"/>
        <v>0.86267694053230626</v>
      </c>
    </row>
    <row r="904" spans="1:7">
      <c r="A904">
        <v>903</v>
      </c>
      <c r="B904">
        <v>27306</v>
      </c>
      <c r="C904">
        <f t="shared" si="43"/>
        <v>29472.79641239487</v>
      </c>
      <c r="D904">
        <f t="shared" si="44"/>
        <v>0.92648147864640296</v>
      </c>
    </row>
    <row r="905" spans="1:7">
      <c r="A905">
        <v>904</v>
      </c>
      <c r="B905">
        <v>28188</v>
      </c>
      <c r="C905">
        <f t="shared" si="43"/>
        <v>29457.093745912662</v>
      </c>
      <c r="D905">
        <f t="shared" si="44"/>
        <v>0.95691721128840979</v>
      </c>
    </row>
    <row r="906" spans="1:7">
      <c r="A906">
        <v>905</v>
      </c>
      <c r="B906">
        <v>28234</v>
      </c>
      <c r="C906">
        <f t="shared" si="43"/>
        <v>29441.335356646443</v>
      </c>
      <c r="D906">
        <f t="shared" si="44"/>
        <v>0.95899182757775681</v>
      </c>
    </row>
    <row r="907" spans="1:7">
      <c r="A907">
        <v>906</v>
      </c>
      <c r="B907">
        <v>27655</v>
      </c>
      <c r="C907">
        <f t="shared" si="43"/>
        <v>29425.52135585561</v>
      </c>
      <c r="D907">
        <f t="shared" si="44"/>
        <v>0.93983041678535018</v>
      </c>
    </row>
    <row r="908" spans="1:7">
      <c r="A908">
        <v>907</v>
      </c>
      <c r="B908">
        <v>26663</v>
      </c>
      <c r="C908">
        <f t="shared" si="43"/>
        <v>29409.65185536338</v>
      </c>
      <c r="D908">
        <f t="shared" si="44"/>
        <v>0.9066071278615806</v>
      </c>
    </row>
    <row r="909" spans="1:7">
      <c r="A909">
        <v>908</v>
      </c>
      <c r="B909">
        <v>25104</v>
      </c>
      <c r="C909">
        <f t="shared" si="43"/>
        <v>29393.72696755673</v>
      </c>
      <c r="D909">
        <f t="shared" si="44"/>
        <v>0.85405978043235187</v>
      </c>
    </row>
    <row r="910" spans="1:7">
      <c r="A910">
        <v>909</v>
      </c>
      <c r="B910">
        <v>23003</v>
      </c>
      <c r="C910">
        <f t="shared" si="43"/>
        <v>29377.746805386458</v>
      </c>
      <c r="D910">
        <f t="shared" si="44"/>
        <v>0.78300763337583001</v>
      </c>
    </row>
    <row r="911" spans="1:7">
      <c r="A911">
        <v>910</v>
      </c>
      <c r="B911">
        <v>20351</v>
      </c>
      <c r="C911">
        <f t="shared" si="43"/>
        <v>29361.7114823671</v>
      </c>
      <c r="D911">
        <f t="shared" si="44"/>
        <v>0.69311354728833163</v>
      </c>
    </row>
    <row r="912" spans="1:7">
      <c r="A912">
        <v>911</v>
      </c>
      <c r="B912">
        <v>17624</v>
      </c>
      <c r="C912">
        <f t="shared" si="43"/>
        <v>29345.621112577013</v>
      </c>
      <c r="D912">
        <f t="shared" si="44"/>
        <v>0.60056660352800184</v>
      </c>
    </row>
    <row r="913" spans="1:7" ht="17.25">
      <c r="A913">
        <v>912</v>
      </c>
      <c r="B913">
        <v>15945</v>
      </c>
      <c r="C913">
        <f t="shared" si="43"/>
        <v>29329.475810658347</v>
      </c>
      <c r="D913">
        <f t="shared" si="44"/>
        <v>0.54365103907535839</v>
      </c>
      <c r="F913">
        <v>912.5</v>
      </c>
      <c r="G913" t="s">
        <v>85</v>
      </c>
    </row>
    <row r="914" spans="1:7" ht="17.25">
      <c r="A914">
        <v>913</v>
      </c>
      <c r="B914">
        <v>15739</v>
      </c>
      <c r="C914">
        <f t="shared" si="43"/>
        <v>29313.275691817005</v>
      </c>
      <c r="D914">
        <f t="shared" si="44"/>
        <v>0.53692395778181989</v>
      </c>
      <c r="F914">
        <v>912.5</v>
      </c>
      <c r="G914" t="s">
        <v>86</v>
      </c>
    </row>
    <row r="915" spans="1:7">
      <c r="A915">
        <v>914</v>
      </c>
      <c r="B915">
        <v>16953</v>
      </c>
      <c r="C915">
        <f t="shared" si="43"/>
        <v>29297.0208718227</v>
      </c>
      <c r="D915">
        <f t="shared" si="44"/>
        <v>0.57865951880128064</v>
      </c>
    </row>
    <row r="916" spans="1:7">
      <c r="A916">
        <v>915</v>
      </c>
      <c r="B916">
        <v>18963</v>
      </c>
      <c r="C916">
        <f t="shared" si="43"/>
        <v>29280.711467008943</v>
      </c>
      <c r="D916">
        <f t="shared" si="44"/>
        <v>0.64762770608787712</v>
      </c>
    </row>
    <row r="917" spans="1:7">
      <c r="A917">
        <v>916</v>
      </c>
      <c r="B917">
        <v>20885</v>
      </c>
      <c r="C917">
        <f t="shared" si="43"/>
        <v>29264.347594272993</v>
      </c>
      <c r="D917">
        <f t="shared" si="44"/>
        <v>0.71366702888969158</v>
      </c>
    </row>
    <row r="918" spans="1:7">
      <c r="A918">
        <v>917</v>
      </c>
      <c r="B918">
        <v>21954</v>
      </c>
      <c r="C918">
        <f t="shared" si="43"/>
        <v>29247.929371075938</v>
      </c>
      <c r="D918">
        <f t="shared" si="44"/>
        <v>0.75061723930826019</v>
      </c>
    </row>
    <row r="919" spans="1:7">
      <c r="A919">
        <v>918</v>
      </c>
      <c r="B919">
        <v>21764</v>
      </c>
      <c r="C919">
        <f t="shared" si="43"/>
        <v>29231.456915442635</v>
      </c>
      <c r="D919">
        <f t="shared" si="44"/>
        <v>0.74454037863923006</v>
      </c>
    </row>
    <row r="920" spans="1:7">
      <c r="A920">
        <v>919</v>
      </c>
      <c r="B920">
        <v>20910</v>
      </c>
      <c r="C920">
        <f t="shared" si="43"/>
        <v>29214.930345961708</v>
      </c>
      <c r="D920">
        <f t="shared" si="44"/>
        <v>0.7157299282382279</v>
      </c>
    </row>
    <row r="921" spans="1:7" ht="17.25">
      <c r="A921">
        <v>920</v>
      </c>
      <c r="B921">
        <v>19793</v>
      </c>
      <c r="C921">
        <f t="shared" si="43"/>
        <v>29198.349781785604</v>
      </c>
      <c r="D921">
        <f t="shared" si="44"/>
        <v>0.67788077572614014</v>
      </c>
      <c r="F921">
        <v>921</v>
      </c>
      <c r="G921" t="s">
        <v>132</v>
      </c>
    </row>
    <row r="922" spans="1:7" ht="17.25">
      <c r="A922">
        <v>921</v>
      </c>
      <c r="B922">
        <v>19102</v>
      </c>
      <c r="C922">
        <f t="shared" si="43"/>
        <v>29181.715342630523</v>
      </c>
      <c r="D922">
        <f t="shared" si="44"/>
        <v>0.65458797660515078</v>
      </c>
      <c r="F922">
        <v>921</v>
      </c>
      <c r="G922" t="s">
        <v>133</v>
      </c>
    </row>
    <row r="923" spans="1:7">
      <c r="A923">
        <v>922</v>
      </c>
      <c r="B923">
        <v>19279</v>
      </c>
      <c r="C923">
        <f t="shared" si="43"/>
        <v>29165.027148776469</v>
      </c>
      <c r="D923">
        <f t="shared" si="44"/>
        <v>0.66103144364152566</v>
      </c>
    </row>
    <row r="924" spans="1:7">
      <c r="A924">
        <v>923</v>
      </c>
      <c r="B924">
        <v>20388</v>
      </c>
      <c r="C924">
        <f t="shared" si="43"/>
        <v>29148.285321067247</v>
      </c>
      <c r="D924">
        <f t="shared" si="44"/>
        <v>0.69945795354433238</v>
      </c>
    </row>
    <row r="925" spans="1:7">
      <c r="A925">
        <v>924</v>
      </c>
      <c r="B925">
        <v>22286</v>
      </c>
      <c r="C925">
        <f t="shared" si="43"/>
        <v>29131.489980910417</v>
      </c>
      <c r="D925">
        <f t="shared" si="44"/>
        <v>0.76501407976742009</v>
      </c>
    </row>
    <row r="926" spans="1:7">
      <c r="A926">
        <v>925</v>
      </c>
      <c r="B926">
        <v>24215</v>
      </c>
      <c r="C926">
        <f t="shared" si="43"/>
        <v>29114.641250277338</v>
      </c>
      <c r="D926">
        <f t="shared" si="44"/>
        <v>0.8317121200924753</v>
      </c>
    </row>
    <row r="927" spans="1:7">
      <c r="A927">
        <v>926</v>
      </c>
      <c r="B927">
        <v>25978</v>
      </c>
      <c r="C927">
        <f t="shared" si="43"/>
        <v>29097.739251703184</v>
      </c>
      <c r="D927">
        <f t="shared" si="44"/>
        <v>0.89278413608986562</v>
      </c>
    </row>
    <row r="928" spans="1:7">
      <c r="A928">
        <v>927</v>
      </c>
      <c r="B928">
        <v>27232</v>
      </c>
      <c r="C928">
        <f t="shared" si="43"/>
        <v>29080.784108286862</v>
      </c>
      <c r="D928">
        <f t="shared" si="44"/>
        <v>0.93642591955558607</v>
      </c>
    </row>
    <row r="929" spans="1:7">
      <c r="A929">
        <v>928</v>
      </c>
      <c r="B929">
        <v>27990</v>
      </c>
      <c r="C929">
        <f t="shared" si="43"/>
        <v>29063.7759436911</v>
      </c>
      <c r="D929">
        <f t="shared" si="44"/>
        <v>0.96305449278953081</v>
      </c>
    </row>
    <row r="930" spans="1:7">
      <c r="A930">
        <v>929</v>
      </c>
      <c r="B930">
        <v>27906</v>
      </c>
      <c r="C930">
        <f t="shared" si="43"/>
        <v>29046.714882142409</v>
      </c>
      <c r="D930">
        <f t="shared" si="44"/>
        <v>0.9607282652523399</v>
      </c>
    </row>
    <row r="931" spans="1:7">
      <c r="A931">
        <v>930</v>
      </c>
      <c r="B931">
        <v>27656</v>
      </c>
      <c r="C931">
        <f t="shared" si="43"/>
        <v>29029.601048431097</v>
      </c>
      <c r="D931">
        <f t="shared" si="44"/>
        <v>0.95268274454962465</v>
      </c>
    </row>
    <row r="932" spans="1:7">
      <c r="A932">
        <v>931</v>
      </c>
      <c r="B932">
        <v>27209</v>
      </c>
      <c r="C932">
        <f t="shared" si="43"/>
        <v>29012.434567911234</v>
      </c>
      <c r="D932">
        <f t="shared" si="44"/>
        <v>0.93783925427940829</v>
      </c>
    </row>
    <row r="933" spans="1:7">
      <c r="A933">
        <v>932</v>
      </c>
      <c r="B933">
        <v>26766</v>
      </c>
      <c r="C933">
        <f t="shared" si="43"/>
        <v>28995.215566500687</v>
      </c>
      <c r="D933">
        <f t="shared" si="44"/>
        <v>0.9231178136479804</v>
      </c>
    </row>
    <row r="934" spans="1:7">
      <c r="A934">
        <v>933</v>
      </c>
      <c r="B934">
        <v>26074</v>
      </c>
      <c r="C934">
        <f t="shared" si="43"/>
        <v>28977.944170681105</v>
      </c>
      <c r="D934">
        <f t="shared" si="44"/>
        <v>0.89978777812612332</v>
      </c>
    </row>
    <row r="935" spans="1:7">
      <c r="A935">
        <v>934</v>
      </c>
      <c r="B935">
        <v>25261</v>
      </c>
      <c r="C935">
        <f t="shared" si="43"/>
        <v>28960.620507497963</v>
      </c>
      <c r="D935">
        <f t="shared" si="44"/>
        <v>0.87225341022855074</v>
      </c>
    </row>
    <row r="936" spans="1:7" ht="17.25">
      <c r="A936">
        <v>935</v>
      </c>
      <c r="B936">
        <v>24516</v>
      </c>
      <c r="C936">
        <f t="shared" si="43"/>
        <v>28943.244704560439</v>
      </c>
      <c r="D936">
        <f t="shared" si="44"/>
        <v>0.84703702885589538</v>
      </c>
      <c r="F936">
        <v>937</v>
      </c>
      <c r="G936" t="s">
        <v>134</v>
      </c>
    </row>
    <row r="937" spans="1:7" ht="17.25">
      <c r="A937">
        <v>936</v>
      </c>
      <c r="B937">
        <v>23860</v>
      </c>
      <c r="C937">
        <f t="shared" si="43"/>
        <v>28925.816890041595</v>
      </c>
      <c r="D937">
        <f t="shared" si="44"/>
        <v>0.82486866630945088</v>
      </c>
      <c r="F937">
        <v>937</v>
      </c>
      <c r="G937" t="s">
        <v>135</v>
      </c>
    </row>
    <row r="938" spans="1:7">
      <c r="A938">
        <v>937</v>
      </c>
      <c r="B938">
        <v>23351</v>
      </c>
      <c r="C938">
        <f t="shared" si="43"/>
        <v>28908.337192678195</v>
      </c>
      <c r="D938">
        <f t="shared" si="44"/>
        <v>0.80776005359153835</v>
      </c>
    </row>
    <row r="939" spans="1:7">
      <c r="A939">
        <v>938</v>
      </c>
      <c r="B939">
        <v>23588</v>
      </c>
      <c r="C939">
        <f t="shared" si="43"/>
        <v>28890.805741770855</v>
      </c>
      <c r="D939">
        <f t="shared" si="44"/>
        <v>0.8164535184941567</v>
      </c>
    </row>
    <row r="940" spans="1:7">
      <c r="A940">
        <v>939</v>
      </c>
      <c r="B940">
        <v>24192</v>
      </c>
      <c r="C940">
        <f t="shared" si="43"/>
        <v>28873.222667183927</v>
      </c>
      <c r="D940">
        <f t="shared" si="44"/>
        <v>0.83786975492332538</v>
      </c>
    </row>
    <row r="941" spans="1:7">
      <c r="A941">
        <v>940</v>
      </c>
      <c r="B941">
        <v>24963</v>
      </c>
      <c r="C941">
        <f t="shared" si="43"/>
        <v>28855.588099345594</v>
      </c>
      <c r="D941">
        <f t="shared" si="44"/>
        <v>0.86510106514052043</v>
      </c>
    </row>
    <row r="942" spans="1:7">
      <c r="A942">
        <v>941</v>
      </c>
      <c r="B942">
        <v>25783</v>
      </c>
      <c r="C942">
        <f t="shared" si="43"/>
        <v>28837.902169247798</v>
      </c>
      <c r="D942">
        <f t="shared" si="44"/>
        <v>0.8940664216377886</v>
      </c>
    </row>
    <row r="943" spans="1:7">
      <c r="A943">
        <v>942</v>
      </c>
      <c r="B943">
        <v>26699</v>
      </c>
      <c r="C943">
        <f t="shared" si="43"/>
        <v>28820.165008446267</v>
      </c>
      <c r="D943">
        <f t="shared" si="44"/>
        <v>0.92639997002707575</v>
      </c>
    </row>
    <row r="944" spans="1:7">
      <c r="A944">
        <v>943</v>
      </c>
      <c r="B944">
        <v>27527</v>
      </c>
      <c r="C944">
        <f t="shared" si="43"/>
        <v>28802.376749060517</v>
      </c>
      <c r="D944">
        <f t="shared" si="44"/>
        <v>0.95571973937525423</v>
      </c>
    </row>
    <row r="945" spans="1:4">
      <c r="A945">
        <v>944</v>
      </c>
      <c r="B945">
        <v>28186</v>
      </c>
      <c r="C945">
        <f t="shared" si="43"/>
        <v>28784.537523773884</v>
      </c>
      <c r="D945">
        <f t="shared" si="44"/>
        <v>0.97920628312059776</v>
      </c>
    </row>
    <row r="946" spans="1:4">
      <c r="A946">
        <v>945</v>
      </c>
      <c r="B946">
        <v>28561</v>
      </c>
      <c r="C946">
        <f t="shared" si="43"/>
        <v>28766.647465833434</v>
      </c>
      <c r="D946">
        <f t="shared" si="44"/>
        <v>0.99285118413337237</v>
      </c>
    </row>
    <row r="947" spans="1:4">
      <c r="A947">
        <v>946</v>
      </c>
      <c r="B947">
        <v>28630</v>
      </c>
      <c r="C947">
        <f t="shared" si="43"/>
        <v>28748.706709050064</v>
      </c>
      <c r="D947">
        <f t="shared" si="44"/>
        <v>0.99587088524532841</v>
      </c>
    </row>
    <row r="948" spans="1:4">
      <c r="A948">
        <v>947</v>
      </c>
      <c r="B948">
        <v>28137</v>
      </c>
      <c r="C948">
        <f t="shared" si="43"/>
        <v>28730.715387798446</v>
      </c>
      <c r="D948">
        <f t="shared" si="44"/>
        <v>0.97933516865888459</v>
      </c>
    </row>
    <row r="949" spans="1:4">
      <c r="A949">
        <v>948</v>
      </c>
      <c r="B949">
        <v>27719</v>
      </c>
      <c r="C949">
        <f t="shared" si="43"/>
        <v>28712.673637017011</v>
      </c>
      <c r="D949">
        <f t="shared" si="44"/>
        <v>0.9653925075184937</v>
      </c>
    </row>
    <row r="950" spans="1:4">
      <c r="A950">
        <v>949</v>
      </c>
      <c r="B950">
        <v>27076</v>
      </c>
      <c r="C950">
        <f t="shared" si="43"/>
        <v>28694.581592208029</v>
      </c>
      <c r="D950">
        <f t="shared" si="44"/>
        <v>0.94359277945883857</v>
      </c>
    </row>
    <row r="951" spans="1:4">
      <c r="A951">
        <v>950</v>
      </c>
      <c r="B951">
        <v>26696</v>
      </c>
      <c r="C951">
        <f t="shared" si="43"/>
        <v>28676.439389437503</v>
      </c>
      <c r="D951">
        <f t="shared" si="44"/>
        <v>0.9309384487194402</v>
      </c>
    </row>
    <row r="952" spans="1:4">
      <c r="A952">
        <v>951</v>
      </c>
      <c r="B952">
        <v>26300</v>
      </c>
      <c r="C952">
        <f t="shared" si="43"/>
        <v>28658.247165335248</v>
      </c>
      <c r="D952">
        <f t="shared" si="44"/>
        <v>0.91771139554592995</v>
      </c>
    </row>
    <row r="953" spans="1:4">
      <c r="A953">
        <v>952</v>
      </c>
      <c r="B953">
        <v>26268</v>
      </c>
      <c r="C953">
        <f t="shared" si="43"/>
        <v>28640.005057094902</v>
      </c>
      <c r="D953">
        <f t="shared" si="44"/>
        <v>0.91717860899932724</v>
      </c>
    </row>
    <row r="954" spans="1:4">
      <c r="A954">
        <v>953</v>
      </c>
      <c r="B954">
        <v>26284</v>
      </c>
      <c r="C954">
        <f t="shared" si="43"/>
        <v>28621.713202473817</v>
      </c>
      <c r="D954">
        <f t="shared" si="44"/>
        <v>0.91832378495527078</v>
      </c>
    </row>
    <row r="955" spans="1:4">
      <c r="A955">
        <v>954</v>
      </c>
      <c r="B955">
        <v>26438</v>
      </c>
      <c r="C955">
        <f t="shared" si="43"/>
        <v>28603.371739793169</v>
      </c>
      <c r="D955">
        <f t="shared" si="44"/>
        <v>0.92429662630365039</v>
      </c>
    </row>
    <row r="956" spans="1:4">
      <c r="A956">
        <v>955</v>
      </c>
      <c r="B956">
        <v>26651</v>
      </c>
      <c r="C956">
        <f t="shared" si="43"/>
        <v>28584.980807937944</v>
      </c>
      <c r="D956">
        <f t="shared" si="44"/>
        <v>0.93234276346266132</v>
      </c>
    </row>
    <row r="957" spans="1:4">
      <c r="A957">
        <v>956</v>
      </c>
      <c r="B957">
        <v>26937</v>
      </c>
      <c r="C957">
        <f t="shared" si="43"/>
        <v>28566.54054635686</v>
      </c>
      <c r="D957">
        <f t="shared" si="44"/>
        <v>0.94295632179498623</v>
      </c>
    </row>
    <row r="958" spans="1:4">
      <c r="A958">
        <v>957</v>
      </c>
      <c r="B958">
        <v>26735</v>
      </c>
      <c r="C958">
        <f t="shared" si="43"/>
        <v>28548.051095062481</v>
      </c>
      <c r="D958">
        <f t="shared" si="44"/>
        <v>0.93649124807065875</v>
      </c>
    </row>
    <row r="959" spans="1:4">
      <c r="A959">
        <v>958</v>
      </c>
      <c r="B959">
        <v>26539</v>
      </c>
      <c r="C959">
        <f t="shared" si="43"/>
        <v>28529.512594631102</v>
      </c>
      <c r="D959">
        <f t="shared" si="44"/>
        <v>0.93022970203123301</v>
      </c>
    </row>
    <row r="960" spans="1:4">
      <c r="A960">
        <v>959</v>
      </c>
      <c r="B960">
        <v>26182</v>
      </c>
      <c r="C960">
        <f t="shared" si="43"/>
        <v>28510.92518620284</v>
      </c>
      <c r="D960">
        <f t="shared" si="44"/>
        <v>0.91831464005489849</v>
      </c>
    </row>
    <row r="961" spans="1:4">
      <c r="A961">
        <v>960</v>
      </c>
      <c r="B961">
        <v>25465</v>
      </c>
      <c r="C961">
        <f t="shared" si="43"/>
        <v>28492.289011481596</v>
      </c>
      <c r="D961">
        <f t="shared" si="44"/>
        <v>0.89375058598269574</v>
      </c>
    </row>
    <row r="962" spans="1:4">
      <c r="A962">
        <v>961</v>
      </c>
      <c r="B962">
        <v>24548</v>
      </c>
      <c r="C962">
        <f t="shared" ref="C962:C1025" si="45" xml:space="preserve"> 0.00000002349111*A962*A962*A962*A962 - 0.0000664476*A962*A962*A962 + 0.03716061*A962*A962 + 10.57172*A962 + 22932.71</f>
        <v>28473.604212735052</v>
      </c>
      <c r="D962">
        <f t="shared" ref="D962:D1025" si="46">B962/C962</f>
        <v>0.86213181220734625</v>
      </c>
    </row>
    <row r="963" spans="1:4">
      <c r="A963">
        <v>962</v>
      </c>
      <c r="B963">
        <v>24055</v>
      </c>
      <c r="C963">
        <f t="shared" si="45"/>
        <v>28454.870932794649</v>
      </c>
      <c r="D963">
        <f t="shared" si="46"/>
        <v>0.8453737167465506</v>
      </c>
    </row>
    <row r="964" spans="1:4">
      <c r="A964">
        <v>963</v>
      </c>
      <c r="B964">
        <v>23400</v>
      </c>
      <c r="C964">
        <f t="shared" si="45"/>
        <v>28436.089315055688</v>
      </c>
      <c r="D964">
        <f t="shared" si="46"/>
        <v>0.82289796394790138</v>
      </c>
    </row>
    <row r="965" spans="1:4">
      <c r="A965">
        <v>964</v>
      </c>
      <c r="B965">
        <v>23473</v>
      </c>
      <c r="C965">
        <f t="shared" si="45"/>
        <v>28417.259503477166</v>
      </c>
      <c r="D965">
        <f t="shared" si="46"/>
        <v>0.82601209300734357</v>
      </c>
    </row>
    <row r="966" spans="1:4">
      <c r="A966">
        <v>965</v>
      </c>
      <c r="B966">
        <v>23463</v>
      </c>
      <c r="C966">
        <f t="shared" si="45"/>
        <v>28398.381642581946</v>
      </c>
      <c r="D966">
        <f t="shared" si="46"/>
        <v>0.82620905287146407</v>
      </c>
    </row>
    <row r="967" spans="1:4">
      <c r="A967">
        <v>966</v>
      </c>
      <c r="B967">
        <v>23954</v>
      </c>
      <c r="C967">
        <f t="shared" si="45"/>
        <v>28379.455877456603</v>
      </c>
      <c r="D967">
        <f t="shared" si="46"/>
        <v>0.84406128515762024</v>
      </c>
    </row>
    <row r="968" spans="1:4">
      <c r="A968">
        <v>967</v>
      </c>
      <c r="B968">
        <v>24528</v>
      </c>
      <c r="C968">
        <f t="shared" si="45"/>
        <v>28360.482353751577</v>
      </c>
      <c r="D968">
        <f t="shared" si="46"/>
        <v>0.86486540299464942</v>
      </c>
    </row>
    <row r="969" spans="1:4">
      <c r="A969">
        <v>968</v>
      </c>
      <c r="B969">
        <v>24880</v>
      </c>
      <c r="C969">
        <f t="shared" si="45"/>
        <v>28341.461217681033</v>
      </c>
      <c r="D969">
        <f t="shared" si="46"/>
        <v>0.87786581675889119</v>
      </c>
    </row>
    <row r="970" spans="1:4">
      <c r="A970">
        <v>969</v>
      </c>
      <c r="B970">
        <v>25458</v>
      </c>
      <c r="C970">
        <f t="shared" si="45"/>
        <v>28322.392616022953</v>
      </c>
      <c r="D970">
        <f t="shared" si="46"/>
        <v>0.89886473735264627</v>
      </c>
    </row>
    <row r="971" spans="1:4">
      <c r="A971">
        <v>970</v>
      </c>
      <c r="B971">
        <v>25707</v>
      </c>
      <c r="C971">
        <f t="shared" si="45"/>
        <v>28303.276696119094</v>
      </c>
      <c r="D971">
        <f t="shared" si="46"/>
        <v>0.90826939495400927</v>
      </c>
    </row>
    <row r="972" spans="1:4">
      <c r="A972">
        <v>971</v>
      </c>
      <c r="B972">
        <v>26038</v>
      </c>
      <c r="C972">
        <f t="shared" si="45"/>
        <v>28284.113605875009</v>
      </c>
      <c r="D972">
        <f t="shared" si="46"/>
        <v>0.92058744929491232</v>
      </c>
    </row>
    <row r="973" spans="1:4">
      <c r="A973">
        <v>972</v>
      </c>
      <c r="B973">
        <v>26113</v>
      </c>
      <c r="C973">
        <f t="shared" si="45"/>
        <v>28264.903493760026</v>
      </c>
      <c r="D973">
        <f t="shared" si="46"/>
        <v>0.92386658973609814</v>
      </c>
    </row>
    <row r="974" spans="1:4">
      <c r="A974">
        <v>973</v>
      </c>
      <c r="B974">
        <v>26083</v>
      </c>
      <c r="C974">
        <f t="shared" si="45"/>
        <v>28245.646508807276</v>
      </c>
      <c r="D974">
        <f t="shared" si="46"/>
        <v>0.92343434206283992</v>
      </c>
    </row>
    <row r="975" spans="1:4">
      <c r="A975">
        <v>974</v>
      </c>
      <c r="B975">
        <v>25778</v>
      </c>
      <c r="C975">
        <f t="shared" si="45"/>
        <v>28226.342800613649</v>
      </c>
      <c r="D975">
        <f t="shared" si="46"/>
        <v>0.91326036044030401</v>
      </c>
    </row>
    <row r="976" spans="1:4">
      <c r="A976">
        <v>975</v>
      </c>
      <c r="B976">
        <v>25384</v>
      </c>
      <c r="C976">
        <f t="shared" si="45"/>
        <v>28206.992519339841</v>
      </c>
      <c r="D976">
        <f t="shared" si="46"/>
        <v>0.89991869862041174</v>
      </c>
    </row>
    <row r="977" spans="1:7">
      <c r="A977">
        <v>976</v>
      </c>
      <c r="B977">
        <v>24946</v>
      </c>
      <c r="C977">
        <f t="shared" si="45"/>
        <v>28187.595815710356</v>
      </c>
      <c r="D977">
        <f t="shared" si="46"/>
        <v>0.88499920898171625</v>
      </c>
    </row>
    <row r="978" spans="1:7">
      <c r="A978">
        <v>977</v>
      </c>
      <c r="B978">
        <v>24662</v>
      </c>
      <c r="C978">
        <f t="shared" si="45"/>
        <v>28168.152841013431</v>
      </c>
      <c r="D978">
        <f t="shared" si="46"/>
        <v>0.8755277685120908</v>
      </c>
    </row>
    <row r="979" spans="1:7">
      <c r="A979">
        <v>978</v>
      </c>
      <c r="B979">
        <v>24907</v>
      </c>
      <c r="C979">
        <f t="shared" si="45"/>
        <v>28148.663747101145</v>
      </c>
      <c r="D979">
        <f t="shared" si="46"/>
        <v>0.88483773950246625</v>
      </c>
    </row>
    <row r="980" spans="1:7">
      <c r="A980">
        <v>979</v>
      </c>
      <c r="B980">
        <v>25113</v>
      </c>
      <c r="C980">
        <f t="shared" si="45"/>
        <v>28129.128686389329</v>
      </c>
      <c r="D980">
        <f t="shared" si="46"/>
        <v>0.89277560922643417</v>
      </c>
    </row>
    <row r="981" spans="1:7">
      <c r="A981">
        <v>980</v>
      </c>
      <c r="B981">
        <v>24945</v>
      </c>
      <c r="C981">
        <f t="shared" si="45"/>
        <v>28109.547811857588</v>
      </c>
      <c r="D981">
        <f t="shared" si="46"/>
        <v>0.88742089225203857</v>
      </c>
    </row>
    <row r="982" spans="1:7">
      <c r="A982">
        <v>981</v>
      </c>
      <c r="B982">
        <v>24367</v>
      </c>
      <c r="C982">
        <f t="shared" si="45"/>
        <v>28089.921277049387</v>
      </c>
      <c r="D982">
        <f t="shared" si="46"/>
        <v>0.86746416124379933</v>
      </c>
    </row>
    <row r="983" spans="1:7">
      <c r="A983">
        <v>982</v>
      </c>
      <c r="B983">
        <v>23311</v>
      </c>
      <c r="C983">
        <f t="shared" si="45"/>
        <v>28070.249236071893</v>
      </c>
      <c r="D983">
        <f t="shared" si="46"/>
        <v>0.8304521917120713</v>
      </c>
    </row>
    <row r="984" spans="1:7">
      <c r="A984">
        <v>983</v>
      </c>
      <c r="B984">
        <v>21938</v>
      </c>
      <c r="C984">
        <f t="shared" si="45"/>
        <v>28050.531843596076</v>
      </c>
      <c r="D984">
        <f t="shared" si="46"/>
        <v>0.78208855797536103</v>
      </c>
    </row>
    <row r="985" spans="1:7">
      <c r="A985">
        <v>984</v>
      </c>
      <c r="B985">
        <v>20251</v>
      </c>
      <c r="C985">
        <f t="shared" si="45"/>
        <v>28030.769254856739</v>
      </c>
      <c r="D985">
        <f t="shared" si="46"/>
        <v>0.72245609158554291</v>
      </c>
    </row>
    <row r="986" spans="1:7">
      <c r="A986">
        <v>985</v>
      </c>
      <c r="B986">
        <v>18605</v>
      </c>
      <c r="C986">
        <f t="shared" si="45"/>
        <v>28010.96162565245</v>
      </c>
      <c r="D986">
        <f t="shared" si="46"/>
        <v>0.66420425862714882</v>
      </c>
    </row>
    <row r="987" spans="1:7" ht="17.25">
      <c r="A987">
        <v>986</v>
      </c>
      <c r="B987">
        <v>17510</v>
      </c>
      <c r="C987">
        <f t="shared" si="45"/>
        <v>27991.10911234553</v>
      </c>
      <c r="D987">
        <f t="shared" si="46"/>
        <v>0.62555577664756357</v>
      </c>
      <c r="F987">
        <v>987</v>
      </c>
      <c r="G987" t="s">
        <v>87</v>
      </c>
    </row>
    <row r="988" spans="1:7" ht="17.25">
      <c r="A988">
        <v>987</v>
      </c>
      <c r="B988">
        <v>16950</v>
      </c>
      <c r="C988">
        <f t="shared" si="45"/>
        <v>27971.211871862117</v>
      </c>
      <c r="D988">
        <f t="shared" si="46"/>
        <v>0.60598017982377805</v>
      </c>
      <c r="F988">
        <v>987</v>
      </c>
      <c r="G988" t="s">
        <v>88</v>
      </c>
    </row>
    <row r="989" spans="1:7">
      <c r="A989">
        <v>988</v>
      </c>
      <c r="B989">
        <v>17097</v>
      </c>
      <c r="C989">
        <f t="shared" si="45"/>
        <v>27951.270061692132</v>
      </c>
      <c r="D989">
        <f t="shared" si="46"/>
        <v>0.61167166866710065</v>
      </c>
    </row>
    <row r="990" spans="1:7">
      <c r="A990">
        <v>989</v>
      </c>
      <c r="B990">
        <v>18003</v>
      </c>
      <c r="C990">
        <f t="shared" si="45"/>
        <v>27931.283839889311</v>
      </c>
      <c r="D990">
        <f t="shared" si="46"/>
        <v>0.64454609760148229</v>
      </c>
    </row>
    <row r="991" spans="1:7">
      <c r="A991">
        <v>990</v>
      </c>
      <c r="B991">
        <v>19719</v>
      </c>
      <c r="C991">
        <f t="shared" si="45"/>
        <v>27911.253365071108</v>
      </c>
      <c r="D991">
        <f t="shared" si="46"/>
        <v>0.70648923364641469</v>
      </c>
    </row>
    <row r="992" spans="1:7">
      <c r="A992">
        <v>991</v>
      </c>
      <c r="B992">
        <v>21466</v>
      </c>
      <c r="C992">
        <f t="shared" si="45"/>
        <v>27891.178796418808</v>
      </c>
      <c r="D992">
        <f t="shared" si="46"/>
        <v>0.76963401786217112</v>
      </c>
    </row>
    <row r="993" spans="1:4">
      <c r="A993">
        <v>992</v>
      </c>
      <c r="B993">
        <v>22929</v>
      </c>
      <c r="C993">
        <f t="shared" si="45"/>
        <v>27871.060293677514</v>
      </c>
      <c r="D993">
        <f t="shared" si="46"/>
        <v>0.8226812958817139</v>
      </c>
    </row>
    <row r="994" spans="1:4">
      <c r="A994">
        <v>993</v>
      </c>
      <c r="B994">
        <v>24191</v>
      </c>
      <c r="C994">
        <f t="shared" si="45"/>
        <v>27850.89801715604</v>
      </c>
      <c r="D994">
        <f t="shared" si="46"/>
        <v>0.86858958677377085</v>
      </c>
    </row>
    <row r="995" spans="1:4">
      <c r="A995">
        <v>994</v>
      </c>
      <c r="B995">
        <v>24995</v>
      </c>
      <c r="C995">
        <f t="shared" si="45"/>
        <v>27830.692127727045</v>
      </c>
      <c r="D995">
        <f t="shared" si="46"/>
        <v>0.89810917692190939</v>
      </c>
    </row>
    <row r="996" spans="1:4">
      <c r="A996">
        <v>995</v>
      </c>
      <c r="B996">
        <v>25513</v>
      </c>
      <c r="C996">
        <f t="shared" si="45"/>
        <v>27810.442786826949</v>
      </c>
      <c r="D996">
        <f t="shared" si="46"/>
        <v>0.91738920503936794</v>
      </c>
    </row>
    <row r="997" spans="1:4">
      <c r="A997">
        <v>996</v>
      </c>
      <c r="B997">
        <v>25856</v>
      </c>
      <c r="C997">
        <f t="shared" si="45"/>
        <v>27790.150156455958</v>
      </c>
      <c r="D997">
        <f t="shared" si="46"/>
        <v>0.93040159388967414</v>
      </c>
    </row>
    <row r="998" spans="1:4">
      <c r="A998">
        <v>997</v>
      </c>
      <c r="B998">
        <v>26077</v>
      </c>
      <c r="C998">
        <f t="shared" si="45"/>
        <v>27769.814399178118</v>
      </c>
      <c r="D998">
        <f t="shared" si="46"/>
        <v>0.93904120586314688</v>
      </c>
    </row>
    <row r="999" spans="1:4">
      <c r="A999">
        <v>998</v>
      </c>
      <c r="B999">
        <v>26275</v>
      </c>
      <c r="C999">
        <f t="shared" si="45"/>
        <v>27749.435678121146</v>
      </c>
      <c r="D999">
        <f t="shared" si="46"/>
        <v>0.94686610224352585</v>
      </c>
    </row>
    <row r="1000" spans="1:4">
      <c r="A1000">
        <v>999</v>
      </c>
      <c r="B1000">
        <v>26449</v>
      </c>
      <c r="C1000">
        <f t="shared" si="45"/>
        <v>27729.014156976649</v>
      </c>
      <c r="D1000">
        <f t="shared" si="46"/>
        <v>0.95383845420070235</v>
      </c>
    </row>
    <row r="1001" spans="1:4">
      <c r="A1001">
        <v>1000</v>
      </c>
      <c r="B1001">
        <v>26478</v>
      </c>
      <c r="C1001">
        <f t="shared" si="45"/>
        <v>27708.55000000001</v>
      </c>
      <c r="D1001">
        <f t="shared" si="46"/>
        <v>0.95558952020224774</v>
      </c>
    </row>
    <row r="1002" spans="1:4">
      <c r="A1002">
        <v>1001</v>
      </c>
      <c r="B1002">
        <v>26488</v>
      </c>
      <c r="C1002">
        <f t="shared" si="45"/>
        <v>27688.043372010317</v>
      </c>
      <c r="D1002">
        <f t="shared" si="46"/>
        <v>0.95665842631468012</v>
      </c>
    </row>
    <row r="1003" spans="1:4">
      <c r="A1003">
        <v>1002</v>
      </c>
      <c r="B1003">
        <v>25988</v>
      </c>
      <c r="C1003">
        <f t="shared" si="45"/>
        <v>27667.494438390589</v>
      </c>
      <c r="D1003">
        <f t="shared" si="46"/>
        <v>0.93929719793997057</v>
      </c>
    </row>
    <row r="1004" spans="1:4">
      <c r="A1004">
        <v>1003</v>
      </c>
      <c r="B1004">
        <v>25629</v>
      </c>
      <c r="C1004">
        <f t="shared" si="45"/>
        <v>27646.90336508747</v>
      </c>
      <c r="D1004">
        <f t="shared" si="46"/>
        <v>0.92701159553240675</v>
      </c>
    </row>
    <row r="1005" spans="1:4">
      <c r="A1005">
        <v>1004</v>
      </c>
      <c r="B1005">
        <v>25210</v>
      </c>
      <c r="C1005">
        <f t="shared" si="45"/>
        <v>27626.270318611496</v>
      </c>
      <c r="D1005">
        <f t="shared" si="46"/>
        <v>0.91253722305816709</v>
      </c>
    </row>
    <row r="1006" spans="1:4">
      <c r="A1006">
        <v>1005</v>
      </c>
      <c r="B1006">
        <v>24875</v>
      </c>
      <c r="C1006">
        <f t="shared" si="45"/>
        <v>27605.595466036939</v>
      </c>
      <c r="D1006">
        <f t="shared" si="46"/>
        <v>0.901085435038111</v>
      </c>
    </row>
    <row r="1007" spans="1:4">
      <c r="A1007">
        <v>1006</v>
      </c>
      <c r="B1007">
        <v>24869</v>
      </c>
      <c r="C1007">
        <f t="shared" si="45"/>
        <v>27584.878975001906</v>
      </c>
      <c r="D1007">
        <f t="shared" si="46"/>
        <v>0.90154464779551502</v>
      </c>
    </row>
    <row r="1008" spans="1:4">
      <c r="A1008">
        <v>1007</v>
      </c>
      <c r="B1008">
        <v>24778</v>
      </c>
      <c r="C1008">
        <f t="shared" si="45"/>
        <v>27564.121013708282</v>
      </c>
      <c r="D1008">
        <f t="shared" si="46"/>
        <v>0.8989221890180108</v>
      </c>
    </row>
    <row r="1009" spans="1:4">
      <c r="A1009">
        <v>1008</v>
      </c>
      <c r="B1009">
        <v>24709</v>
      </c>
      <c r="C1009">
        <f t="shared" si="45"/>
        <v>27543.321750921663</v>
      </c>
      <c r="D1009">
        <f t="shared" si="46"/>
        <v>0.89709586314414602</v>
      </c>
    </row>
    <row r="1010" spans="1:4">
      <c r="A1010">
        <v>1009</v>
      </c>
      <c r="B1010">
        <v>24887</v>
      </c>
      <c r="C1010">
        <f t="shared" si="45"/>
        <v>27522.481355971533</v>
      </c>
      <c r="D1010">
        <f t="shared" si="46"/>
        <v>0.90424259637477367</v>
      </c>
    </row>
    <row r="1011" spans="1:4">
      <c r="A1011">
        <v>1010</v>
      </c>
      <c r="B1011">
        <v>25067</v>
      </c>
      <c r="C1011">
        <f t="shared" si="45"/>
        <v>27501.599998751102</v>
      </c>
      <c r="D1011">
        <f t="shared" si="46"/>
        <v>0.91147424154006818</v>
      </c>
    </row>
    <row r="1012" spans="1:4">
      <c r="A1012">
        <v>1011</v>
      </c>
      <c r="B1012">
        <v>25226</v>
      </c>
      <c r="C1012">
        <f t="shared" si="45"/>
        <v>27480.677849717373</v>
      </c>
      <c r="D1012">
        <f t="shared" si="46"/>
        <v>0.91795406714319594</v>
      </c>
    </row>
    <row r="1013" spans="1:4">
      <c r="A1013">
        <v>1012</v>
      </c>
      <c r="B1013">
        <v>25339</v>
      </c>
      <c r="C1013">
        <f t="shared" si="45"/>
        <v>27459.715079891161</v>
      </c>
      <c r="D1013">
        <f t="shared" si="46"/>
        <v>0.92276995323071775</v>
      </c>
    </row>
    <row r="1014" spans="1:4">
      <c r="A1014">
        <v>1013</v>
      </c>
      <c r="B1014">
        <v>25437</v>
      </c>
      <c r="C1014">
        <f t="shared" si="45"/>
        <v>27438.711860857074</v>
      </c>
      <c r="D1014">
        <f t="shared" si="46"/>
        <v>0.9270478923716301</v>
      </c>
    </row>
    <row r="1015" spans="1:4">
      <c r="A1015">
        <v>1014</v>
      </c>
      <c r="B1015">
        <v>25647</v>
      </c>
      <c r="C1015">
        <f t="shared" si="45"/>
        <v>27417.668364763442</v>
      </c>
      <c r="D1015">
        <f t="shared" si="46"/>
        <v>0.93541871098568452</v>
      </c>
    </row>
    <row r="1016" spans="1:4">
      <c r="A1016">
        <v>1015</v>
      </c>
      <c r="B1016">
        <v>25769</v>
      </c>
      <c r="C1016">
        <f t="shared" si="45"/>
        <v>27396.584764322448</v>
      </c>
      <c r="D1016">
        <f t="shared" si="46"/>
        <v>0.94059169132489862</v>
      </c>
    </row>
    <row r="1017" spans="1:4">
      <c r="A1017">
        <v>1016</v>
      </c>
      <c r="B1017">
        <v>26013</v>
      </c>
      <c r="C1017">
        <f t="shared" si="45"/>
        <v>27375.461232810012</v>
      </c>
      <c r="D1017">
        <f t="shared" si="46"/>
        <v>0.95023056520497717</v>
      </c>
    </row>
    <row r="1018" spans="1:4">
      <c r="A1018">
        <v>1017</v>
      </c>
      <c r="B1018">
        <v>26262</v>
      </c>
      <c r="C1018">
        <f t="shared" si="45"/>
        <v>27354.297944065911</v>
      </c>
      <c r="D1018">
        <f t="shared" si="46"/>
        <v>0.96006850746820693</v>
      </c>
    </row>
    <row r="1019" spans="1:4">
      <c r="A1019">
        <v>1018</v>
      </c>
      <c r="B1019">
        <v>26576</v>
      </c>
      <c r="C1019">
        <f t="shared" si="45"/>
        <v>27333.095072493641</v>
      </c>
      <c r="D1019">
        <f t="shared" si="46"/>
        <v>0.97230115833989339</v>
      </c>
    </row>
    <row r="1020" spans="1:4">
      <c r="A1020">
        <v>1019</v>
      </c>
      <c r="B1020">
        <v>26711</v>
      </c>
      <c r="C1020">
        <f t="shared" si="45"/>
        <v>27311.852793060512</v>
      </c>
      <c r="D1020">
        <f t="shared" si="46"/>
        <v>0.97800029175563008</v>
      </c>
    </row>
    <row r="1021" spans="1:4">
      <c r="A1021">
        <v>1020</v>
      </c>
      <c r="B1021">
        <v>26781</v>
      </c>
      <c r="C1021">
        <f t="shared" si="45"/>
        <v>27290.571281297598</v>
      </c>
      <c r="D1021">
        <f t="shared" si="46"/>
        <v>0.98132793644936223</v>
      </c>
    </row>
    <row r="1022" spans="1:4">
      <c r="A1022">
        <v>1021</v>
      </c>
      <c r="B1022">
        <v>26376</v>
      </c>
      <c r="C1022">
        <f t="shared" si="45"/>
        <v>27269.250713299793</v>
      </c>
      <c r="D1022">
        <f t="shared" si="46"/>
        <v>0.96724329822292709</v>
      </c>
    </row>
    <row r="1023" spans="1:4">
      <c r="A1023">
        <v>1022</v>
      </c>
      <c r="B1023">
        <v>25883</v>
      </c>
      <c r="C1023">
        <f t="shared" si="45"/>
        <v>27247.89126572579</v>
      </c>
      <c r="D1023">
        <f t="shared" si="46"/>
        <v>0.94990837080142632</v>
      </c>
    </row>
    <row r="1024" spans="1:4">
      <c r="A1024">
        <v>1023</v>
      </c>
      <c r="B1024">
        <v>25354</v>
      </c>
      <c r="C1024">
        <f t="shared" si="45"/>
        <v>27226.493115798003</v>
      </c>
      <c r="D1024">
        <f t="shared" si="46"/>
        <v>0.93122532865933072</v>
      </c>
    </row>
    <row r="1025" spans="1:4">
      <c r="A1025">
        <v>1024</v>
      </c>
      <c r="B1025">
        <v>25044</v>
      </c>
      <c r="C1025">
        <f t="shared" si="45"/>
        <v>27205.056441302666</v>
      </c>
      <c r="D1025">
        <f t="shared" si="46"/>
        <v>0.92056416254951212</v>
      </c>
    </row>
    <row r="1026" spans="1:4">
      <c r="A1026">
        <v>1025</v>
      </c>
      <c r="B1026">
        <v>25072</v>
      </c>
      <c r="C1026">
        <f t="shared" ref="C1026:C1089" si="47" xml:space="preserve"> 0.00000002349111*A1026*A1026*A1026*A1026 - 0.0000664476*A1026*A1026*A1026 + 0.03716061*A1026*A1026 + 10.57172*A1026 + 22932.71</f>
        <v>27183.581420589842</v>
      </c>
      <c r="D1026">
        <f t="shared" ref="D1026:D1089" si="48">B1026/C1026</f>
        <v>0.92232144146427841</v>
      </c>
    </row>
    <row r="1027" spans="1:4">
      <c r="A1027">
        <v>1026</v>
      </c>
      <c r="B1027">
        <v>25079</v>
      </c>
      <c r="C1027">
        <f t="shared" si="47"/>
        <v>27162.068232573321</v>
      </c>
      <c r="D1027">
        <f t="shared" si="48"/>
        <v>0.92330966056276742</v>
      </c>
    </row>
    <row r="1028" spans="1:4">
      <c r="A1028">
        <v>1027</v>
      </c>
      <c r="B1028">
        <v>25184</v>
      </c>
      <c r="C1028">
        <f t="shared" si="47"/>
        <v>27140.517056730714</v>
      </c>
      <c r="D1028">
        <f t="shared" si="48"/>
        <v>0.92791157763718779</v>
      </c>
    </row>
    <row r="1029" spans="1:4">
      <c r="A1029">
        <v>1028</v>
      </c>
      <c r="B1029">
        <v>25224</v>
      </c>
      <c r="C1029">
        <f t="shared" si="47"/>
        <v>27118.928073103401</v>
      </c>
      <c r="D1029">
        <f t="shared" si="48"/>
        <v>0.93012525908121002</v>
      </c>
    </row>
    <row r="1030" spans="1:4">
      <c r="A1030">
        <v>1029</v>
      </c>
      <c r="B1030">
        <v>25243</v>
      </c>
      <c r="C1030">
        <f t="shared" si="47"/>
        <v>27097.301462296527</v>
      </c>
      <c r="D1030">
        <f t="shared" si="48"/>
        <v>0.93156877761881118</v>
      </c>
    </row>
    <row r="1031" spans="1:4">
      <c r="A1031">
        <v>1030</v>
      </c>
      <c r="B1031">
        <v>25163</v>
      </c>
      <c r="C1031">
        <f t="shared" si="47"/>
        <v>27075.637405479079</v>
      </c>
      <c r="D1031">
        <f t="shared" si="48"/>
        <v>0.92935946892640708</v>
      </c>
    </row>
    <row r="1032" spans="1:4">
      <c r="A1032">
        <v>1031</v>
      </c>
      <c r="B1032">
        <v>24832</v>
      </c>
      <c r="C1032">
        <f t="shared" si="47"/>
        <v>27053.936084383829</v>
      </c>
      <c r="D1032">
        <f t="shared" si="48"/>
        <v>0.9178701362547248</v>
      </c>
    </row>
    <row r="1033" spans="1:4">
      <c r="A1033">
        <v>1032</v>
      </c>
      <c r="B1033">
        <v>24652</v>
      </c>
      <c r="C1033">
        <f t="shared" si="47"/>
        <v>27032.197681307269</v>
      </c>
      <c r="D1033">
        <f t="shared" si="48"/>
        <v>0.91194953109738564</v>
      </c>
    </row>
    <row r="1034" spans="1:4">
      <c r="A1034">
        <v>1033</v>
      </c>
      <c r="B1034">
        <v>24587</v>
      </c>
      <c r="C1034">
        <f t="shared" si="47"/>
        <v>27010.422379109739</v>
      </c>
      <c r="D1034">
        <f t="shared" si="48"/>
        <v>0.91027824944403501</v>
      </c>
    </row>
    <row r="1035" spans="1:4">
      <c r="A1035">
        <v>1034</v>
      </c>
      <c r="B1035">
        <v>24450</v>
      </c>
      <c r="C1035">
        <f t="shared" si="47"/>
        <v>26988.610361215331</v>
      </c>
      <c r="D1035">
        <f t="shared" si="48"/>
        <v>0.90593771493831687</v>
      </c>
    </row>
    <row r="1036" spans="1:4">
      <c r="A1036">
        <v>1035</v>
      </c>
      <c r="B1036">
        <v>24337</v>
      </c>
      <c r="C1036">
        <f t="shared" si="47"/>
        <v>26966.761811611941</v>
      </c>
      <c r="D1036">
        <f t="shared" si="48"/>
        <v>0.90248136465240847</v>
      </c>
    </row>
    <row r="1037" spans="1:4">
      <c r="A1037">
        <v>1036</v>
      </c>
      <c r="B1037">
        <v>24349</v>
      </c>
      <c r="C1037">
        <f t="shared" si="47"/>
        <v>26944.876914851258</v>
      </c>
      <c r="D1037">
        <f t="shared" si="48"/>
        <v>0.90365972266065597</v>
      </c>
    </row>
    <row r="1038" spans="1:4">
      <c r="A1038">
        <v>1037</v>
      </c>
      <c r="B1038">
        <v>23977</v>
      </c>
      <c r="C1038">
        <f t="shared" si="47"/>
        <v>26922.955856048728</v>
      </c>
      <c r="D1038">
        <f t="shared" si="48"/>
        <v>0.89057829044477432</v>
      </c>
    </row>
    <row r="1039" spans="1:4">
      <c r="A1039">
        <v>1038</v>
      </c>
      <c r="B1039">
        <v>23468</v>
      </c>
      <c r="C1039">
        <f t="shared" si="47"/>
        <v>26900.998820883615</v>
      </c>
      <c r="D1039">
        <f t="shared" si="48"/>
        <v>0.8723839644861614</v>
      </c>
    </row>
    <row r="1040" spans="1:4">
      <c r="A1040">
        <v>1039</v>
      </c>
      <c r="B1040">
        <v>22924</v>
      </c>
      <c r="C1040">
        <f t="shared" si="47"/>
        <v>26879.005995598956</v>
      </c>
      <c r="D1040">
        <f t="shared" si="48"/>
        <v>0.8528589191041317</v>
      </c>
    </row>
    <row r="1041" spans="1:7">
      <c r="A1041">
        <v>1040</v>
      </c>
      <c r="B1041">
        <v>21915</v>
      </c>
      <c r="C1041">
        <f t="shared" si="47"/>
        <v>26856.977567001581</v>
      </c>
      <c r="D1041">
        <f t="shared" si="48"/>
        <v>0.81598906449273534</v>
      </c>
    </row>
    <row r="1042" spans="1:7">
      <c r="A1042">
        <v>1041</v>
      </c>
      <c r="B1042">
        <v>20970</v>
      </c>
      <c r="C1042">
        <f t="shared" si="47"/>
        <v>26834.913722462115</v>
      </c>
      <c r="D1042">
        <f t="shared" si="48"/>
        <v>0.78144465888284564</v>
      </c>
    </row>
    <row r="1043" spans="1:7" ht="17.25">
      <c r="A1043">
        <v>1042</v>
      </c>
      <c r="B1043">
        <v>19806</v>
      </c>
      <c r="C1043">
        <f t="shared" si="47"/>
        <v>26812.814649914944</v>
      </c>
      <c r="D1043">
        <f t="shared" si="48"/>
        <v>0.73867664617085727</v>
      </c>
      <c r="F1043">
        <v>1043</v>
      </c>
      <c r="G1043" t="s">
        <v>89</v>
      </c>
    </row>
    <row r="1044" spans="1:7" ht="17.25">
      <c r="A1044">
        <v>1043</v>
      </c>
      <c r="B1044">
        <v>19597</v>
      </c>
      <c r="C1044">
        <f t="shared" si="47"/>
        <v>26790.680537858228</v>
      </c>
      <c r="D1044">
        <f t="shared" si="48"/>
        <v>0.73148571094740378</v>
      </c>
      <c r="F1044">
        <v>1043</v>
      </c>
      <c r="G1044" t="s">
        <v>90</v>
      </c>
    </row>
    <row r="1045" spans="1:7">
      <c r="A1045">
        <v>1044</v>
      </c>
      <c r="B1045">
        <v>20127</v>
      </c>
      <c r="C1045">
        <f t="shared" si="47"/>
        <v>26768.511575353994</v>
      </c>
      <c r="D1045">
        <f t="shared" si="48"/>
        <v>0.75189089028510303</v>
      </c>
    </row>
    <row r="1046" spans="1:7">
      <c r="A1046">
        <v>1045</v>
      </c>
      <c r="B1046">
        <v>21501</v>
      </c>
      <c r="C1046">
        <f t="shared" si="47"/>
        <v>26746.30795202795</v>
      </c>
      <c r="D1046">
        <f t="shared" si="48"/>
        <v>0.80388665376036539</v>
      </c>
    </row>
    <row r="1047" spans="1:7">
      <c r="A1047">
        <v>1046</v>
      </c>
      <c r="B1047">
        <v>23030</v>
      </c>
      <c r="C1047">
        <f t="shared" si="47"/>
        <v>26724.069858069641</v>
      </c>
      <c r="D1047">
        <f t="shared" si="48"/>
        <v>0.86176993707587646</v>
      </c>
    </row>
    <row r="1048" spans="1:7">
      <c r="A1048">
        <v>1047</v>
      </c>
      <c r="B1048">
        <v>24394</v>
      </c>
      <c r="C1048">
        <f t="shared" si="47"/>
        <v>26701.797484232455</v>
      </c>
      <c r="D1048">
        <f t="shared" si="48"/>
        <v>0.91357145579449395</v>
      </c>
    </row>
    <row r="1049" spans="1:7">
      <c r="A1049">
        <v>1048</v>
      </c>
      <c r="B1049">
        <v>25444</v>
      </c>
      <c r="C1049">
        <f t="shared" si="47"/>
        <v>26679.491021833448</v>
      </c>
      <c r="D1049">
        <f t="shared" si="48"/>
        <v>0.95369135712437803</v>
      </c>
    </row>
    <row r="1050" spans="1:7">
      <c r="A1050">
        <v>1049</v>
      </c>
      <c r="B1050">
        <v>25661</v>
      </c>
      <c r="C1050">
        <f t="shared" si="47"/>
        <v>26657.150662753556</v>
      </c>
      <c r="D1050">
        <f t="shared" si="48"/>
        <v>0.96263101501896753</v>
      </c>
    </row>
    <row r="1051" spans="1:7">
      <c r="A1051">
        <v>1050</v>
      </c>
      <c r="B1051">
        <v>25601</v>
      </c>
      <c r="C1051">
        <f t="shared" si="47"/>
        <v>26634.7765994375</v>
      </c>
      <c r="D1051">
        <f t="shared" si="48"/>
        <v>0.96118696188128216</v>
      </c>
    </row>
    <row r="1052" spans="1:7">
      <c r="A1052">
        <v>1051</v>
      </c>
      <c r="B1052">
        <v>25544</v>
      </c>
      <c r="C1052">
        <f t="shared" si="47"/>
        <v>26612.369024893684</v>
      </c>
      <c r="D1052">
        <f t="shared" si="48"/>
        <v>0.95985441867673216</v>
      </c>
    </row>
    <row r="1053" spans="1:7">
      <c r="A1053">
        <v>1052</v>
      </c>
      <c r="B1053">
        <v>25542</v>
      </c>
      <c r="C1053">
        <f t="shared" si="47"/>
        <v>26589.928132694455</v>
      </c>
      <c r="D1053">
        <f t="shared" si="48"/>
        <v>0.96058928299975577</v>
      </c>
    </row>
    <row r="1054" spans="1:7">
      <c r="A1054">
        <v>1053</v>
      </c>
      <c r="B1054">
        <v>25752</v>
      </c>
      <c r="C1054">
        <f t="shared" si="47"/>
        <v>26567.454116975809</v>
      </c>
      <c r="D1054">
        <f t="shared" si="48"/>
        <v>0.96930627551343895</v>
      </c>
    </row>
    <row r="1055" spans="1:7">
      <c r="A1055">
        <v>1054</v>
      </c>
      <c r="B1055">
        <v>26034</v>
      </c>
      <c r="C1055">
        <f t="shared" si="47"/>
        <v>26544.947172437591</v>
      </c>
      <c r="D1055">
        <f t="shared" si="48"/>
        <v>0.98075162217809486</v>
      </c>
    </row>
    <row r="1056" spans="1:7">
      <c r="A1056">
        <v>1055</v>
      </c>
      <c r="B1056">
        <v>26480</v>
      </c>
      <c r="C1056">
        <f t="shared" si="47"/>
        <v>26522.407494343432</v>
      </c>
      <c r="D1056">
        <f t="shared" si="48"/>
        <v>0.99840106919583083</v>
      </c>
    </row>
    <row r="1057" spans="1:4">
      <c r="A1057">
        <v>1056</v>
      </c>
      <c r="B1057">
        <v>26794</v>
      </c>
      <c r="C1057">
        <f t="shared" si="47"/>
        <v>26499.835278520772</v>
      </c>
      <c r="D1057">
        <f t="shared" si="48"/>
        <v>1.0111006245279441</v>
      </c>
    </row>
    <row r="1058" spans="1:4">
      <c r="A1058">
        <v>1057</v>
      </c>
      <c r="B1058">
        <v>26754</v>
      </c>
      <c r="C1058">
        <f t="shared" si="47"/>
        <v>26477.230721360782</v>
      </c>
      <c r="D1058">
        <f t="shared" si="48"/>
        <v>1.0104531052190413</v>
      </c>
    </row>
    <row r="1059" spans="1:4">
      <c r="A1059">
        <v>1058</v>
      </c>
      <c r="B1059">
        <v>26693</v>
      </c>
      <c r="C1059">
        <f t="shared" si="47"/>
        <v>26454.594019818422</v>
      </c>
      <c r="D1059">
        <f t="shared" si="48"/>
        <v>1.009011893359731</v>
      </c>
    </row>
    <row r="1060" spans="1:4">
      <c r="A1060">
        <v>1059</v>
      </c>
      <c r="B1060">
        <v>26684</v>
      </c>
      <c r="C1060">
        <f t="shared" si="47"/>
        <v>26431.925371412519</v>
      </c>
      <c r="D1060">
        <f t="shared" si="48"/>
        <v>1.0095367486494236</v>
      </c>
    </row>
    <row r="1061" spans="1:4">
      <c r="A1061">
        <v>1060</v>
      </c>
      <c r="B1061">
        <v>26508</v>
      </c>
      <c r="C1061">
        <f t="shared" si="47"/>
        <v>26409.224974225592</v>
      </c>
      <c r="D1061">
        <f t="shared" si="48"/>
        <v>1.0037401713178182</v>
      </c>
    </row>
    <row r="1062" spans="1:4">
      <c r="A1062">
        <v>1061</v>
      </c>
      <c r="B1062">
        <v>26524</v>
      </c>
      <c r="C1062">
        <f t="shared" si="47"/>
        <v>26386.493026904031</v>
      </c>
      <c r="D1062">
        <f t="shared" si="48"/>
        <v>1.0052112636929722</v>
      </c>
    </row>
    <row r="1063" spans="1:4">
      <c r="A1063">
        <v>1062</v>
      </c>
      <c r="B1063">
        <v>26826</v>
      </c>
      <c r="C1063">
        <f t="shared" si="47"/>
        <v>26363.729728657894</v>
      </c>
      <c r="D1063">
        <f t="shared" si="48"/>
        <v>1.0175343275060056</v>
      </c>
    </row>
    <row r="1064" spans="1:4">
      <c r="A1064">
        <v>1063</v>
      </c>
      <c r="B1064">
        <v>26887</v>
      </c>
      <c r="C1064">
        <f t="shared" si="47"/>
        <v>26340.935279261164</v>
      </c>
      <c r="D1064">
        <f t="shared" si="48"/>
        <v>1.0207306504096978</v>
      </c>
    </row>
    <row r="1065" spans="1:4">
      <c r="A1065">
        <v>1064</v>
      </c>
      <c r="B1065">
        <v>26841</v>
      </c>
      <c r="C1065">
        <f t="shared" si="47"/>
        <v>26318.109879051506</v>
      </c>
      <c r="D1065">
        <f t="shared" si="48"/>
        <v>1.0198680727207048</v>
      </c>
    </row>
    <row r="1066" spans="1:4">
      <c r="A1066">
        <v>1065</v>
      </c>
      <c r="B1066">
        <v>26610</v>
      </c>
      <c r="C1066">
        <f t="shared" si="47"/>
        <v>26295.253728930449</v>
      </c>
      <c r="D1066">
        <f t="shared" si="48"/>
        <v>1.0119696989545783</v>
      </c>
    </row>
    <row r="1067" spans="1:4">
      <c r="A1067">
        <v>1066</v>
      </c>
      <c r="B1067">
        <v>26313</v>
      </c>
      <c r="C1067">
        <f t="shared" si="47"/>
        <v>26272.367030363235</v>
      </c>
      <c r="D1067">
        <f t="shared" si="48"/>
        <v>1.0015466048258919</v>
      </c>
    </row>
    <row r="1068" spans="1:4">
      <c r="A1068">
        <v>1067</v>
      </c>
      <c r="B1068">
        <v>25935</v>
      </c>
      <c r="C1068">
        <f t="shared" si="47"/>
        <v>26249.449985378949</v>
      </c>
      <c r="D1068">
        <f t="shared" si="48"/>
        <v>0.98802070193645586</v>
      </c>
    </row>
    <row r="1069" spans="1:4">
      <c r="A1069">
        <v>1068</v>
      </c>
      <c r="B1069">
        <v>25555</v>
      </c>
      <c r="C1069">
        <f t="shared" si="47"/>
        <v>26226.502796570461</v>
      </c>
      <c r="D1069">
        <f t="shared" si="48"/>
        <v>0.97439602215441889</v>
      </c>
    </row>
    <row r="1070" spans="1:4">
      <c r="A1070">
        <v>1069</v>
      </c>
      <c r="B1070">
        <v>25392</v>
      </c>
      <c r="C1070">
        <f t="shared" si="47"/>
        <v>26203.525667094353</v>
      </c>
      <c r="D1070">
        <f t="shared" si="48"/>
        <v>0.96902990546369705</v>
      </c>
    </row>
    <row r="1071" spans="1:4">
      <c r="A1071">
        <v>1070</v>
      </c>
      <c r="B1071">
        <v>25270</v>
      </c>
      <c r="C1071">
        <f t="shared" si="47"/>
        <v>26180.5188006711</v>
      </c>
      <c r="D1071">
        <f t="shared" si="48"/>
        <v>0.96522151422577007</v>
      </c>
    </row>
    <row r="1072" spans="1:4">
      <c r="A1072">
        <v>1071</v>
      </c>
      <c r="B1072">
        <v>24929</v>
      </c>
      <c r="C1072">
        <f t="shared" si="47"/>
        <v>26157.482401584912</v>
      </c>
      <c r="D1072">
        <f t="shared" si="48"/>
        <v>0.95303514372199383</v>
      </c>
    </row>
    <row r="1073" spans="1:4">
      <c r="A1073">
        <v>1072</v>
      </c>
      <c r="B1073">
        <v>24451</v>
      </c>
      <c r="C1073">
        <f t="shared" si="47"/>
        <v>26134.416674683718</v>
      </c>
      <c r="D1073">
        <f t="shared" si="48"/>
        <v>0.93558621584561952</v>
      </c>
    </row>
    <row r="1074" spans="1:4">
      <c r="A1074">
        <v>1073</v>
      </c>
      <c r="B1074">
        <v>23969</v>
      </c>
      <c r="C1074">
        <f t="shared" si="47"/>
        <v>26111.321825379422</v>
      </c>
      <c r="D1074">
        <f t="shared" si="48"/>
        <v>0.91795429432082032</v>
      </c>
    </row>
    <row r="1075" spans="1:4">
      <c r="A1075">
        <v>1074</v>
      </c>
      <c r="B1075">
        <v>23634</v>
      </c>
      <c r="C1075">
        <f t="shared" si="47"/>
        <v>26088.198059647493</v>
      </c>
      <c r="D1075">
        <f t="shared" si="48"/>
        <v>0.90592688486815887</v>
      </c>
    </row>
    <row r="1076" spans="1:4">
      <c r="A1076">
        <v>1075</v>
      </c>
      <c r="B1076">
        <v>23501</v>
      </c>
      <c r="C1076">
        <f t="shared" si="47"/>
        <v>26065.045584027339</v>
      </c>
      <c r="D1076">
        <f t="shared" si="48"/>
        <v>0.90162896221449207</v>
      </c>
    </row>
    <row r="1077" spans="1:4">
      <c r="A1077">
        <v>1076</v>
      </c>
      <c r="B1077">
        <v>23834</v>
      </c>
      <c r="C1077">
        <f t="shared" si="47"/>
        <v>26041.8646056221</v>
      </c>
      <c r="D1077">
        <f t="shared" si="48"/>
        <v>0.91521864355498372</v>
      </c>
    </row>
    <row r="1078" spans="1:4">
      <c r="A1078">
        <v>1077</v>
      </c>
      <c r="B1078">
        <v>24205</v>
      </c>
      <c r="C1078">
        <f t="shared" si="47"/>
        <v>26018.655332098675</v>
      </c>
      <c r="D1078">
        <f t="shared" si="48"/>
        <v>0.93029404060473464</v>
      </c>
    </row>
    <row r="1079" spans="1:4">
      <c r="A1079">
        <v>1078</v>
      </c>
      <c r="B1079">
        <v>24427</v>
      </c>
      <c r="C1079">
        <f t="shared" si="47"/>
        <v>25995.417971687843</v>
      </c>
      <c r="D1079">
        <f t="shared" si="48"/>
        <v>0.93966559901456326</v>
      </c>
    </row>
    <row r="1080" spans="1:4">
      <c r="A1080">
        <v>1079</v>
      </c>
      <c r="B1080">
        <v>24643</v>
      </c>
      <c r="C1080">
        <f t="shared" si="47"/>
        <v>25972.152733184048</v>
      </c>
      <c r="D1080">
        <f t="shared" si="48"/>
        <v>0.94882392896581813</v>
      </c>
    </row>
    <row r="1081" spans="1:4">
      <c r="A1081">
        <v>1080</v>
      </c>
      <c r="B1081">
        <v>24703</v>
      </c>
      <c r="C1081">
        <f t="shared" si="47"/>
        <v>25948.859825945598</v>
      </c>
      <c r="D1081">
        <f t="shared" si="48"/>
        <v>0.95198787791439321</v>
      </c>
    </row>
    <row r="1082" spans="1:4">
      <c r="A1082">
        <v>1081</v>
      </c>
      <c r="B1082">
        <v>24869</v>
      </c>
      <c r="C1082">
        <f t="shared" si="47"/>
        <v>25925.539459894593</v>
      </c>
      <c r="D1082">
        <f t="shared" si="48"/>
        <v>0.95924715620560175</v>
      </c>
    </row>
    <row r="1083" spans="1:4">
      <c r="A1083">
        <v>1082</v>
      </c>
      <c r="B1083">
        <v>24985</v>
      </c>
      <c r="C1083">
        <f t="shared" si="47"/>
        <v>25902.191845516878</v>
      </c>
      <c r="D1083">
        <f t="shared" si="48"/>
        <v>0.96459018406677333</v>
      </c>
    </row>
    <row r="1084" spans="1:4">
      <c r="A1084">
        <v>1083</v>
      </c>
      <c r="B1084">
        <v>25204</v>
      </c>
      <c r="C1084">
        <f t="shared" si="47"/>
        <v>25878.817193862094</v>
      </c>
      <c r="D1084">
        <f t="shared" si="48"/>
        <v>0.97392395530263465</v>
      </c>
    </row>
    <row r="1085" spans="1:4">
      <c r="A1085">
        <v>1084</v>
      </c>
      <c r="B1085">
        <v>25756</v>
      </c>
      <c r="C1085">
        <f t="shared" si="47"/>
        <v>25855.415716543721</v>
      </c>
      <c r="D1085">
        <f t="shared" si="48"/>
        <v>0.99615493644992492</v>
      </c>
    </row>
    <row r="1086" spans="1:4">
      <c r="A1086">
        <v>1085</v>
      </c>
      <c r="B1086">
        <v>26046</v>
      </c>
      <c r="C1086">
        <f t="shared" si="47"/>
        <v>25831.987625738941</v>
      </c>
      <c r="D1086">
        <f t="shared" si="48"/>
        <v>1.0082847815414644</v>
      </c>
    </row>
    <row r="1087" spans="1:4">
      <c r="A1087">
        <v>1086</v>
      </c>
      <c r="B1087">
        <v>26259</v>
      </c>
      <c r="C1087">
        <f t="shared" si="47"/>
        <v>25808.533134188787</v>
      </c>
      <c r="D1087">
        <f t="shared" si="48"/>
        <v>1.0174541832140966</v>
      </c>
    </row>
    <row r="1088" spans="1:4">
      <c r="A1088">
        <v>1087</v>
      </c>
      <c r="B1088">
        <v>26079</v>
      </c>
      <c r="C1088">
        <f t="shared" si="47"/>
        <v>25785.052455198042</v>
      </c>
      <c r="D1088">
        <f t="shared" si="48"/>
        <v>1.011399920372964</v>
      </c>
    </row>
    <row r="1089" spans="1:4">
      <c r="A1089">
        <v>1088</v>
      </c>
      <c r="B1089">
        <v>25853</v>
      </c>
      <c r="C1089">
        <f t="shared" si="47"/>
        <v>25761.545802635308</v>
      </c>
      <c r="D1089">
        <f t="shared" si="48"/>
        <v>1.0035500275513489</v>
      </c>
    </row>
    <row r="1090" spans="1:4">
      <c r="A1090">
        <v>1089</v>
      </c>
      <c r="B1090">
        <v>25322</v>
      </c>
      <c r="C1090">
        <f t="shared" ref="C1090:C1153" si="49" xml:space="preserve"> 0.00000002349111*A1090*A1090*A1090*A1090 - 0.0000664476*A1090*A1090*A1090 + 0.03716061*A1090*A1090 + 10.57172*A1090 + 22932.71</f>
        <v>25738.013390932938</v>
      </c>
      <c r="D1090">
        <f t="shared" ref="D1090:D1153" si="50">B1090/C1090</f>
        <v>0.98383661611274587</v>
      </c>
    </row>
    <row r="1091" spans="1:4">
      <c r="A1091">
        <v>1090</v>
      </c>
      <c r="B1091">
        <v>25033</v>
      </c>
      <c r="C1091">
        <f t="shared" si="49"/>
        <v>25714.455435087097</v>
      </c>
      <c r="D1091">
        <f t="shared" si="50"/>
        <v>0.97349913021462398</v>
      </c>
    </row>
    <row r="1092" spans="1:4">
      <c r="A1092">
        <v>1091</v>
      </c>
      <c r="B1092">
        <v>24676</v>
      </c>
      <c r="C1092">
        <f t="shared" si="49"/>
        <v>25690.872150657728</v>
      </c>
      <c r="D1092">
        <f t="shared" si="50"/>
        <v>0.96049678093035296</v>
      </c>
    </row>
    <row r="1093" spans="1:4">
      <c r="A1093">
        <v>1092</v>
      </c>
      <c r="B1093">
        <v>24608</v>
      </c>
      <c r="C1093">
        <f t="shared" si="49"/>
        <v>25667.263753768581</v>
      </c>
      <c r="D1093">
        <f t="shared" si="50"/>
        <v>0.95873094366698697</v>
      </c>
    </row>
    <row r="1094" spans="1:4">
      <c r="A1094">
        <v>1093</v>
      </c>
      <c r="B1094">
        <v>24357</v>
      </c>
      <c r="C1094">
        <f t="shared" si="49"/>
        <v>25643.630461107146</v>
      </c>
      <c r="D1094">
        <f t="shared" si="50"/>
        <v>0.94982650904057686</v>
      </c>
    </row>
    <row r="1095" spans="1:4">
      <c r="A1095">
        <v>1094</v>
      </c>
      <c r="B1095">
        <v>24224</v>
      </c>
      <c r="C1095">
        <f t="shared" si="49"/>
        <v>25619.972489924752</v>
      </c>
      <c r="D1095">
        <f t="shared" si="50"/>
        <v>0.94551233454783257</v>
      </c>
    </row>
    <row r="1096" spans="1:4">
      <c r="A1096">
        <v>1095</v>
      </c>
      <c r="B1096">
        <v>23810</v>
      </c>
      <c r="C1096">
        <f t="shared" si="49"/>
        <v>25596.290058036459</v>
      </c>
      <c r="D1096">
        <f t="shared" si="50"/>
        <v>0.93021293109328484</v>
      </c>
    </row>
    <row r="1097" spans="1:4">
      <c r="A1097">
        <v>1096</v>
      </c>
      <c r="B1097">
        <v>23164</v>
      </c>
      <c r="C1097">
        <f t="shared" si="49"/>
        <v>25572.58338382114</v>
      </c>
      <c r="D1097">
        <f t="shared" si="50"/>
        <v>0.90581384181369162</v>
      </c>
    </row>
    <row r="1098" spans="1:4">
      <c r="A1098">
        <v>1097</v>
      </c>
      <c r="B1098">
        <v>22416</v>
      </c>
      <c r="C1098">
        <f t="shared" si="49"/>
        <v>25548.852686221515</v>
      </c>
      <c r="D1098">
        <f t="shared" si="50"/>
        <v>0.87737795020787523</v>
      </c>
    </row>
    <row r="1099" spans="1:4">
      <c r="A1099">
        <v>1098</v>
      </c>
      <c r="B1099">
        <v>21895</v>
      </c>
      <c r="C1099">
        <f t="shared" si="49"/>
        <v>25525.098184743976</v>
      </c>
      <c r="D1099">
        <f t="shared" si="50"/>
        <v>0.85778318428120137</v>
      </c>
    </row>
    <row r="1100" spans="1:4">
      <c r="A1100">
        <v>1099</v>
      </c>
      <c r="B1100">
        <v>21873</v>
      </c>
      <c r="C1100">
        <f t="shared" si="49"/>
        <v>25501.32009945879</v>
      </c>
      <c r="D1100">
        <f t="shared" si="50"/>
        <v>0.85772030289773926</v>
      </c>
    </row>
    <row r="1101" spans="1:4">
      <c r="A1101">
        <v>1100</v>
      </c>
      <c r="B1101">
        <v>22323</v>
      </c>
      <c r="C1101">
        <f t="shared" si="49"/>
        <v>25477.518650999991</v>
      </c>
      <c r="D1101">
        <f t="shared" si="50"/>
        <v>0.87618422758465231</v>
      </c>
    </row>
    <row r="1102" spans="1:4">
      <c r="A1102">
        <v>1101</v>
      </c>
      <c r="B1102">
        <v>22813</v>
      </c>
      <c r="C1102">
        <f t="shared" si="49"/>
        <v>25453.694060565373</v>
      </c>
      <c r="D1102">
        <f t="shared" si="50"/>
        <v>0.89625497759649275</v>
      </c>
    </row>
    <row r="1103" spans="1:4">
      <c r="A1103">
        <v>1102</v>
      </c>
      <c r="B1103">
        <v>22991</v>
      </c>
      <c r="C1103">
        <f t="shared" si="49"/>
        <v>25429.846549916532</v>
      </c>
      <c r="D1103">
        <f t="shared" si="50"/>
        <v>0.90409511338854154</v>
      </c>
    </row>
    <row r="1104" spans="1:4">
      <c r="A1104">
        <v>1103</v>
      </c>
      <c r="B1104">
        <v>23100</v>
      </c>
      <c r="C1104">
        <f t="shared" si="49"/>
        <v>25405.976341378853</v>
      </c>
      <c r="D1104">
        <f t="shared" si="50"/>
        <v>0.90923488590268831</v>
      </c>
    </row>
    <row r="1105" spans="1:7">
      <c r="A1105">
        <v>1104</v>
      </c>
      <c r="B1105">
        <v>23062</v>
      </c>
      <c r="C1105">
        <f t="shared" si="49"/>
        <v>25382.083657841496</v>
      </c>
      <c r="D1105">
        <f t="shared" si="50"/>
        <v>0.9085936486099031</v>
      </c>
    </row>
    <row r="1106" spans="1:7">
      <c r="A1106">
        <v>1105</v>
      </c>
      <c r="B1106">
        <v>23250</v>
      </c>
      <c r="C1106">
        <f t="shared" si="49"/>
        <v>25358.168722757451</v>
      </c>
      <c r="D1106">
        <f t="shared" si="50"/>
        <v>0.9168643151717224</v>
      </c>
    </row>
    <row r="1107" spans="1:7">
      <c r="A1107">
        <v>1106</v>
      </c>
      <c r="B1107">
        <v>23188</v>
      </c>
      <c r="C1107">
        <f t="shared" si="49"/>
        <v>25334.231760143412</v>
      </c>
      <c r="D1107">
        <f t="shared" si="50"/>
        <v>0.91528332966780823</v>
      </c>
    </row>
    <row r="1108" spans="1:7">
      <c r="A1108">
        <v>1107</v>
      </c>
      <c r="B1108">
        <v>22804</v>
      </c>
      <c r="C1108">
        <f t="shared" si="49"/>
        <v>25310.272994579966</v>
      </c>
      <c r="D1108">
        <f t="shared" si="50"/>
        <v>0.90097803389490627</v>
      </c>
    </row>
    <row r="1109" spans="1:7">
      <c r="A1109">
        <v>1108</v>
      </c>
      <c r="B1109">
        <v>21716</v>
      </c>
      <c r="C1109">
        <f t="shared" si="49"/>
        <v>25286.292651211392</v>
      </c>
      <c r="D1109">
        <f t="shared" si="50"/>
        <v>0.8588052151235247</v>
      </c>
    </row>
    <row r="1110" spans="1:7">
      <c r="A1110">
        <v>1109</v>
      </c>
      <c r="B1110">
        <v>20763</v>
      </c>
      <c r="C1110">
        <f t="shared" si="49"/>
        <v>25262.290955745804</v>
      </c>
      <c r="D1110">
        <f t="shared" si="50"/>
        <v>0.82189695449127664</v>
      </c>
    </row>
    <row r="1111" spans="1:7">
      <c r="A1111">
        <v>1110</v>
      </c>
      <c r="B1111">
        <v>19414</v>
      </c>
      <c r="C1111">
        <f t="shared" si="49"/>
        <v>25238.268134455102</v>
      </c>
      <c r="D1111">
        <f t="shared" si="50"/>
        <v>0.76922869257800408</v>
      </c>
    </row>
    <row r="1112" spans="1:7">
      <c r="A1112">
        <v>1111</v>
      </c>
      <c r="B1112">
        <v>18002</v>
      </c>
      <c r="C1112">
        <f t="shared" si="49"/>
        <v>25214.224414174932</v>
      </c>
      <c r="D1112">
        <f t="shared" si="50"/>
        <v>0.7139620757035714</v>
      </c>
    </row>
    <row r="1113" spans="1:7">
      <c r="A1113">
        <v>1112</v>
      </c>
      <c r="B1113">
        <v>16571</v>
      </c>
      <c r="C1113">
        <f t="shared" si="49"/>
        <v>25190.160022304808</v>
      </c>
      <c r="D1113">
        <f t="shared" si="50"/>
        <v>0.65783623388367085</v>
      </c>
    </row>
    <row r="1114" spans="1:7">
      <c r="A1114">
        <v>1113</v>
      </c>
      <c r="B1114">
        <v>15358</v>
      </c>
      <c r="C1114">
        <f t="shared" si="49"/>
        <v>25166.075186807939</v>
      </c>
      <c r="D1114">
        <f t="shared" si="50"/>
        <v>0.61026599841244478</v>
      </c>
    </row>
    <row r="1115" spans="1:7" ht="17.25">
      <c r="A1115">
        <v>1114</v>
      </c>
      <c r="B1115">
        <v>14699</v>
      </c>
      <c r="C1115">
        <f t="shared" si="49"/>
        <v>25141.970136211377</v>
      </c>
      <c r="D1115">
        <f t="shared" si="50"/>
        <v>0.58463994350344817</v>
      </c>
      <c r="F1115">
        <v>1114.5</v>
      </c>
      <c r="G1115" t="s">
        <v>91</v>
      </c>
    </row>
    <row r="1116" spans="1:7" ht="17.25">
      <c r="A1116">
        <v>1115</v>
      </c>
      <c r="B1116">
        <v>14941</v>
      </c>
      <c r="C1116">
        <f t="shared" si="49"/>
        <v>25117.845099605933</v>
      </c>
      <c r="D1116">
        <f t="shared" si="50"/>
        <v>0.59483605941317019</v>
      </c>
      <c r="F1116">
        <v>1114.5</v>
      </c>
      <c r="G1116" t="s">
        <v>92</v>
      </c>
    </row>
    <row r="1117" spans="1:7">
      <c r="A1117">
        <v>1116</v>
      </c>
      <c r="B1117">
        <v>15936</v>
      </c>
      <c r="C1117">
        <f t="shared" si="49"/>
        <v>25093.700306646235</v>
      </c>
      <c r="D1117">
        <f t="shared" si="50"/>
        <v>0.63505978812456143</v>
      </c>
    </row>
    <row r="1118" spans="1:7">
      <c r="A1118">
        <v>1117</v>
      </c>
      <c r="B1118">
        <v>17428</v>
      </c>
      <c r="C1118">
        <f t="shared" si="49"/>
        <v>25069.535987550677</v>
      </c>
      <c r="D1118">
        <f t="shared" si="50"/>
        <v>0.69518638113823084</v>
      </c>
    </row>
    <row r="1119" spans="1:7">
      <c r="A1119">
        <v>1118</v>
      </c>
      <c r="B1119">
        <v>18828</v>
      </c>
      <c r="C1119">
        <f t="shared" si="49"/>
        <v>25045.352373101465</v>
      </c>
      <c r="D1119">
        <f t="shared" si="50"/>
        <v>0.75175624281577857</v>
      </c>
    </row>
    <row r="1120" spans="1:7">
      <c r="A1120">
        <v>1119</v>
      </c>
      <c r="B1120">
        <v>19691</v>
      </c>
      <c r="C1120">
        <f t="shared" si="49"/>
        <v>25021.149694644497</v>
      </c>
      <c r="D1120">
        <f t="shared" si="50"/>
        <v>0.78697422941419204</v>
      </c>
    </row>
    <row r="1121" spans="1:7">
      <c r="A1121">
        <v>1120</v>
      </c>
      <c r="B1121">
        <v>19949</v>
      </c>
      <c r="C1121">
        <f t="shared" si="49"/>
        <v>24996.9281840896</v>
      </c>
      <c r="D1121">
        <f t="shared" si="50"/>
        <v>0.79805805949778352</v>
      </c>
    </row>
    <row r="1122" spans="1:7">
      <c r="A1122">
        <v>1121</v>
      </c>
      <c r="B1122">
        <v>19217</v>
      </c>
      <c r="C1122">
        <f t="shared" si="49"/>
        <v>24972.688073910293</v>
      </c>
      <c r="D1122">
        <f t="shared" si="50"/>
        <v>0.7695206836814884</v>
      </c>
    </row>
    <row r="1123" spans="1:7">
      <c r="A1123">
        <v>1122</v>
      </c>
      <c r="B1123">
        <v>17826</v>
      </c>
      <c r="C1123">
        <f t="shared" si="49"/>
        <v>24948.429597143884</v>
      </c>
      <c r="D1123">
        <f t="shared" si="50"/>
        <v>0.7145139108090689</v>
      </c>
    </row>
    <row r="1124" spans="1:7">
      <c r="A1124">
        <v>1123</v>
      </c>
      <c r="B1124">
        <v>16119</v>
      </c>
      <c r="C1124">
        <f t="shared" si="49"/>
        <v>24924.152987391564</v>
      </c>
      <c r="D1124">
        <f t="shared" si="50"/>
        <v>0.64672207750265998</v>
      </c>
    </row>
    <row r="1125" spans="1:7" ht="17.25">
      <c r="A1125">
        <v>1124</v>
      </c>
      <c r="B1125">
        <v>15103</v>
      </c>
      <c r="C1125">
        <f t="shared" si="49"/>
        <v>24899.858478818132</v>
      </c>
      <c r="D1125">
        <f t="shared" si="50"/>
        <v>0.60654963211328505</v>
      </c>
      <c r="F1125">
        <v>1124.5</v>
      </c>
      <c r="G1125" t="s">
        <v>93</v>
      </c>
    </row>
    <row r="1126" spans="1:7" ht="17.25">
      <c r="A1126">
        <v>1125</v>
      </c>
      <c r="B1126">
        <v>14898</v>
      </c>
      <c r="C1126">
        <f t="shared" si="49"/>
        <v>24875.546306152319</v>
      </c>
      <c r="D1126">
        <f t="shared" si="50"/>
        <v>0.59890141975757805</v>
      </c>
      <c r="F1126">
        <v>1124.5</v>
      </c>
      <c r="G1126" t="s">
        <v>94</v>
      </c>
    </row>
    <row r="1127" spans="1:7">
      <c r="A1127">
        <v>1126</v>
      </c>
      <c r="B1127">
        <v>15743</v>
      </c>
      <c r="C1127">
        <f t="shared" si="49"/>
        <v>24851.216704686667</v>
      </c>
      <c r="D1127">
        <f t="shared" si="50"/>
        <v>0.63349010984363763</v>
      </c>
    </row>
    <row r="1128" spans="1:7">
      <c r="A1128">
        <v>1127</v>
      </c>
      <c r="B1128">
        <v>17172</v>
      </c>
      <c r="C1128">
        <f t="shared" si="49"/>
        <v>24826.869910277353</v>
      </c>
      <c r="D1128">
        <f t="shared" si="50"/>
        <v>0.69166995525648056</v>
      </c>
    </row>
    <row r="1129" spans="1:7">
      <c r="A1129">
        <v>1128</v>
      </c>
      <c r="B1129">
        <v>18683</v>
      </c>
      <c r="C1129">
        <f t="shared" si="49"/>
        <v>24802.506159344484</v>
      </c>
      <c r="D1129">
        <f t="shared" si="50"/>
        <v>0.75327065256915882</v>
      </c>
    </row>
    <row r="1130" spans="1:7">
      <c r="A1130">
        <v>1129</v>
      </c>
      <c r="B1130">
        <v>20440</v>
      </c>
      <c r="C1130">
        <f t="shared" si="49"/>
        <v>24778.125688871834</v>
      </c>
      <c r="D1130">
        <f t="shared" si="50"/>
        <v>0.82492115249782028</v>
      </c>
    </row>
    <row r="1131" spans="1:7">
      <c r="A1131">
        <v>1130</v>
      </c>
      <c r="B1131">
        <v>21711</v>
      </c>
      <c r="C1131">
        <f t="shared" si="49"/>
        <v>24753.728736407094</v>
      </c>
      <c r="D1131">
        <f t="shared" si="50"/>
        <v>0.87707998383565</v>
      </c>
    </row>
    <row r="1132" spans="1:7">
      <c r="A1132">
        <v>1131</v>
      </c>
      <c r="B1132">
        <v>22596</v>
      </c>
      <c r="C1132">
        <f t="shared" si="49"/>
        <v>24729.315540061645</v>
      </c>
      <c r="D1132">
        <f t="shared" si="50"/>
        <v>0.91373333658969813</v>
      </c>
    </row>
    <row r="1133" spans="1:7">
      <c r="A1133">
        <v>1132</v>
      </c>
      <c r="B1133">
        <v>23066</v>
      </c>
      <c r="C1133">
        <f t="shared" si="49"/>
        <v>24704.886338510667</v>
      </c>
      <c r="D1133">
        <f t="shared" si="50"/>
        <v>0.933661449963608</v>
      </c>
    </row>
    <row r="1134" spans="1:7">
      <c r="A1134">
        <v>1133</v>
      </c>
      <c r="B1134">
        <v>23406</v>
      </c>
      <c r="C1134">
        <f t="shared" si="49"/>
        <v>24680.441370993147</v>
      </c>
      <c r="D1134">
        <f t="shared" si="50"/>
        <v>0.94836229418121365</v>
      </c>
    </row>
    <row r="1135" spans="1:7">
      <c r="A1135">
        <v>1134</v>
      </c>
      <c r="B1135">
        <v>23496</v>
      </c>
      <c r="C1135">
        <f t="shared" si="49"/>
        <v>24655.980877311915</v>
      </c>
      <c r="D1135">
        <f t="shared" si="50"/>
        <v>0.95295336725462365</v>
      </c>
    </row>
    <row r="1136" spans="1:7">
      <c r="A1136">
        <v>1135</v>
      </c>
      <c r="B1136">
        <v>23192</v>
      </c>
      <c r="C1136">
        <f t="shared" si="49"/>
        <v>24631.505097833426</v>
      </c>
      <c r="D1136">
        <f t="shared" si="50"/>
        <v>0.94155837850282065</v>
      </c>
    </row>
    <row r="1137" spans="1:4">
      <c r="A1137">
        <v>1136</v>
      </c>
      <c r="B1137">
        <v>22942</v>
      </c>
      <c r="C1137">
        <f t="shared" si="49"/>
        <v>24607.014273488116</v>
      </c>
      <c r="D1137">
        <f t="shared" si="50"/>
        <v>0.93233578625253932</v>
      </c>
    </row>
    <row r="1138" spans="1:4">
      <c r="A1138">
        <v>1137</v>
      </c>
      <c r="B1138">
        <v>22834</v>
      </c>
      <c r="C1138">
        <f t="shared" si="49"/>
        <v>24582.508645770045</v>
      </c>
      <c r="D1138">
        <f t="shared" si="50"/>
        <v>0.92887183846995558</v>
      </c>
    </row>
    <row r="1139" spans="1:4">
      <c r="A1139">
        <v>1138</v>
      </c>
      <c r="B1139">
        <v>22558</v>
      </c>
      <c r="C1139">
        <f t="shared" si="49"/>
        <v>24557.988456737185</v>
      </c>
      <c r="D1139">
        <f t="shared" si="50"/>
        <v>0.91856057509512701</v>
      </c>
    </row>
    <row r="1140" spans="1:4">
      <c r="A1140">
        <v>1139</v>
      </c>
      <c r="B1140" s="5">
        <v>22400</v>
      </c>
      <c r="C1140">
        <f t="shared" si="49"/>
        <v>24533.453949011215</v>
      </c>
      <c r="D1140">
        <f t="shared" si="50"/>
        <v>0.91303898939606098</v>
      </c>
    </row>
    <row r="1141" spans="1:4">
      <c r="A1141">
        <v>1140</v>
      </c>
      <c r="B1141">
        <v>22278</v>
      </c>
      <c r="C1141">
        <f t="shared" si="49"/>
        <v>24508.905365777602</v>
      </c>
      <c r="D1141">
        <f t="shared" si="50"/>
        <v>0.9089757240283497</v>
      </c>
    </row>
    <row r="1142" spans="1:4">
      <c r="A1142">
        <v>1141</v>
      </c>
      <c r="B1142">
        <v>22892</v>
      </c>
      <c r="C1142">
        <f t="shared" si="49"/>
        <v>24484.342950785642</v>
      </c>
      <c r="D1142">
        <f t="shared" si="50"/>
        <v>0.93496484859788542</v>
      </c>
    </row>
    <row r="1143" spans="1:4">
      <c r="A1143">
        <v>1142</v>
      </c>
      <c r="B1143">
        <v>23163</v>
      </c>
      <c r="C1143">
        <f t="shared" si="49"/>
        <v>24459.766948348424</v>
      </c>
      <c r="D1143">
        <f t="shared" si="50"/>
        <v>0.94698367522933469</v>
      </c>
    </row>
    <row r="1144" spans="1:4">
      <c r="A1144">
        <v>1143</v>
      </c>
      <c r="B1144">
        <v>23352</v>
      </c>
      <c r="C1144">
        <f t="shared" si="49"/>
        <v>24435.177603342741</v>
      </c>
      <c r="D1144">
        <f t="shared" si="50"/>
        <v>0.95567138406251806</v>
      </c>
    </row>
    <row r="1145" spans="1:4">
      <c r="A1145">
        <v>1144</v>
      </c>
      <c r="B1145">
        <v>23136</v>
      </c>
      <c r="C1145">
        <f t="shared" si="49"/>
        <v>24410.575161209297</v>
      </c>
      <c r="D1145">
        <f t="shared" si="50"/>
        <v>0.94778594306803887</v>
      </c>
    </row>
    <row r="1146" spans="1:4">
      <c r="A1146">
        <v>1145</v>
      </c>
      <c r="B1146">
        <v>22736</v>
      </c>
      <c r="C1146">
        <f t="shared" si="49"/>
        <v>24385.959867952446</v>
      </c>
      <c r="D1146">
        <f t="shared" si="50"/>
        <v>0.93233976120329831</v>
      </c>
    </row>
    <row r="1147" spans="1:4">
      <c r="A1147">
        <v>1146</v>
      </c>
      <c r="B1147">
        <v>22253</v>
      </c>
      <c r="C1147">
        <f t="shared" si="49"/>
        <v>24361.331970140422</v>
      </c>
      <c r="D1147">
        <f t="shared" si="50"/>
        <v>0.91345580066292786</v>
      </c>
    </row>
    <row r="1148" spans="1:4">
      <c r="A1148">
        <v>1147</v>
      </c>
      <c r="B1148">
        <v>22033</v>
      </c>
      <c r="C1148">
        <f t="shared" si="49"/>
        <v>24336.691714905286</v>
      </c>
      <c r="D1148">
        <f t="shared" si="50"/>
        <v>0.90534080219726976</v>
      </c>
    </row>
    <row r="1149" spans="1:4">
      <c r="A1149">
        <v>1148</v>
      </c>
      <c r="B1149">
        <v>22196</v>
      </c>
      <c r="C1149">
        <f t="shared" si="49"/>
        <v>24312.039349942712</v>
      </c>
      <c r="D1149">
        <f t="shared" si="50"/>
        <v>0.91296331338211256</v>
      </c>
    </row>
    <row r="1150" spans="1:4">
      <c r="A1150">
        <v>1149</v>
      </c>
      <c r="B1150">
        <v>22543</v>
      </c>
      <c r="C1150">
        <f t="shared" si="49"/>
        <v>24287.375123512331</v>
      </c>
      <c r="D1150">
        <f t="shared" si="50"/>
        <v>0.92817770077493389</v>
      </c>
    </row>
    <row r="1151" spans="1:4">
      <c r="A1151">
        <v>1150</v>
      </c>
      <c r="B1151">
        <v>22896</v>
      </c>
      <c r="C1151">
        <f t="shared" si="49"/>
        <v>24262.699284437502</v>
      </c>
      <c r="D1151">
        <f t="shared" si="50"/>
        <v>0.9436707652180264</v>
      </c>
    </row>
    <row r="1152" spans="1:4">
      <c r="A1152">
        <v>1151</v>
      </c>
      <c r="B1152">
        <v>23228</v>
      </c>
      <c r="C1152">
        <f t="shared" si="49"/>
        <v>24238.012082105332</v>
      </c>
      <c r="D1152">
        <f t="shared" si="50"/>
        <v>0.95832941749991896</v>
      </c>
    </row>
    <row r="1153" spans="1:4">
      <c r="A1153">
        <v>1152</v>
      </c>
      <c r="B1153">
        <v>23516</v>
      </c>
      <c r="C1153">
        <f t="shared" si="49"/>
        <v>24213.313766466821</v>
      </c>
      <c r="D1153">
        <f t="shared" si="50"/>
        <v>0.97120122535922626</v>
      </c>
    </row>
    <row r="1154" spans="1:4">
      <c r="A1154">
        <v>1153</v>
      </c>
      <c r="B1154">
        <v>23734</v>
      </c>
      <c r="C1154">
        <f t="shared" ref="C1154:C1217" si="51" xml:space="preserve"> 0.00000002349111*A1154*A1154*A1154*A1154 - 0.0000664476*A1154*A1154*A1154 + 0.03716061*A1154*A1154 + 10.57172*A1154 + 22932.71</f>
        <v>24188.604588036589</v>
      </c>
      <c r="D1154">
        <f t="shared" ref="D1154:D1217" si="52">B1154/C1154</f>
        <v>0.9812058365590286</v>
      </c>
    </row>
    <row r="1155" spans="1:4">
      <c r="A1155">
        <v>1154</v>
      </c>
      <c r="B1155">
        <v>23687</v>
      </c>
      <c r="C1155">
        <f t="shared" si="51"/>
        <v>24163.884797893192</v>
      </c>
      <c r="D1155">
        <f t="shared" si="52"/>
        <v>0.98026456416748142</v>
      </c>
    </row>
    <row r="1156" spans="1:4">
      <c r="A1156">
        <v>1155</v>
      </c>
      <c r="B1156">
        <v>23736</v>
      </c>
      <c r="C1156">
        <f t="shared" si="51"/>
        <v>24139.154647678934</v>
      </c>
      <c r="D1156">
        <f t="shared" si="52"/>
        <v>0.9832987255120097</v>
      </c>
    </row>
    <row r="1157" spans="1:4">
      <c r="A1157">
        <v>1156</v>
      </c>
      <c r="B1157">
        <v>23714</v>
      </c>
      <c r="C1157">
        <f t="shared" si="51"/>
        <v>24114.414389599875</v>
      </c>
      <c r="D1157">
        <f t="shared" si="52"/>
        <v>0.98339522647613753</v>
      </c>
    </row>
    <row r="1158" spans="1:4">
      <c r="A1158">
        <v>1157</v>
      </c>
      <c r="B1158">
        <v>23606</v>
      </c>
      <c r="C1158">
        <f t="shared" si="51"/>
        <v>24089.664276425876</v>
      </c>
      <c r="D1158">
        <f t="shared" si="52"/>
        <v>0.97992233221368763</v>
      </c>
    </row>
    <row r="1159" spans="1:4">
      <c r="A1159">
        <v>1158</v>
      </c>
      <c r="B1159">
        <v>23409</v>
      </c>
      <c r="C1159">
        <f t="shared" si="51"/>
        <v>24064.904561490566</v>
      </c>
      <c r="D1159">
        <f t="shared" si="52"/>
        <v>0.9727443522655741</v>
      </c>
    </row>
    <row r="1160" spans="1:4">
      <c r="A1160">
        <v>1159</v>
      </c>
      <c r="B1160">
        <v>23098</v>
      </c>
      <c r="C1160">
        <f t="shared" si="51"/>
        <v>24040.13549869139</v>
      </c>
      <c r="D1160">
        <f t="shared" si="52"/>
        <v>0.96080989232599479</v>
      </c>
    </row>
    <row r="1161" spans="1:4">
      <c r="A1161">
        <v>1160</v>
      </c>
      <c r="B1161">
        <v>22767</v>
      </c>
      <c r="C1161">
        <f t="shared" si="51"/>
        <v>24015.357342489606</v>
      </c>
      <c r="D1161">
        <f t="shared" si="52"/>
        <v>0.94801837321483751</v>
      </c>
    </row>
    <row r="1162" spans="1:4">
      <c r="A1162">
        <v>1161</v>
      </c>
      <c r="B1162">
        <v>22341</v>
      </c>
      <c r="C1162">
        <f t="shared" si="51"/>
        <v>23990.570347910176</v>
      </c>
      <c r="D1162">
        <f t="shared" si="52"/>
        <v>0.93124088656550552</v>
      </c>
    </row>
    <row r="1163" spans="1:4">
      <c r="A1163">
        <v>1162</v>
      </c>
      <c r="B1163">
        <v>22000</v>
      </c>
      <c r="C1163">
        <f t="shared" si="51"/>
        <v>23965.774770541921</v>
      </c>
      <c r="D1163">
        <f t="shared" si="52"/>
        <v>0.91797574710757124</v>
      </c>
    </row>
    <row r="1164" spans="1:4">
      <c r="A1164">
        <v>1163</v>
      </c>
      <c r="B1164">
        <v>21389</v>
      </c>
      <c r="C1164">
        <f t="shared" si="51"/>
        <v>23940.970866537435</v>
      </c>
      <c r="D1164">
        <f t="shared" si="52"/>
        <v>0.89340570686277587</v>
      </c>
    </row>
    <row r="1165" spans="1:4">
      <c r="A1165">
        <v>1164</v>
      </c>
      <c r="B1165">
        <v>21130</v>
      </c>
      <c r="C1165">
        <f t="shared" si="51"/>
        <v>23916.158892613043</v>
      </c>
      <c r="D1165">
        <f t="shared" si="52"/>
        <v>0.88350307818561946</v>
      </c>
    </row>
    <row r="1166" spans="1:4">
      <c r="A1166">
        <v>1165</v>
      </c>
      <c r="B1166">
        <v>21355</v>
      </c>
      <c r="C1166">
        <f t="shared" si="51"/>
        <v>23891.339106048959</v>
      </c>
      <c r="D1166">
        <f t="shared" si="52"/>
        <v>0.89383855401362611</v>
      </c>
    </row>
    <row r="1167" spans="1:4">
      <c r="A1167">
        <v>1166</v>
      </c>
      <c r="B1167">
        <v>21899</v>
      </c>
      <c r="C1167">
        <f t="shared" si="51"/>
        <v>23866.511764689065</v>
      </c>
      <c r="D1167">
        <f t="shared" si="52"/>
        <v>0.91756182117907847</v>
      </c>
    </row>
    <row r="1168" spans="1:4">
      <c r="A1168">
        <v>1167</v>
      </c>
      <c r="B1168">
        <v>22575</v>
      </c>
      <c r="C1168">
        <f t="shared" si="51"/>
        <v>23841.677126941126</v>
      </c>
      <c r="D1168">
        <f t="shared" si="52"/>
        <v>0.94687130774412764</v>
      </c>
    </row>
    <row r="1169" spans="1:7">
      <c r="A1169">
        <v>1168</v>
      </c>
      <c r="B1169">
        <v>23100</v>
      </c>
      <c r="C1169">
        <f t="shared" si="51"/>
        <v>23816.835451776678</v>
      </c>
      <c r="D1169">
        <f t="shared" si="52"/>
        <v>0.96990215374212507</v>
      </c>
    </row>
    <row r="1170" spans="1:7">
      <c r="A1170">
        <v>1169</v>
      </c>
      <c r="B1170">
        <v>23422</v>
      </c>
      <c r="C1170">
        <f t="shared" si="51"/>
        <v>23791.98699873095</v>
      </c>
      <c r="D1170">
        <f t="shared" si="52"/>
        <v>0.98444909209345632</v>
      </c>
    </row>
    <row r="1171" spans="1:7">
      <c r="A1171">
        <v>1170</v>
      </c>
      <c r="B1171">
        <v>23914</v>
      </c>
      <c r="C1171">
        <f t="shared" si="51"/>
        <v>23767.132027903106</v>
      </c>
      <c r="D1171">
        <f t="shared" si="52"/>
        <v>1.0061794570722487</v>
      </c>
    </row>
    <row r="1172" spans="1:7">
      <c r="A1172">
        <v>1171</v>
      </c>
      <c r="B1172">
        <v>23800</v>
      </c>
      <c r="C1172">
        <f t="shared" si="51"/>
        <v>23742.270799956001</v>
      </c>
      <c r="D1172">
        <f t="shared" si="52"/>
        <v>1.0024314944653105</v>
      </c>
    </row>
    <row r="1173" spans="1:7">
      <c r="A1173">
        <v>1172</v>
      </c>
      <c r="B1173">
        <v>23611</v>
      </c>
      <c r="C1173">
        <f t="shared" si="51"/>
        <v>23717.403576116245</v>
      </c>
      <c r="D1173">
        <f t="shared" si="52"/>
        <v>0.99551369205424345</v>
      </c>
    </row>
    <row r="1174" spans="1:7">
      <c r="A1174">
        <v>1173</v>
      </c>
      <c r="B1174">
        <v>22800</v>
      </c>
      <c r="C1174">
        <f t="shared" si="51"/>
        <v>23692.53061817438</v>
      </c>
      <c r="D1174">
        <f t="shared" si="52"/>
        <v>0.96232860758699512</v>
      </c>
    </row>
    <row r="1175" spans="1:7">
      <c r="A1175">
        <v>1174</v>
      </c>
      <c r="B1175">
        <v>21782</v>
      </c>
      <c r="C1175">
        <f t="shared" si="51"/>
        <v>23667.652188484557</v>
      </c>
      <c r="D1175">
        <f t="shared" si="52"/>
        <v>0.92032787310428632</v>
      </c>
    </row>
    <row r="1176" spans="1:7">
      <c r="A1176">
        <v>1175</v>
      </c>
      <c r="B1176">
        <v>20523</v>
      </c>
      <c r="C1176">
        <f t="shared" si="51"/>
        <v>23642.768549964814</v>
      </c>
      <c r="D1176">
        <f t="shared" si="52"/>
        <v>0.86804554875323781</v>
      </c>
    </row>
    <row r="1177" spans="1:7">
      <c r="A1177">
        <v>1176</v>
      </c>
      <c r="B1177">
        <v>18973</v>
      </c>
      <c r="C1177">
        <f t="shared" si="51"/>
        <v>23617.879966097054</v>
      </c>
      <c r="D1177">
        <f t="shared" si="52"/>
        <v>0.80333205297153354</v>
      </c>
    </row>
    <row r="1178" spans="1:7">
      <c r="A1178">
        <v>1177</v>
      </c>
      <c r="B1178">
        <v>17675</v>
      </c>
      <c r="C1178">
        <f t="shared" si="51"/>
        <v>23592.986700926718</v>
      </c>
      <c r="D1178">
        <f t="shared" si="52"/>
        <v>0.74916330959088517</v>
      </c>
    </row>
    <row r="1179" spans="1:7">
      <c r="A1179">
        <v>1178</v>
      </c>
      <c r="B1179">
        <v>16059</v>
      </c>
      <c r="C1179">
        <f t="shared" si="51"/>
        <v>23568.089019063329</v>
      </c>
      <c r="D1179">
        <f t="shared" si="52"/>
        <v>0.68138744668736129</v>
      </c>
    </row>
    <row r="1180" spans="1:7">
      <c r="A1180">
        <v>1179</v>
      </c>
      <c r="B1180">
        <v>14782</v>
      </c>
      <c r="C1180">
        <f t="shared" si="51"/>
        <v>23543.187185679948</v>
      </c>
      <c r="D1180">
        <f t="shared" si="52"/>
        <v>0.62786741163877313</v>
      </c>
    </row>
    <row r="1181" spans="1:7" ht="17.25">
      <c r="A1181">
        <v>1180</v>
      </c>
      <c r="B1181">
        <v>13732</v>
      </c>
      <c r="C1181">
        <f t="shared" si="51"/>
        <v>23518.281466513596</v>
      </c>
      <c r="D1181">
        <f t="shared" si="52"/>
        <v>0.58388620016952553</v>
      </c>
      <c r="F1181">
        <v>1181</v>
      </c>
      <c r="G1181" t="s">
        <v>95</v>
      </c>
    </row>
    <row r="1182" spans="1:7" ht="17.25">
      <c r="A1182">
        <v>1181</v>
      </c>
      <c r="B1182">
        <v>13586</v>
      </c>
      <c r="C1182">
        <f t="shared" si="51"/>
        <v>23493.372127865005</v>
      </c>
      <c r="D1182">
        <f t="shared" si="52"/>
        <v>0.57829075903011495</v>
      </c>
      <c r="F1182">
        <v>1181</v>
      </c>
      <c r="G1182" t="s">
        <v>96</v>
      </c>
    </row>
    <row r="1183" spans="1:7">
      <c r="A1183">
        <v>1182</v>
      </c>
      <c r="B1183">
        <v>14573</v>
      </c>
      <c r="C1183">
        <f t="shared" si="51"/>
        <v>23468.459436598678</v>
      </c>
      <c r="D1183">
        <f t="shared" si="52"/>
        <v>0.62096108350740931</v>
      </c>
    </row>
    <row r="1184" spans="1:7">
      <c r="A1184">
        <v>1183</v>
      </c>
      <c r="B1184">
        <v>16573</v>
      </c>
      <c r="C1184">
        <f t="shared" si="51"/>
        <v>23443.543660142939</v>
      </c>
      <c r="D1184">
        <f t="shared" si="52"/>
        <v>0.70693237508185447</v>
      </c>
    </row>
    <row r="1185" spans="1:4">
      <c r="A1185">
        <v>1184</v>
      </c>
      <c r="B1185">
        <v>18810</v>
      </c>
      <c r="C1185">
        <f t="shared" si="51"/>
        <v>23418.625066489905</v>
      </c>
      <c r="D1185">
        <f t="shared" si="52"/>
        <v>0.80320684696880595</v>
      </c>
    </row>
    <row r="1186" spans="1:4">
      <c r="A1186">
        <v>1185</v>
      </c>
      <c r="B1186">
        <v>20814</v>
      </c>
      <c r="C1186">
        <f t="shared" si="51"/>
        <v>23393.703924195441</v>
      </c>
      <c r="D1186">
        <f t="shared" si="52"/>
        <v>0.88972657204884398</v>
      </c>
    </row>
    <row r="1187" spans="1:4">
      <c r="A1187">
        <v>1186</v>
      </c>
      <c r="B1187">
        <v>22305</v>
      </c>
      <c r="C1187">
        <f t="shared" si="51"/>
        <v>23368.780502379246</v>
      </c>
      <c r="D1187">
        <f t="shared" si="52"/>
        <v>0.95447856158899946</v>
      </c>
    </row>
    <row r="1188" spans="1:4">
      <c r="A1188">
        <v>1187</v>
      </c>
      <c r="B1188">
        <v>23081</v>
      </c>
      <c r="C1188">
        <f t="shared" si="51"/>
        <v>23343.855070724778</v>
      </c>
      <c r="D1188">
        <f t="shared" si="52"/>
        <v>0.98873986023609184</v>
      </c>
    </row>
    <row r="1189" spans="1:4">
      <c r="A1189">
        <v>1188</v>
      </c>
      <c r="B1189">
        <v>23233</v>
      </c>
      <c r="C1189">
        <f t="shared" si="51"/>
        <v>23318.927899479291</v>
      </c>
      <c r="D1189">
        <f t="shared" si="52"/>
        <v>0.99631510076922492</v>
      </c>
    </row>
    <row r="1190" spans="1:4">
      <c r="A1190">
        <v>1189</v>
      </c>
      <c r="B1190">
        <v>23042</v>
      </c>
      <c r="C1190">
        <f t="shared" si="51"/>
        <v>23293.999259453769</v>
      </c>
      <c r="D1190">
        <f t="shared" si="52"/>
        <v>0.98918179499162229</v>
      </c>
    </row>
    <row r="1191" spans="1:4">
      <c r="A1191">
        <v>1190</v>
      </c>
      <c r="B1191">
        <v>23115</v>
      </c>
      <c r="C1191">
        <f t="shared" si="51"/>
        <v>23269.069422023102</v>
      </c>
      <c r="D1191">
        <f t="shared" si="52"/>
        <v>0.99337878884502007</v>
      </c>
    </row>
    <row r="1192" spans="1:4">
      <c r="A1192">
        <v>1191</v>
      </c>
      <c r="B1192">
        <v>23056</v>
      </c>
      <c r="C1192">
        <f t="shared" si="51"/>
        <v>23244.138659125842</v>
      </c>
      <c r="D1192">
        <f t="shared" si="52"/>
        <v>0.99190597415181148</v>
      </c>
    </row>
    <row r="1193" spans="1:4">
      <c r="A1193">
        <v>1192</v>
      </c>
      <c r="B1193">
        <v>23107</v>
      </c>
      <c r="C1193">
        <f t="shared" si="51"/>
        <v>23219.207243264464</v>
      </c>
      <c r="D1193">
        <f t="shared" si="52"/>
        <v>0.99516748172799852</v>
      </c>
    </row>
    <row r="1194" spans="1:4">
      <c r="A1194">
        <v>1193</v>
      </c>
      <c r="B1194">
        <v>22966</v>
      </c>
      <c r="C1194">
        <f t="shared" si="51"/>
        <v>23194.275447505053</v>
      </c>
      <c r="D1194">
        <f t="shared" si="52"/>
        <v>0.99015811259025088</v>
      </c>
    </row>
    <row r="1195" spans="1:4">
      <c r="A1195">
        <v>1194</v>
      </c>
      <c r="B1195">
        <v>22929</v>
      </c>
      <c r="C1195">
        <f t="shared" si="51"/>
        <v>23169.343545477634</v>
      </c>
      <c r="D1195">
        <f t="shared" si="52"/>
        <v>0.98962665709514475</v>
      </c>
    </row>
    <row r="1196" spans="1:4">
      <c r="A1196">
        <v>1195</v>
      </c>
      <c r="B1196">
        <v>22793</v>
      </c>
      <c r="C1196">
        <f t="shared" si="51"/>
        <v>23144.411811375947</v>
      </c>
      <c r="D1196">
        <f t="shared" si="52"/>
        <v>0.98481655899316389</v>
      </c>
    </row>
    <row r="1197" spans="1:4">
      <c r="A1197">
        <v>1196</v>
      </c>
      <c r="B1197">
        <v>22794</v>
      </c>
      <c r="C1197">
        <f t="shared" si="51"/>
        <v>23119.480519957535</v>
      </c>
      <c r="D1197">
        <f t="shared" si="52"/>
        <v>0.98592180651824901</v>
      </c>
    </row>
    <row r="1198" spans="1:4">
      <c r="A1198">
        <v>1197</v>
      </c>
      <c r="B1198">
        <v>22681</v>
      </c>
      <c r="C1198">
        <f t="shared" si="51"/>
        <v>23094.549946543724</v>
      </c>
      <c r="D1198">
        <f t="shared" si="52"/>
        <v>0.98209318010089153</v>
      </c>
    </row>
    <row r="1199" spans="1:4">
      <c r="A1199">
        <v>1198</v>
      </c>
      <c r="B1199">
        <v>22685</v>
      </c>
      <c r="C1199">
        <f t="shared" si="51"/>
        <v>23069.620367019648</v>
      </c>
      <c r="D1199">
        <f t="shared" si="52"/>
        <v>0.98332784151188279</v>
      </c>
    </row>
    <row r="1200" spans="1:4">
      <c r="A1200">
        <v>1199</v>
      </c>
      <c r="B1200">
        <v>22656</v>
      </c>
      <c r="C1200">
        <f t="shared" si="51"/>
        <v>23044.692057834152</v>
      </c>
      <c r="D1200">
        <f t="shared" si="52"/>
        <v>0.98313311990202901</v>
      </c>
    </row>
    <row r="1201" spans="1:4">
      <c r="A1201">
        <v>1200</v>
      </c>
      <c r="B1201">
        <v>22706</v>
      </c>
      <c r="C1201">
        <f t="shared" si="51"/>
        <v>23019.765296000005</v>
      </c>
      <c r="D1201">
        <f t="shared" si="52"/>
        <v>0.9863697439150465</v>
      </c>
    </row>
    <row r="1202" spans="1:4">
      <c r="A1202">
        <v>1201</v>
      </c>
      <c r="B1202">
        <v>22829</v>
      </c>
      <c r="C1202">
        <f t="shared" si="51"/>
        <v>22994.840359093621</v>
      </c>
      <c r="D1202">
        <f t="shared" si="52"/>
        <v>0.99278793170538204</v>
      </c>
    </row>
    <row r="1203" spans="1:4">
      <c r="A1203">
        <v>1202</v>
      </c>
      <c r="B1203">
        <v>22872</v>
      </c>
      <c r="C1203">
        <f t="shared" si="51"/>
        <v>22969.917525255289</v>
      </c>
      <c r="D1203">
        <f t="shared" si="52"/>
        <v>0.99573714075605069</v>
      </c>
    </row>
    <row r="1204" spans="1:4">
      <c r="A1204">
        <v>1203</v>
      </c>
      <c r="B1204">
        <v>22793</v>
      </c>
      <c r="C1204">
        <f t="shared" si="51"/>
        <v>22944.997073189043</v>
      </c>
      <c r="D1204">
        <f t="shared" si="52"/>
        <v>0.99337558977653351</v>
      </c>
    </row>
    <row r="1205" spans="1:4">
      <c r="A1205">
        <v>1204</v>
      </c>
      <c r="B1205">
        <v>22506</v>
      </c>
      <c r="C1205">
        <f t="shared" si="51"/>
        <v>22920.079282162711</v>
      </c>
      <c r="D1205">
        <f t="shared" si="52"/>
        <v>0.98193377618527855</v>
      </c>
    </row>
    <row r="1206" spans="1:4">
      <c r="A1206">
        <v>1205</v>
      </c>
      <c r="B1206">
        <v>22171</v>
      </c>
      <c r="C1206">
        <f t="shared" si="51"/>
        <v>22895.164432007943</v>
      </c>
      <c r="D1206">
        <f t="shared" si="52"/>
        <v>0.96837042013135555</v>
      </c>
    </row>
    <row r="1207" spans="1:4">
      <c r="A1207">
        <v>1206</v>
      </c>
      <c r="B1207">
        <v>22046</v>
      </c>
      <c r="C1207">
        <f t="shared" si="51"/>
        <v>22870.252803120115</v>
      </c>
      <c r="D1207">
        <f t="shared" si="52"/>
        <v>0.96395961119381834</v>
      </c>
    </row>
    <row r="1208" spans="1:4">
      <c r="A1208">
        <v>1207</v>
      </c>
      <c r="B1208">
        <v>22268</v>
      </c>
      <c r="C1208">
        <f t="shared" si="51"/>
        <v>22845.344676458459</v>
      </c>
      <c r="D1208">
        <f t="shared" si="52"/>
        <v>0.97472812581140889</v>
      </c>
    </row>
    <row r="1209" spans="1:4">
      <c r="A1209">
        <v>1208</v>
      </c>
      <c r="B1209">
        <v>22729</v>
      </c>
      <c r="C1209">
        <f t="shared" si="51"/>
        <v>22820.440333545914</v>
      </c>
      <c r="D1209">
        <f t="shared" si="52"/>
        <v>0.995993051307976</v>
      </c>
    </row>
    <row r="1210" spans="1:4">
      <c r="A1210">
        <v>1209</v>
      </c>
      <c r="B1210">
        <v>22977</v>
      </c>
      <c r="C1210">
        <f t="shared" si="51"/>
        <v>22795.540056469268</v>
      </c>
      <c r="D1210">
        <f t="shared" si="52"/>
        <v>1.0079603265849906</v>
      </c>
    </row>
    <row r="1211" spans="1:4">
      <c r="A1211">
        <v>1210</v>
      </c>
      <c r="B1211">
        <v>23204</v>
      </c>
      <c r="C1211">
        <f t="shared" si="51"/>
        <v>22770.644127879124</v>
      </c>
      <c r="D1211">
        <f t="shared" si="52"/>
        <v>1.0190313400748421</v>
      </c>
    </row>
    <row r="1212" spans="1:4">
      <c r="A1212">
        <v>1211</v>
      </c>
      <c r="B1212">
        <v>23021</v>
      </c>
      <c r="C1212">
        <f t="shared" si="51"/>
        <v>22745.752830989702</v>
      </c>
      <c r="D1212">
        <f t="shared" si="52"/>
        <v>1.0121010357870104</v>
      </c>
    </row>
    <row r="1213" spans="1:4">
      <c r="A1213">
        <v>1212</v>
      </c>
      <c r="B1213">
        <v>23042</v>
      </c>
      <c r="C1213">
        <f t="shared" si="51"/>
        <v>22720.866449579233</v>
      </c>
      <c r="D1213">
        <f t="shared" si="52"/>
        <v>1.0141338602175849</v>
      </c>
    </row>
    <row r="1214" spans="1:4">
      <c r="A1214">
        <v>1213</v>
      </c>
      <c r="B1214">
        <v>22632</v>
      </c>
      <c r="C1214">
        <f t="shared" si="51"/>
        <v>22695.985267989621</v>
      </c>
      <c r="D1214">
        <f t="shared" si="52"/>
        <v>0.99718076711655845</v>
      </c>
    </row>
    <row r="1215" spans="1:4">
      <c r="A1215">
        <v>1214</v>
      </c>
      <c r="B1215">
        <v>22377</v>
      </c>
      <c r="C1215">
        <f t="shared" si="51"/>
        <v>22671.109571126508</v>
      </c>
      <c r="D1215">
        <f t="shared" si="52"/>
        <v>0.98702712056488495</v>
      </c>
    </row>
    <row r="1216" spans="1:4">
      <c r="A1216">
        <v>1215</v>
      </c>
      <c r="B1216">
        <v>21818</v>
      </c>
      <c r="C1216">
        <f t="shared" si="51"/>
        <v>22646.239644459471</v>
      </c>
      <c r="D1216">
        <f t="shared" si="52"/>
        <v>0.96342705643574233</v>
      </c>
    </row>
    <row r="1217" spans="1:4">
      <c r="A1217">
        <v>1216</v>
      </c>
      <c r="B1217">
        <v>21486</v>
      </c>
      <c r="C1217">
        <f t="shared" si="51"/>
        <v>22621.375774021675</v>
      </c>
      <c r="D1217">
        <f t="shared" si="52"/>
        <v>0.94980960550924853</v>
      </c>
    </row>
    <row r="1218" spans="1:4">
      <c r="A1218">
        <v>1217</v>
      </c>
      <c r="B1218">
        <v>21520</v>
      </c>
      <c r="C1218">
        <f t="shared" ref="C1218:C1281" si="53" xml:space="preserve"> 0.00000002349111*A1218*A1218*A1218*A1218 - 0.0000664476*A1218*A1218*A1218 + 0.03716061*A1218*A1218 + 10.57172*A1218 + 22932.71</f>
        <v>22596.51824641024</v>
      </c>
      <c r="D1218">
        <f t="shared" ref="D1218:D1281" si="54">B1218/C1218</f>
        <v>0.95235910972340798</v>
      </c>
    </row>
    <row r="1219" spans="1:4">
      <c r="A1219">
        <v>1218</v>
      </c>
      <c r="B1219">
        <v>21747</v>
      </c>
      <c r="C1219">
        <f t="shared" si="53"/>
        <v>22571.667348786068</v>
      </c>
      <c r="D1219">
        <f t="shared" si="54"/>
        <v>0.96346449130039924</v>
      </c>
    </row>
    <row r="1220" spans="1:4">
      <c r="A1220">
        <v>1219</v>
      </c>
      <c r="B1220">
        <v>21925</v>
      </c>
      <c r="C1220">
        <f t="shared" si="53"/>
        <v>22546.823368873695</v>
      </c>
      <c r="D1220">
        <f t="shared" si="54"/>
        <v>0.9724207992096956</v>
      </c>
    </row>
    <row r="1221" spans="1:4">
      <c r="A1221">
        <v>1220</v>
      </c>
      <c r="B1221">
        <v>22170</v>
      </c>
      <c r="C1221">
        <f t="shared" si="53"/>
        <v>22521.986594961578</v>
      </c>
      <c r="D1221">
        <f t="shared" si="54"/>
        <v>0.9843714232988523</v>
      </c>
    </row>
    <row r="1222" spans="1:4">
      <c r="A1222">
        <v>1221</v>
      </c>
      <c r="B1222">
        <v>22251</v>
      </c>
      <c r="C1222">
        <f t="shared" si="53"/>
        <v>22497.157315901954</v>
      </c>
      <c r="D1222">
        <f t="shared" si="54"/>
        <v>0.98905829245688925</v>
      </c>
    </row>
    <row r="1223" spans="1:4">
      <c r="A1223">
        <v>1222</v>
      </c>
      <c r="B1223">
        <v>22184</v>
      </c>
      <c r="C1223">
        <f t="shared" si="53"/>
        <v>22472.335821110821</v>
      </c>
      <c r="D1223">
        <f t="shared" si="54"/>
        <v>0.98716929902587369</v>
      </c>
    </row>
    <row r="1224" spans="1:4">
      <c r="A1224">
        <v>1223</v>
      </c>
      <c r="B1224">
        <v>21891</v>
      </c>
      <c r="C1224">
        <f t="shared" si="53"/>
        <v>22447.522400567905</v>
      </c>
      <c r="D1224">
        <f t="shared" si="54"/>
        <v>0.97520784741242428</v>
      </c>
    </row>
    <row r="1225" spans="1:4">
      <c r="A1225">
        <v>1224</v>
      </c>
      <c r="B1225">
        <v>21224</v>
      </c>
      <c r="C1225">
        <f t="shared" si="53"/>
        <v>22422.717344816774</v>
      </c>
      <c r="D1225">
        <f t="shared" si="54"/>
        <v>0.94654005014722853</v>
      </c>
    </row>
    <row r="1226" spans="1:4">
      <c r="A1226">
        <v>1225</v>
      </c>
      <c r="B1226">
        <v>20634</v>
      </c>
      <c r="C1226">
        <f t="shared" si="53"/>
        <v>22397.920944964841</v>
      </c>
      <c r="D1226">
        <f t="shared" si="54"/>
        <v>0.92124621971391596</v>
      </c>
    </row>
    <row r="1227" spans="1:4">
      <c r="A1227">
        <v>1226</v>
      </c>
      <c r="B1227">
        <v>20272</v>
      </c>
      <c r="C1227">
        <f t="shared" si="53"/>
        <v>22373.133492683221</v>
      </c>
      <c r="D1227">
        <f t="shared" si="54"/>
        <v>0.90608675832688512</v>
      </c>
    </row>
    <row r="1228" spans="1:4">
      <c r="A1228">
        <v>1227</v>
      </c>
      <c r="B1228">
        <v>20351</v>
      </c>
      <c r="C1228">
        <f t="shared" si="53"/>
        <v>22348.355280206819</v>
      </c>
      <c r="D1228">
        <f t="shared" si="54"/>
        <v>0.91062629642478399</v>
      </c>
    </row>
    <row r="1229" spans="1:4">
      <c r="A1229">
        <v>1228</v>
      </c>
      <c r="B1229">
        <v>20936</v>
      </c>
      <c r="C1229">
        <f t="shared" si="53"/>
        <v>22323.586600334351</v>
      </c>
      <c r="D1229">
        <f t="shared" si="54"/>
        <v>0.93784212970896141</v>
      </c>
    </row>
    <row r="1230" spans="1:4">
      <c r="A1230">
        <v>1229</v>
      </c>
      <c r="B1230">
        <v>21350</v>
      </c>
      <c r="C1230">
        <f t="shared" si="53"/>
        <v>22298.827746428378</v>
      </c>
      <c r="D1230">
        <f t="shared" si="54"/>
        <v>0.95744943379006309</v>
      </c>
    </row>
    <row r="1231" spans="1:4">
      <c r="A1231">
        <v>1230</v>
      </c>
      <c r="B1231">
        <v>21888</v>
      </c>
      <c r="C1231">
        <f t="shared" si="53"/>
        <v>22274.079012415114</v>
      </c>
      <c r="D1231">
        <f t="shared" si="54"/>
        <v>0.98266689221134929</v>
      </c>
    </row>
    <row r="1232" spans="1:4">
      <c r="A1232">
        <v>1231</v>
      </c>
      <c r="B1232">
        <v>22287</v>
      </c>
      <c r="C1232">
        <f t="shared" si="53"/>
        <v>22249.340692784648</v>
      </c>
      <c r="D1232">
        <f t="shared" si="54"/>
        <v>1.0016926032881308</v>
      </c>
    </row>
    <row r="1233" spans="1:7">
      <c r="A1233">
        <v>1232</v>
      </c>
      <c r="B1233">
        <v>22548</v>
      </c>
      <c r="C1233">
        <f t="shared" si="53"/>
        <v>22224.613082590851</v>
      </c>
      <c r="D1233">
        <f t="shared" si="54"/>
        <v>1.0145508457765893</v>
      </c>
    </row>
    <row r="1234" spans="1:7">
      <c r="A1234">
        <v>1233</v>
      </c>
      <c r="B1234">
        <v>22743</v>
      </c>
      <c r="C1234">
        <f t="shared" si="53"/>
        <v>22199.896477451384</v>
      </c>
      <c r="D1234">
        <f t="shared" si="54"/>
        <v>1.0244642367184122</v>
      </c>
    </row>
    <row r="1235" spans="1:7">
      <c r="A1235">
        <v>1234</v>
      </c>
      <c r="B1235">
        <v>22722</v>
      </c>
      <c r="C1235">
        <f t="shared" si="53"/>
        <v>22175.191173547701</v>
      </c>
      <c r="D1235">
        <f t="shared" si="54"/>
        <v>1.0246585845494118</v>
      </c>
    </row>
    <row r="1236" spans="1:7">
      <c r="A1236">
        <v>1235</v>
      </c>
      <c r="B1236">
        <v>22228</v>
      </c>
      <c r="C1236">
        <f t="shared" si="53"/>
        <v>22150.497467624937</v>
      </c>
      <c r="D1236">
        <f t="shared" si="54"/>
        <v>1.0034989070781972</v>
      </c>
    </row>
    <row r="1237" spans="1:7">
      <c r="A1237">
        <v>1236</v>
      </c>
      <c r="B1237">
        <v>21497</v>
      </c>
      <c r="C1237">
        <f t="shared" si="53"/>
        <v>22125.815656992203</v>
      </c>
      <c r="D1237">
        <f t="shared" si="54"/>
        <v>0.97158000108377995</v>
      </c>
    </row>
    <row r="1238" spans="1:7">
      <c r="A1238">
        <v>1237</v>
      </c>
      <c r="B1238">
        <v>20451</v>
      </c>
      <c r="C1238">
        <f t="shared" si="53"/>
        <v>22101.146039522184</v>
      </c>
      <c r="D1238">
        <f t="shared" si="54"/>
        <v>0.92533663021042778</v>
      </c>
    </row>
    <row r="1239" spans="1:7">
      <c r="A1239">
        <v>1238</v>
      </c>
      <c r="B1239">
        <v>19365</v>
      </c>
      <c r="C1239">
        <f t="shared" si="53"/>
        <v>22076.488913651545</v>
      </c>
      <c r="D1239">
        <f t="shared" si="54"/>
        <v>0.87717752925942727</v>
      </c>
    </row>
    <row r="1240" spans="1:7">
      <c r="A1240">
        <v>1239</v>
      </c>
      <c r="B1240">
        <v>18124</v>
      </c>
      <c r="C1240">
        <f t="shared" si="53"/>
        <v>22051.844578380642</v>
      </c>
      <c r="D1240">
        <f t="shared" si="54"/>
        <v>0.82188135942915852</v>
      </c>
    </row>
    <row r="1241" spans="1:7" ht="17.25">
      <c r="A1241">
        <v>1240</v>
      </c>
      <c r="B1241">
        <v>17514</v>
      </c>
      <c r="C1241">
        <f t="shared" si="53"/>
        <v>22027.213333273601</v>
      </c>
      <c r="D1241">
        <f t="shared" si="54"/>
        <v>0.79510738535155123</v>
      </c>
      <c r="F1241">
        <v>1240</v>
      </c>
      <c r="G1241" t="s">
        <v>97</v>
      </c>
    </row>
    <row r="1242" spans="1:7" ht="17.25">
      <c r="A1242">
        <v>1241</v>
      </c>
      <c r="B1242">
        <v>17634</v>
      </c>
      <c r="C1242">
        <f t="shared" si="53"/>
        <v>22002.595478458356</v>
      </c>
      <c r="D1242">
        <f t="shared" si="54"/>
        <v>0.80145090233852501</v>
      </c>
      <c r="F1242">
        <v>1240</v>
      </c>
      <c r="G1242" t="s">
        <v>98</v>
      </c>
    </row>
    <row r="1243" spans="1:7">
      <c r="A1243">
        <v>1242</v>
      </c>
      <c r="B1243">
        <v>18501</v>
      </c>
      <c r="C1243">
        <f t="shared" si="53"/>
        <v>21977.991314626695</v>
      </c>
      <c r="D1243">
        <f t="shared" si="54"/>
        <v>0.84179667446166007</v>
      </c>
    </row>
    <row r="1244" spans="1:7">
      <c r="A1244">
        <v>1243</v>
      </c>
      <c r="B1244">
        <v>19335</v>
      </c>
      <c r="C1244">
        <f t="shared" si="53"/>
        <v>21953.401143034051</v>
      </c>
      <c r="D1244">
        <f t="shared" si="54"/>
        <v>0.88072913504498662</v>
      </c>
    </row>
    <row r="1245" spans="1:7">
      <c r="A1245">
        <v>1244</v>
      </c>
      <c r="B1245">
        <v>20289</v>
      </c>
      <c r="C1245">
        <f t="shared" si="53"/>
        <v>21928.825265499796</v>
      </c>
      <c r="D1245">
        <f t="shared" si="54"/>
        <v>0.9252205603516892</v>
      </c>
    </row>
    <row r="1246" spans="1:7">
      <c r="A1246">
        <v>1245</v>
      </c>
      <c r="B1246">
        <v>21152</v>
      </c>
      <c r="C1246">
        <f t="shared" si="53"/>
        <v>21904.263984406945</v>
      </c>
      <c r="D1246">
        <f t="shared" si="54"/>
        <v>0.96565673309349898</v>
      </c>
    </row>
    <row r="1247" spans="1:7">
      <c r="A1247">
        <v>1246</v>
      </c>
      <c r="B1247">
        <v>21613</v>
      </c>
      <c r="C1247">
        <f t="shared" si="53"/>
        <v>21879.717602702422</v>
      </c>
      <c r="D1247">
        <f t="shared" si="54"/>
        <v>0.98780982426073549</v>
      </c>
    </row>
    <row r="1248" spans="1:7">
      <c r="A1248">
        <v>1247</v>
      </c>
      <c r="B1248">
        <v>21649</v>
      </c>
      <c r="C1248">
        <f t="shared" si="53"/>
        <v>21855.186423896866</v>
      </c>
      <c r="D1248">
        <f t="shared" si="54"/>
        <v>0.99056578974446918</v>
      </c>
    </row>
    <row r="1249" spans="1:7">
      <c r="A1249">
        <v>1248</v>
      </c>
      <c r="B1249">
        <v>21459</v>
      </c>
      <c r="C1249">
        <f t="shared" si="53"/>
        <v>21830.670752064758</v>
      </c>
      <c r="D1249">
        <f t="shared" si="54"/>
        <v>0.9829748358955207</v>
      </c>
    </row>
    <row r="1250" spans="1:7">
      <c r="A1250">
        <v>1249</v>
      </c>
      <c r="B1250">
        <v>20818</v>
      </c>
      <c r="C1250">
        <f t="shared" si="53"/>
        <v>21806.170891844275</v>
      </c>
      <c r="D1250">
        <f t="shared" si="54"/>
        <v>0.95468388756808931</v>
      </c>
    </row>
    <row r="1251" spans="1:7">
      <c r="A1251">
        <v>1250</v>
      </c>
      <c r="B1251">
        <v>20430</v>
      </c>
      <c r="C1251">
        <f t="shared" si="53"/>
        <v>21781.687148437508</v>
      </c>
      <c r="D1251">
        <f t="shared" si="54"/>
        <v>0.93794387279433178</v>
      </c>
    </row>
    <row r="1252" spans="1:7">
      <c r="A1252">
        <v>1251</v>
      </c>
      <c r="B1252">
        <v>19598</v>
      </c>
      <c r="C1252">
        <f t="shared" si="53"/>
        <v>21757.219827610184</v>
      </c>
      <c r="D1252">
        <f t="shared" si="54"/>
        <v>0.90075846800655535</v>
      </c>
    </row>
    <row r="1253" spans="1:7">
      <c r="A1253">
        <v>1252</v>
      </c>
      <c r="B1253">
        <v>18835</v>
      </c>
      <c r="C1253">
        <f t="shared" si="53"/>
        <v>21732.769235691972</v>
      </c>
      <c r="D1253">
        <f t="shared" si="54"/>
        <v>0.86666359890607347</v>
      </c>
    </row>
    <row r="1254" spans="1:7">
      <c r="A1254">
        <v>1253</v>
      </c>
      <c r="B1254">
        <v>17679</v>
      </c>
      <c r="C1254">
        <f t="shared" si="53"/>
        <v>21708.335679576179</v>
      </c>
      <c r="D1254">
        <f t="shared" si="54"/>
        <v>0.81438762791165542</v>
      </c>
    </row>
    <row r="1255" spans="1:7">
      <c r="A1255">
        <v>1254</v>
      </c>
      <c r="B1255">
        <v>16787</v>
      </c>
      <c r="C1255">
        <f t="shared" si="53"/>
        <v>21683.919466720014</v>
      </c>
      <c r="D1255">
        <f t="shared" si="54"/>
        <v>0.77416815837949893</v>
      </c>
    </row>
    <row r="1256" spans="1:7" ht="17.25">
      <c r="A1256">
        <v>1255</v>
      </c>
      <c r="B1256">
        <v>16346</v>
      </c>
      <c r="C1256">
        <f t="shared" si="53"/>
        <v>21659.520905144484</v>
      </c>
      <c r="D1256">
        <f t="shared" si="54"/>
        <v>0.75467966588852675</v>
      </c>
      <c r="F1256">
        <v>1255</v>
      </c>
      <c r="G1256" t="s">
        <v>99</v>
      </c>
    </row>
    <row r="1257" spans="1:7" ht="17.25">
      <c r="A1257">
        <v>1256</v>
      </c>
      <c r="B1257">
        <v>16627</v>
      </c>
      <c r="C1257">
        <f t="shared" si="53"/>
        <v>21635.140303434178</v>
      </c>
      <c r="D1257">
        <f t="shared" si="54"/>
        <v>0.76851824239664257</v>
      </c>
      <c r="F1257">
        <v>1255</v>
      </c>
      <c r="G1257" t="s">
        <v>100</v>
      </c>
    </row>
    <row r="1258" spans="1:7">
      <c r="A1258">
        <v>1257</v>
      </c>
      <c r="B1258">
        <v>17551</v>
      </c>
      <c r="C1258">
        <f t="shared" si="53"/>
        <v>21610.777970737749</v>
      </c>
      <c r="D1258">
        <f t="shared" si="54"/>
        <v>0.81214105405020942</v>
      </c>
    </row>
    <row r="1259" spans="1:7">
      <c r="A1259">
        <v>1258</v>
      </c>
      <c r="B1259">
        <v>18559</v>
      </c>
      <c r="C1259">
        <f t="shared" si="53"/>
        <v>21586.434216767477</v>
      </c>
      <c r="D1259">
        <f t="shared" si="54"/>
        <v>0.85975292693705352</v>
      </c>
    </row>
    <row r="1260" spans="1:7">
      <c r="A1260">
        <v>1259</v>
      </c>
      <c r="B1260">
        <v>19337</v>
      </c>
      <c r="C1260">
        <f t="shared" si="53"/>
        <v>21562.109351799467</v>
      </c>
      <c r="D1260">
        <f t="shared" si="54"/>
        <v>0.89680465322314251</v>
      </c>
    </row>
    <row r="1261" spans="1:7">
      <c r="A1261">
        <v>1260</v>
      </c>
      <c r="B1261">
        <v>19657</v>
      </c>
      <c r="C1261">
        <f t="shared" si="53"/>
        <v>21537.803686673593</v>
      </c>
      <c r="D1261">
        <f t="shared" si="54"/>
        <v>0.9126743044910689</v>
      </c>
    </row>
    <row r="1262" spans="1:7">
      <c r="A1262">
        <v>1261</v>
      </c>
      <c r="B1262">
        <v>19968</v>
      </c>
      <c r="C1262">
        <f t="shared" si="53"/>
        <v>21513.517532793558</v>
      </c>
      <c r="D1262">
        <f t="shared" si="54"/>
        <v>0.92816063061571918</v>
      </c>
    </row>
    <row r="1263" spans="1:7">
      <c r="A1263">
        <v>1262</v>
      </c>
      <c r="B1263">
        <v>19829</v>
      </c>
      <c r="C1263">
        <f t="shared" si="53"/>
        <v>21489.251202126732</v>
      </c>
      <c r="D1263">
        <f t="shared" si="54"/>
        <v>0.92274038836856165</v>
      </c>
    </row>
    <row r="1264" spans="1:7">
      <c r="A1264">
        <v>1263</v>
      </c>
      <c r="B1264">
        <v>19720</v>
      </c>
      <c r="C1264">
        <f t="shared" si="53"/>
        <v>21465.005007204505</v>
      </c>
      <c r="D1264">
        <f t="shared" si="54"/>
        <v>0.91870465408143109</v>
      </c>
    </row>
    <row r="1265" spans="1:7">
      <c r="A1265">
        <v>1264</v>
      </c>
      <c r="B1265">
        <v>19353</v>
      </c>
      <c r="C1265">
        <f t="shared" si="53"/>
        <v>21440.779261121788</v>
      </c>
      <c r="D1265">
        <f t="shared" si="54"/>
        <v>0.90262577513180575</v>
      </c>
    </row>
    <row r="1266" spans="1:7">
      <c r="A1266">
        <v>1265</v>
      </c>
      <c r="B1266">
        <v>19157</v>
      </c>
      <c r="C1266">
        <f t="shared" si="53"/>
        <v>21416.574277537438</v>
      </c>
      <c r="D1266">
        <f t="shared" si="54"/>
        <v>0.89449413112220422</v>
      </c>
    </row>
    <row r="1267" spans="1:7">
      <c r="A1267">
        <v>1266</v>
      </c>
      <c r="B1267">
        <v>18928</v>
      </c>
      <c r="C1267">
        <f t="shared" si="53"/>
        <v>21392.390370674089</v>
      </c>
      <c r="D1267">
        <f t="shared" si="54"/>
        <v>0.8848006076940137</v>
      </c>
    </row>
    <row r="1268" spans="1:7">
      <c r="A1268">
        <v>1267</v>
      </c>
      <c r="B1268">
        <v>19175</v>
      </c>
      <c r="C1268">
        <f t="shared" si="53"/>
        <v>21368.22785531808</v>
      </c>
      <c r="D1268">
        <f t="shared" si="54"/>
        <v>0.89736033001107129</v>
      </c>
    </row>
    <row r="1269" spans="1:7">
      <c r="A1269">
        <v>1268</v>
      </c>
      <c r="B1269">
        <v>19309</v>
      </c>
      <c r="C1269">
        <f t="shared" si="53"/>
        <v>21344.087046819681</v>
      </c>
      <c r="D1269">
        <f t="shared" si="54"/>
        <v>0.90465335704658711</v>
      </c>
    </row>
    <row r="1270" spans="1:7">
      <c r="A1270">
        <v>1269</v>
      </c>
      <c r="B1270">
        <v>19504</v>
      </c>
      <c r="C1270">
        <f t="shared" si="53"/>
        <v>21319.968261092778</v>
      </c>
      <c r="D1270">
        <f t="shared" si="54"/>
        <v>0.91482312549185296</v>
      </c>
    </row>
    <row r="1271" spans="1:7">
      <c r="A1271">
        <v>1270</v>
      </c>
      <c r="B1271">
        <v>19570</v>
      </c>
      <c r="C1271">
        <f t="shared" si="53"/>
        <v>21295.8718146151</v>
      </c>
      <c r="D1271">
        <f t="shared" si="54"/>
        <v>0.91895744726305806</v>
      </c>
    </row>
    <row r="1272" spans="1:7">
      <c r="A1272">
        <v>1271</v>
      </c>
      <c r="B1272">
        <v>19718</v>
      </c>
      <c r="C1272">
        <f t="shared" si="53"/>
        <v>21271.798024428273</v>
      </c>
      <c r="D1272">
        <f t="shared" si="54"/>
        <v>0.92695502173140654</v>
      </c>
    </row>
    <row r="1273" spans="1:7">
      <c r="A1273">
        <v>1272</v>
      </c>
      <c r="B1273">
        <v>19394</v>
      </c>
      <c r="C1273">
        <f t="shared" si="53"/>
        <v>21247.747208137553</v>
      </c>
      <c r="D1273">
        <f t="shared" si="54"/>
        <v>0.91275558815818381</v>
      </c>
    </row>
    <row r="1274" spans="1:7">
      <c r="A1274">
        <v>1273</v>
      </c>
      <c r="B1274">
        <v>18683</v>
      </c>
      <c r="C1274">
        <f t="shared" si="53"/>
        <v>21223.719683912139</v>
      </c>
      <c r="D1274">
        <f t="shared" si="54"/>
        <v>0.88028867127198074</v>
      </c>
    </row>
    <row r="1275" spans="1:7">
      <c r="A1275">
        <v>1274</v>
      </c>
      <c r="B1275">
        <v>17531</v>
      </c>
      <c r="C1275">
        <f t="shared" si="53"/>
        <v>21199.715770484814</v>
      </c>
      <c r="D1275">
        <f t="shared" si="54"/>
        <v>0.82694504915992495</v>
      </c>
    </row>
    <row r="1276" spans="1:7">
      <c r="A1276">
        <v>1275</v>
      </c>
      <c r="B1276">
        <v>16309</v>
      </c>
      <c r="C1276">
        <f t="shared" si="53"/>
        <v>21175.735787152335</v>
      </c>
      <c r="D1276">
        <f t="shared" si="54"/>
        <v>0.77017394644180148</v>
      </c>
    </row>
    <row r="1277" spans="1:7" ht="17.25">
      <c r="A1277">
        <v>1276</v>
      </c>
      <c r="B1277">
        <v>15660</v>
      </c>
      <c r="C1277">
        <f t="shared" si="53"/>
        <v>21151.780053775154</v>
      </c>
      <c r="D1277">
        <f t="shared" si="54"/>
        <v>0.74036322050375214</v>
      </c>
      <c r="F1277">
        <v>1276.5</v>
      </c>
      <c r="G1277" t="s">
        <v>101</v>
      </c>
    </row>
    <row r="1278" spans="1:7" ht="17.25">
      <c r="A1278">
        <v>1277</v>
      </c>
      <c r="B1278">
        <v>15455</v>
      </c>
      <c r="C1278">
        <f t="shared" si="53"/>
        <v>21127.848890777583</v>
      </c>
      <c r="D1278">
        <f t="shared" si="54"/>
        <v>0.73149898410841951</v>
      </c>
      <c r="F1278">
        <v>1276.5</v>
      </c>
      <c r="G1278" t="s">
        <v>102</v>
      </c>
    </row>
    <row r="1279" spans="1:7">
      <c r="A1279">
        <v>1278</v>
      </c>
      <c r="B1279">
        <v>16108</v>
      </c>
      <c r="C1279">
        <f t="shared" si="53"/>
        <v>21103.942619147594</v>
      </c>
      <c r="D1279">
        <f t="shared" si="54"/>
        <v>0.76326970228706092</v>
      </c>
    </row>
    <row r="1280" spans="1:7">
      <c r="A1280">
        <v>1279</v>
      </c>
      <c r="B1280">
        <v>17180</v>
      </c>
      <c r="C1280">
        <f t="shared" si="53"/>
        <v>21080.061560437083</v>
      </c>
      <c r="D1280">
        <f t="shared" si="54"/>
        <v>0.81498813230428646</v>
      </c>
    </row>
    <row r="1281" spans="1:4">
      <c r="A1281">
        <v>1280</v>
      </c>
      <c r="B1281">
        <v>18296</v>
      </c>
      <c r="C1281">
        <f t="shared" si="53"/>
        <v>21056.2060367616</v>
      </c>
      <c r="D1281">
        <f t="shared" si="54"/>
        <v>0.86891247017897655</v>
      </c>
    </row>
    <row r="1282" spans="1:4">
      <c r="A1282">
        <v>1281</v>
      </c>
      <c r="B1282">
        <v>19268</v>
      </c>
      <c r="C1282">
        <f t="shared" ref="C1282:C1345" si="55" xml:space="preserve"> 0.00000002349111*A1282*A1282*A1282*A1282 - 0.0000664476*A1282*A1282*A1282 + 0.03716061*A1282*A1282 + 10.57172*A1282 + 22932.71</f>
        <v>21032.376370800594</v>
      </c>
      <c r="D1282">
        <f t="shared" ref="D1282:D1345" si="56">B1282/C1282</f>
        <v>0.91611141129776996</v>
      </c>
    </row>
    <row r="1283" spans="1:4">
      <c r="A1283">
        <v>1282</v>
      </c>
      <c r="B1283">
        <v>19968</v>
      </c>
      <c r="C1283">
        <f t="shared" si="55"/>
        <v>21008.572885797272</v>
      </c>
      <c r="D1283">
        <f t="shared" si="56"/>
        <v>0.95046913031866409</v>
      </c>
    </row>
    <row r="1284" spans="1:4">
      <c r="A1284">
        <v>1283</v>
      </c>
      <c r="B1284">
        <v>20160</v>
      </c>
      <c r="C1284">
        <f t="shared" si="55"/>
        <v>20984.795905558531</v>
      </c>
      <c r="D1284">
        <f t="shared" si="56"/>
        <v>0.96069554789712985</v>
      </c>
    </row>
    <row r="1285" spans="1:4">
      <c r="A1285">
        <v>1284</v>
      </c>
      <c r="B1285">
        <v>19922</v>
      </c>
      <c r="C1285">
        <f t="shared" si="55"/>
        <v>20961.045754455256</v>
      </c>
      <c r="D1285">
        <f t="shared" si="56"/>
        <v>0.95042967957672597</v>
      </c>
    </row>
    <row r="1286" spans="1:4">
      <c r="A1286">
        <v>1285</v>
      </c>
      <c r="B1286">
        <v>19286</v>
      </c>
      <c r="C1286">
        <f t="shared" si="55"/>
        <v>20937.322757421942</v>
      </c>
      <c r="D1286">
        <f t="shared" si="56"/>
        <v>0.92113018571887018</v>
      </c>
    </row>
    <row r="1287" spans="1:4">
      <c r="A1287">
        <v>1286</v>
      </c>
      <c r="B1287">
        <v>17998</v>
      </c>
      <c r="C1287">
        <f t="shared" si="55"/>
        <v>20913.627239956928</v>
      </c>
      <c r="D1287">
        <f t="shared" si="56"/>
        <v>0.86058720438574032</v>
      </c>
    </row>
    <row r="1288" spans="1:4">
      <c r="A1288">
        <v>1287</v>
      </c>
      <c r="B1288">
        <v>16493</v>
      </c>
      <c r="C1288">
        <f t="shared" si="55"/>
        <v>20889.959528122308</v>
      </c>
      <c r="D1288">
        <f t="shared" si="56"/>
        <v>0.78951804467581332</v>
      </c>
    </row>
    <row r="1289" spans="1:4">
      <c r="A1289">
        <v>1288</v>
      </c>
      <c r="B1289">
        <v>14904</v>
      </c>
      <c r="C1289">
        <f t="shared" si="55"/>
        <v>20866.319948544056</v>
      </c>
      <c r="D1289">
        <f t="shared" si="56"/>
        <v>0.71426106935736522</v>
      </c>
    </row>
    <row r="1290" spans="1:4">
      <c r="A1290">
        <v>1289</v>
      </c>
      <c r="B1290">
        <v>14160</v>
      </c>
      <c r="C1290">
        <f t="shared" si="55"/>
        <v>20842.708828411814</v>
      </c>
      <c r="D1290">
        <f t="shared" si="56"/>
        <v>0.67937426543606194</v>
      </c>
    </row>
    <row r="1291" spans="1:4">
      <c r="A1291">
        <v>1290</v>
      </c>
      <c r="B1291">
        <v>14060</v>
      </c>
      <c r="C1291">
        <f t="shared" si="55"/>
        <v>20819.126495479097</v>
      </c>
      <c r="D1291">
        <f t="shared" si="56"/>
        <v>0.67534053376606118</v>
      </c>
    </row>
    <row r="1292" spans="1:4">
      <c r="A1292">
        <v>1291</v>
      </c>
      <c r="B1292">
        <v>14433</v>
      </c>
      <c r="C1292">
        <f t="shared" si="55"/>
        <v>20795.573278063166</v>
      </c>
      <c r="D1292">
        <f t="shared" si="56"/>
        <v>0.69404193897482414</v>
      </c>
    </row>
    <row r="1293" spans="1:4">
      <c r="A1293">
        <v>1292</v>
      </c>
      <c r="B1293">
        <v>14494</v>
      </c>
      <c r="C1293">
        <f t="shared" si="55"/>
        <v>20772.049505045121</v>
      </c>
      <c r="D1293">
        <f t="shared" si="56"/>
        <v>0.69776456080945182</v>
      </c>
    </row>
    <row r="1294" spans="1:4">
      <c r="A1294">
        <v>1293</v>
      </c>
      <c r="B1294">
        <v>14286</v>
      </c>
      <c r="C1294">
        <f t="shared" si="55"/>
        <v>20748.555505869757</v>
      </c>
      <c r="D1294">
        <f t="shared" si="56"/>
        <v>0.68852985914891751</v>
      </c>
    </row>
    <row r="1295" spans="1:4">
      <c r="A1295">
        <v>1294</v>
      </c>
      <c r="B1295">
        <v>13751</v>
      </c>
      <c r="C1295">
        <f t="shared" si="55"/>
        <v>20725.091610545751</v>
      </c>
      <c r="D1295">
        <f t="shared" si="56"/>
        <v>0.66349525774848417</v>
      </c>
    </row>
    <row r="1296" spans="1:4">
      <c r="A1296">
        <v>1295</v>
      </c>
      <c r="B1296">
        <v>13645</v>
      </c>
      <c r="C1296">
        <f t="shared" si="55"/>
        <v>20701.658149645446</v>
      </c>
      <c r="D1296">
        <f t="shared" si="56"/>
        <v>0.65912594543706615</v>
      </c>
    </row>
    <row r="1297" spans="1:4">
      <c r="A1297">
        <v>1296</v>
      </c>
      <c r="B1297">
        <v>14142</v>
      </c>
      <c r="C1297">
        <f t="shared" si="55"/>
        <v>20678.255454305116</v>
      </c>
      <c r="D1297">
        <f t="shared" si="56"/>
        <v>0.68390682334160358</v>
      </c>
    </row>
    <row r="1298" spans="1:4">
      <c r="A1298">
        <v>1297</v>
      </c>
      <c r="B1298">
        <v>15218</v>
      </c>
      <c r="C1298">
        <f t="shared" si="55"/>
        <v>20654.883856224769</v>
      </c>
      <c r="D1298">
        <f t="shared" si="56"/>
        <v>0.73677490059639072</v>
      </c>
    </row>
    <row r="1299" spans="1:4">
      <c r="A1299">
        <v>1298</v>
      </c>
      <c r="B1299">
        <v>16780</v>
      </c>
      <c r="C1299">
        <f t="shared" si="55"/>
        <v>20631.543687668083</v>
      </c>
      <c r="D1299">
        <f t="shared" si="56"/>
        <v>0.81331771650367424</v>
      </c>
    </row>
    <row r="1300" spans="1:4">
      <c r="A1300">
        <v>1299</v>
      </c>
      <c r="B1300">
        <v>18149</v>
      </c>
      <c r="C1300">
        <f t="shared" si="55"/>
        <v>20608.235281462687</v>
      </c>
      <c r="D1300">
        <f t="shared" si="56"/>
        <v>0.88066735225627046</v>
      </c>
    </row>
    <row r="1301" spans="1:4">
      <c r="A1301">
        <v>1300</v>
      </c>
      <c r="B1301">
        <v>19033</v>
      </c>
      <c r="C1301">
        <f t="shared" si="55"/>
        <v>20584.958971000015</v>
      </c>
      <c r="D1301">
        <f t="shared" si="56"/>
        <v>0.92460713799884631</v>
      </c>
    </row>
    <row r="1302" spans="1:4">
      <c r="A1302">
        <v>1301</v>
      </c>
      <c r="B1302">
        <v>19629</v>
      </c>
      <c r="C1302">
        <f t="shared" si="55"/>
        <v>20561.715090235062</v>
      </c>
      <c r="D1302">
        <f t="shared" si="56"/>
        <v>0.95463826406786378</v>
      </c>
    </row>
    <row r="1303" spans="1:4">
      <c r="A1303">
        <v>1302</v>
      </c>
      <c r="B1303">
        <v>19700</v>
      </c>
      <c r="C1303">
        <f t="shared" si="55"/>
        <v>20538.503973686828</v>
      </c>
      <c r="D1303">
        <f t="shared" si="56"/>
        <v>0.95917404817989238</v>
      </c>
    </row>
    <row r="1304" spans="1:4">
      <c r="A1304">
        <v>1303</v>
      </c>
      <c r="B1304">
        <v>19682</v>
      </c>
      <c r="C1304">
        <f t="shared" si="55"/>
        <v>20515.325956438006</v>
      </c>
      <c r="D1304">
        <f t="shared" si="56"/>
        <v>0.95938032092653658</v>
      </c>
    </row>
    <row r="1305" spans="1:4">
      <c r="A1305">
        <v>1304</v>
      </c>
      <c r="B1305">
        <v>19767</v>
      </c>
      <c r="C1305">
        <f t="shared" si="55"/>
        <v>20492.181374135129</v>
      </c>
      <c r="D1305">
        <f t="shared" si="56"/>
        <v>0.96461180189189422</v>
      </c>
    </row>
    <row r="1306" spans="1:4">
      <c r="A1306">
        <v>1305</v>
      </c>
      <c r="B1306">
        <v>19590</v>
      </c>
      <c r="C1306">
        <f t="shared" si="55"/>
        <v>20469.070562988432</v>
      </c>
      <c r="D1306">
        <f t="shared" si="56"/>
        <v>0.95705371378327542</v>
      </c>
    </row>
    <row r="1307" spans="1:4">
      <c r="A1307">
        <v>1306</v>
      </c>
      <c r="B1307">
        <v>19787</v>
      </c>
      <c r="C1307">
        <f t="shared" si="55"/>
        <v>20445.993859772025</v>
      </c>
      <c r="D1307">
        <f t="shared" si="56"/>
        <v>0.96776904736000091</v>
      </c>
    </row>
    <row r="1308" spans="1:4">
      <c r="A1308">
        <v>1307</v>
      </c>
      <c r="B1308">
        <v>20002</v>
      </c>
      <c r="C1308">
        <f t="shared" si="55"/>
        <v>20422.951601823763</v>
      </c>
      <c r="D1308">
        <f t="shared" si="56"/>
        <v>0.97938830733035809</v>
      </c>
    </row>
    <row r="1309" spans="1:4">
      <c r="A1309">
        <v>1308</v>
      </c>
      <c r="B1309">
        <v>20237</v>
      </c>
      <c r="C1309">
        <f t="shared" si="55"/>
        <v>20399.944127045252</v>
      </c>
      <c r="D1309">
        <f t="shared" si="56"/>
        <v>0.99201252091522996</v>
      </c>
    </row>
    <row r="1310" spans="1:4">
      <c r="A1310">
        <v>1309</v>
      </c>
      <c r="B1310">
        <v>20551</v>
      </c>
      <c r="C1310">
        <f t="shared" si="55"/>
        <v>20376.971773901918</v>
      </c>
      <c r="D1310">
        <f t="shared" si="56"/>
        <v>1.0085404361368833</v>
      </c>
    </row>
    <row r="1311" spans="1:4">
      <c r="A1311">
        <v>1310</v>
      </c>
      <c r="B1311">
        <v>20613</v>
      </c>
      <c r="C1311">
        <f t="shared" si="55"/>
        <v>20354.034881423082</v>
      </c>
      <c r="D1311">
        <f t="shared" si="56"/>
        <v>1.0127230360017352</v>
      </c>
    </row>
    <row r="1312" spans="1:4">
      <c r="A1312">
        <v>1311</v>
      </c>
      <c r="B1312">
        <v>20475</v>
      </c>
      <c r="C1312">
        <f t="shared" si="55"/>
        <v>20331.133789201675</v>
      </c>
      <c r="D1312">
        <f t="shared" si="56"/>
        <v>1.007076152874206</v>
      </c>
    </row>
    <row r="1313" spans="1:4">
      <c r="A1313">
        <v>1312</v>
      </c>
      <c r="B1313">
        <v>20501</v>
      </c>
      <c r="C1313">
        <f t="shared" si="55"/>
        <v>20308.268837394466</v>
      </c>
      <c r="D1313">
        <f t="shared" si="56"/>
        <v>1.0094902802473567</v>
      </c>
    </row>
    <row r="1314" spans="1:4">
      <c r="A1314">
        <v>1313</v>
      </c>
      <c r="B1314">
        <v>20577</v>
      </c>
      <c r="C1314">
        <f t="shared" si="55"/>
        <v>20285.440366722079</v>
      </c>
      <c r="D1314">
        <f t="shared" si="56"/>
        <v>1.0143728520558133</v>
      </c>
    </row>
    <row r="1315" spans="1:4">
      <c r="A1315">
        <v>1314</v>
      </c>
      <c r="B1315">
        <v>20582</v>
      </c>
      <c r="C1315">
        <f t="shared" si="55"/>
        <v>20262.648718468827</v>
      </c>
      <c r="D1315">
        <f t="shared" si="56"/>
        <v>1.0157605891494379</v>
      </c>
    </row>
    <row r="1316" spans="1:4">
      <c r="A1316">
        <v>1315</v>
      </c>
      <c r="B1316">
        <v>20756</v>
      </c>
      <c r="C1316">
        <f t="shared" si="55"/>
        <v>20239.894234482952</v>
      </c>
      <c r="D1316">
        <f t="shared" si="56"/>
        <v>1.0254994299643005</v>
      </c>
    </row>
    <row r="1317" spans="1:4">
      <c r="A1317">
        <v>1316</v>
      </c>
      <c r="B1317">
        <v>20583</v>
      </c>
      <c r="C1317">
        <f t="shared" si="55"/>
        <v>20217.177257176296</v>
      </c>
      <c r="D1317">
        <f t="shared" si="56"/>
        <v>1.0180946498203083</v>
      </c>
    </row>
    <row r="1318" spans="1:4">
      <c r="A1318">
        <v>1317</v>
      </c>
      <c r="B1318">
        <v>20481</v>
      </c>
      <c r="C1318">
        <f t="shared" si="55"/>
        <v>20194.498129524622</v>
      </c>
      <c r="D1318">
        <f t="shared" si="56"/>
        <v>1.0141871250593997</v>
      </c>
    </row>
    <row r="1319" spans="1:4">
      <c r="A1319">
        <v>1318</v>
      </c>
      <c r="B1319">
        <v>19886</v>
      </c>
      <c r="C1319">
        <f t="shared" si="55"/>
        <v>20171.85719506747</v>
      </c>
      <c r="D1319">
        <f t="shared" si="56"/>
        <v>0.98582891043183818</v>
      </c>
    </row>
    <row r="1320" spans="1:4">
      <c r="A1320">
        <v>1319</v>
      </c>
      <c r="B1320">
        <v>19312</v>
      </c>
      <c r="C1320">
        <f t="shared" si="55"/>
        <v>20149.254797908081</v>
      </c>
      <c r="D1320">
        <f t="shared" si="56"/>
        <v>0.95844735667370662</v>
      </c>
    </row>
    <row r="1321" spans="1:4">
      <c r="A1321">
        <v>1320</v>
      </c>
      <c r="B1321">
        <v>19035</v>
      </c>
      <c r="C1321">
        <f t="shared" si="55"/>
        <v>20126.691282713586</v>
      </c>
      <c r="D1321">
        <f t="shared" si="56"/>
        <v>0.94575902877532492</v>
      </c>
    </row>
    <row r="1322" spans="1:4">
      <c r="A1322">
        <v>1321</v>
      </c>
      <c r="B1322">
        <v>20279</v>
      </c>
      <c r="C1322">
        <f t="shared" si="55"/>
        <v>20104.16699471488</v>
      </c>
      <c r="D1322">
        <f t="shared" si="56"/>
        <v>1.0086963565976685</v>
      </c>
    </row>
    <row r="1323" spans="1:4">
      <c r="A1323">
        <v>1322</v>
      </c>
      <c r="B1323">
        <v>19447</v>
      </c>
      <c r="C1323">
        <f t="shared" si="55"/>
        <v>20081.682279706514</v>
      </c>
      <c r="D1323">
        <f t="shared" si="56"/>
        <v>0.96839496458183238</v>
      </c>
    </row>
    <row r="1324" spans="1:4">
      <c r="A1324">
        <v>1323</v>
      </c>
      <c r="B1324">
        <v>19832</v>
      </c>
      <c r="C1324">
        <f t="shared" si="55"/>
        <v>20059.237484047069</v>
      </c>
      <c r="D1324">
        <f t="shared" si="56"/>
        <v>0.98867167885978768</v>
      </c>
    </row>
    <row r="1325" spans="1:4">
      <c r="A1325">
        <v>1324</v>
      </c>
      <c r="B1325">
        <v>20422</v>
      </c>
      <c r="C1325">
        <f t="shared" si="55"/>
        <v>20036.832954658643</v>
      </c>
      <c r="D1325">
        <f t="shared" si="56"/>
        <v>1.0192229503641095</v>
      </c>
    </row>
    <row r="1326" spans="1:4">
      <c r="A1326">
        <v>1325</v>
      </c>
      <c r="B1326">
        <v>20828</v>
      </c>
      <c r="C1326">
        <f t="shared" si="55"/>
        <v>20014.469039027328</v>
      </c>
      <c r="D1326">
        <f t="shared" si="56"/>
        <v>1.0406471417945848</v>
      </c>
    </row>
    <row r="1327" spans="1:4">
      <c r="A1327">
        <v>1326</v>
      </c>
      <c r="B1327">
        <v>20869</v>
      </c>
      <c r="C1327">
        <f t="shared" si="55"/>
        <v>19992.146085202952</v>
      </c>
      <c r="D1327">
        <f t="shared" si="56"/>
        <v>1.0438599193433289</v>
      </c>
    </row>
    <row r="1328" spans="1:4">
      <c r="A1328">
        <v>1327</v>
      </c>
      <c r="B1328">
        <v>20863</v>
      </c>
      <c r="C1328">
        <f t="shared" si="55"/>
        <v>19969.864441799054</v>
      </c>
      <c r="D1328">
        <f t="shared" si="56"/>
        <v>1.0447241672973762</v>
      </c>
    </row>
    <row r="1329" spans="1:7">
      <c r="A1329">
        <v>1328</v>
      </c>
      <c r="B1329">
        <v>20549</v>
      </c>
      <c r="C1329">
        <f t="shared" si="55"/>
        <v>19947.624457993054</v>
      </c>
      <c r="D1329">
        <f t="shared" si="56"/>
        <v>1.0301477272781709</v>
      </c>
    </row>
    <row r="1330" spans="1:7">
      <c r="A1330">
        <v>1329</v>
      </c>
      <c r="B1330">
        <v>20261</v>
      </c>
      <c r="C1330">
        <f t="shared" si="55"/>
        <v>19925.426483526095</v>
      </c>
      <c r="D1330">
        <f t="shared" si="56"/>
        <v>1.0168414722139749</v>
      </c>
    </row>
    <row r="1331" spans="1:7">
      <c r="A1331">
        <v>1330</v>
      </c>
      <c r="B1331">
        <v>20211</v>
      </c>
      <c r="C1331">
        <f t="shared" si="55"/>
        <v>19903.270868703101</v>
      </c>
      <c r="D1331">
        <f t="shared" si="56"/>
        <v>1.0154612341522613</v>
      </c>
    </row>
    <row r="1332" spans="1:7">
      <c r="A1332">
        <v>1331</v>
      </c>
      <c r="B1332">
        <v>20318</v>
      </c>
      <c r="C1332">
        <f t="shared" si="55"/>
        <v>19881.157964392882</v>
      </c>
      <c r="D1332">
        <f t="shared" si="56"/>
        <v>1.0219726655957113</v>
      </c>
    </row>
    <row r="1333" spans="1:7">
      <c r="A1333">
        <v>1332</v>
      </c>
      <c r="B1333">
        <v>20182</v>
      </c>
      <c r="C1333">
        <f t="shared" si="55"/>
        <v>19859.088122027872</v>
      </c>
      <c r="D1333">
        <f t="shared" si="56"/>
        <v>1.0162601563570259</v>
      </c>
    </row>
    <row r="1334" spans="1:7">
      <c r="A1334">
        <v>1333</v>
      </c>
      <c r="B1334">
        <v>19685</v>
      </c>
      <c r="C1334">
        <f t="shared" si="55"/>
        <v>19837.061693604392</v>
      </c>
      <c r="D1334">
        <f t="shared" si="56"/>
        <v>0.99233446485406573</v>
      </c>
    </row>
    <row r="1335" spans="1:7">
      <c r="A1335">
        <v>1334</v>
      </c>
      <c r="B1335">
        <v>18924</v>
      </c>
      <c r="C1335">
        <f t="shared" si="55"/>
        <v>19815.079031682653</v>
      </c>
      <c r="D1335">
        <f t="shared" si="56"/>
        <v>0.95503025598545976</v>
      </c>
    </row>
    <row r="1336" spans="1:7">
      <c r="A1336">
        <v>1335</v>
      </c>
      <c r="B1336">
        <v>17736</v>
      </c>
      <c r="C1336">
        <f t="shared" si="55"/>
        <v>19793.140489386438</v>
      </c>
      <c r="D1336">
        <f t="shared" si="56"/>
        <v>0.89606800949604093</v>
      </c>
    </row>
    <row r="1337" spans="1:7">
      <c r="A1337">
        <v>1336</v>
      </c>
      <c r="B1337">
        <v>16372</v>
      </c>
      <c r="C1337">
        <f t="shared" si="55"/>
        <v>19771.246420403455</v>
      </c>
      <c r="D1337">
        <f t="shared" si="56"/>
        <v>0.82807121270333706</v>
      </c>
    </row>
    <row r="1338" spans="1:7">
      <c r="A1338">
        <v>1337</v>
      </c>
      <c r="B1338">
        <v>15186</v>
      </c>
      <c r="C1338">
        <f t="shared" si="55"/>
        <v>19749.39717898512</v>
      </c>
      <c r="D1338">
        <f t="shared" si="56"/>
        <v>0.76893486228324348</v>
      </c>
    </row>
    <row r="1339" spans="1:7">
      <c r="A1339">
        <v>1338</v>
      </c>
      <c r="B1339">
        <v>13799</v>
      </c>
      <c r="C1339">
        <f t="shared" si="55"/>
        <v>19727.593119946709</v>
      </c>
      <c r="D1339">
        <f t="shared" si="56"/>
        <v>0.69947711898253484</v>
      </c>
    </row>
    <row r="1340" spans="1:7" ht="17.25">
      <c r="A1340">
        <v>1339</v>
      </c>
      <c r="B1340">
        <v>12963</v>
      </c>
      <c r="C1340">
        <f t="shared" si="55"/>
        <v>19705.834598667294</v>
      </c>
      <c r="D1340">
        <f t="shared" si="56"/>
        <v>0.65782547473917641</v>
      </c>
      <c r="F1340">
        <v>1339.5</v>
      </c>
      <c r="G1340" t="s">
        <v>103</v>
      </c>
    </row>
    <row r="1341" spans="1:7" ht="17.25">
      <c r="A1341">
        <v>1340</v>
      </c>
      <c r="B1341">
        <v>12809</v>
      </c>
      <c r="C1341">
        <f t="shared" si="55"/>
        <v>19684.121971089618</v>
      </c>
      <c r="D1341">
        <f t="shared" si="56"/>
        <v>0.65072752642016651</v>
      </c>
      <c r="F1341">
        <v>1339.5</v>
      </c>
      <c r="G1341" t="s">
        <v>104</v>
      </c>
    </row>
    <row r="1342" spans="1:7">
      <c r="A1342">
        <v>1341</v>
      </c>
      <c r="B1342">
        <v>13782</v>
      </c>
      <c r="C1342">
        <f t="shared" si="55"/>
        <v>19662.455593720282</v>
      </c>
      <c r="D1342">
        <f t="shared" si="56"/>
        <v>0.70092974574353983</v>
      </c>
    </row>
    <row r="1343" spans="1:7">
      <c r="A1343">
        <v>1342</v>
      </c>
      <c r="B1343">
        <v>15190</v>
      </c>
      <c r="C1343">
        <f t="shared" si="55"/>
        <v>19640.835823629757</v>
      </c>
      <c r="D1343">
        <f t="shared" si="56"/>
        <v>0.77338867532943856</v>
      </c>
    </row>
    <row r="1344" spans="1:7">
      <c r="A1344">
        <v>1343</v>
      </c>
      <c r="B1344">
        <v>16582</v>
      </c>
      <c r="C1344">
        <f t="shared" si="55"/>
        <v>19619.263018452155</v>
      </c>
      <c r="D1344">
        <f t="shared" si="56"/>
        <v>0.84518974970692973</v>
      </c>
    </row>
    <row r="1345" spans="1:4">
      <c r="A1345">
        <v>1344</v>
      </c>
      <c r="B1345">
        <v>17566</v>
      </c>
      <c r="C1345">
        <f t="shared" si="55"/>
        <v>19597.737536385474</v>
      </c>
      <c r="D1345">
        <f t="shared" si="56"/>
        <v>0.89632795456040182</v>
      </c>
    </row>
    <row r="1346" spans="1:4">
      <c r="A1346">
        <v>1345</v>
      </c>
      <c r="B1346">
        <v>18312</v>
      </c>
      <c r="C1346">
        <f t="shared" ref="C1346:C1409" si="57" xml:space="preserve"> 0.00000002349111*A1346*A1346*A1346*A1346 - 0.0000664476*A1346*A1346*A1346 + 0.03716061*A1346*A1346 + 10.57172*A1346 + 22932.71</f>
        <v>19576.259736191467</v>
      </c>
      <c r="D1346">
        <f t="shared" ref="D1346:D1409" si="58">B1346/C1346</f>
        <v>0.93541872894881062</v>
      </c>
    </row>
    <row r="1347" spans="1:4">
      <c r="A1347">
        <v>1346</v>
      </c>
      <c r="B1347">
        <v>18887</v>
      </c>
      <c r="C1347">
        <f t="shared" si="57"/>
        <v>19554.829977195586</v>
      </c>
      <c r="D1347">
        <f t="shared" si="58"/>
        <v>0.96584833629469569</v>
      </c>
    </row>
    <row r="1348" spans="1:4">
      <c r="A1348">
        <v>1347</v>
      </c>
      <c r="B1348">
        <v>19106</v>
      </c>
      <c r="C1348">
        <f t="shared" si="57"/>
        <v>19533.448619287301</v>
      </c>
      <c r="D1348">
        <f t="shared" si="58"/>
        <v>0.97811709403606084</v>
      </c>
    </row>
    <row r="1349" spans="1:4">
      <c r="A1349">
        <v>1348</v>
      </c>
      <c r="B1349">
        <v>19435</v>
      </c>
      <c r="C1349">
        <f t="shared" si="57"/>
        <v>19512.116022919618</v>
      </c>
      <c r="D1349">
        <f t="shared" si="58"/>
        <v>0.99604778780379155</v>
      </c>
    </row>
    <row r="1350" spans="1:4">
      <c r="A1350">
        <v>1349</v>
      </c>
      <c r="B1350">
        <v>19528</v>
      </c>
      <c r="C1350">
        <f t="shared" si="57"/>
        <v>19490.832549109429</v>
      </c>
      <c r="D1350">
        <f t="shared" si="58"/>
        <v>1.0019069196144865</v>
      </c>
    </row>
    <row r="1351" spans="1:4">
      <c r="A1351">
        <v>1350</v>
      </c>
      <c r="B1351">
        <v>19532</v>
      </c>
      <c r="C1351">
        <f t="shared" si="57"/>
        <v>19469.598559437502</v>
      </c>
      <c r="D1351">
        <f t="shared" si="58"/>
        <v>1.003205070734869</v>
      </c>
    </row>
    <row r="1352" spans="1:4">
      <c r="A1352">
        <v>1351</v>
      </c>
      <c r="B1352">
        <v>19335</v>
      </c>
      <c r="C1352">
        <f t="shared" si="57"/>
        <v>19448.41441604821</v>
      </c>
      <c r="D1352">
        <f t="shared" si="58"/>
        <v>0.99416844923076997</v>
      </c>
    </row>
    <row r="1353" spans="1:4">
      <c r="A1353">
        <v>1352</v>
      </c>
      <c r="B1353">
        <v>19126</v>
      </c>
      <c r="C1353">
        <f t="shared" si="57"/>
        <v>19427.280481649919</v>
      </c>
      <c r="D1353">
        <f t="shared" si="58"/>
        <v>0.98449188593666037</v>
      </c>
    </row>
    <row r="1354" spans="1:4">
      <c r="A1354">
        <v>1353</v>
      </c>
      <c r="B1354">
        <v>19108</v>
      </c>
      <c r="C1354">
        <f t="shared" si="57"/>
        <v>19406.19711951456</v>
      </c>
      <c r="D1354">
        <f t="shared" si="58"/>
        <v>0.98463392298459662</v>
      </c>
    </row>
    <row r="1355" spans="1:4">
      <c r="A1355">
        <v>1354</v>
      </c>
      <c r="B1355">
        <v>19104</v>
      </c>
      <c r="C1355">
        <f t="shared" si="57"/>
        <v>19385.164693478051</v>
      </c>
      <c r="D1355">
        <f t="shared" si="58"/>
        <v>0.98549588317025516</v>
      </c>
    </row>
    <row r="1356" spans="1:4">
      <c r="A1356">
        <v>1355</v>
      </c>
      <c r="B1356">
        <v>19062</v>
      </c>
      <c r="C1356">
        <f t="shared" si="57"/>
        <v>19364.183567939937</v>
      </c>
      <c r="D1356">
        <f t="shared" si="58"/>
        <v>0.98439471682967083</v>
      </c>
    </row>
    <row r="1357" spans="1:4">
      <c r="A1357">
        <v>1356</v>
      </c>
      <c r="B1357">
        <v>19316</v>
      </c>
      <c r="C1357">
        <f t="shared" si="57"/>
        <v>19343.254107863693</v>
      </c>
      <c r="D1357">
        <f t="shared" si="58"/>
        <v>0.99859102777062658</v>
      </c>
    </row>
    <row r="1358" spans="1:4">
      <c r="A1358">
        <v>1357</v>
      </c>
      <c r="B1358">
        <v>19379</v>
      </c>
      <c r="C1358">
        <f t="shared" si="57"/>
        <v>19322.376678776476</v>
      </c>
      <c r="D1358">
        <f t="shared" si="58"/>
        <v>1.0029304532338259</v>
      </c>
    </row>
    <row r="1359" spans="1:4">
      <c r="A1359">
        <v>1358</v>
      </c>
      <c r="B1359">
        <v>19535</v>
      </c>
      <c r="C1359">
        <f t="shared" si="57"/>
        <v>19301.551646769214</v>
      </c>
      <c r="D1359">
        <f t="shared" si="58"/>
        <v>1.0120947972216452</v>
      </c>
    </row>
    <row r="1360" spans="1:4">
      <c r="A1360">
        <v>1359</v>
      </c>
      <c r="B1360">
        <v>19626</v>
      </c>
      <c r="C1360">
        <f t="shared" si="57"/>
        <v>19280.779378496751</v>
      </c>
      <c r="D1360">
        <f t="shared" si="58"/>
        <v>1.0179049101038034</v>
      </c>
    </row>
    <row r="1361" spans="1:4">
      <c r="A1361">
        <v>1360</v>
      </c>
      <c r="B1361">
        <v>19640</v>
      </c>
      <c r="C1361">
        <f t="shared" si="57"/>
        <v>19260.060241177598</v>
      </c>
      <c r="D1361">
        <f t="shared" si="58"/>
        <v>1.0197268208959231</v>
      </c>
    </row>
    <row r="1362" spans="1:4">
      <c r="A1362">
        <v>1361</v>
      </c>
      <c r="B1362">
        <v>19533</v>
      </c>
      <c r="C1362">
        <f t="shared" si="57"/>
        <v>19239.394602594111</v>
      </c>
      <c r="D1362">
        <f t="shared" si="58"/>
        <v>1.0152606359748086</v>
      </c>
    </row>
    <row r="1363" spans="1:4">
      <c r="A1363">
        <v>1362</v>
      </c>
      <c r="B1363">
        <v>19556</v>
      </c>
      <c r="C1363">
        <f t="shared" si="57"/>
        <v>19218.782831092387</v>
      </c>
      <c r="D1363">
        <f t="shared" si="58"/>
        <v>1.0175462292212418</v>
      </c>
    </row>
    <row r="1364" spans="1:4">
      <c r="A1364">
        <v>1363</v>
      </c>
      <c r="B1364">
        <v>19600</v>
      </c>
      <c r="C1364">
        <f t="shared" si="57"/>
        <v>19198.225295582364</v>
      </c>
      <c r="D1364">
        <f t="shared" si="58"/>
        <v>1.0209277002551942</v>
      </c>
    </row>
    <row r="1365" spans="1:4">
      <c r="A1365">
        <v>1364</v>
      </c>
      <c r="B1365">
        <v>19567</v>
      </c>
      <c r="C1365">
        <f t="shared" si="57"/>
        <v>19177.722365537709</v>
      </c>
      <c r="D1365">
        <f t="shared" si="58"/>
        <v>1.020298428929278</v>
      </c>
    </row>
    <row r="1366" spans="1:4">
      <c r="A1366">
        <v>1365</v>
      </c>
      <c r="B1366">
        <v>19533</v>
      </c>
      <c r="C1366">
        <f t="shared" si="57"/>
        <v>19157.27441099596</v>
      </c>
      <c r="D1366">
        <f t="shared" si="58"/>
        <v>1.0196126850272802</v>
      </c>
    </row>
    <row r="1367" spans="1:4">
      <c r="A1367">
        <v>1366</v>
      </c>
      <c r="B1367">
        <v>19586</v>
      </c>
      <c r="C1367">
        <f t="shared" si="57"/>
        <v>19136.881802558324</v>
      </c>
      <c r="D1367">
        <f t="shared" si="58"/>
        <v>1.0234687240102844</v>
      </c>
    </row>
    <row r="1368" spans="1:4">
      <c r="A1368">
        <v>1367</v>
      </c>
      <c r="B1368">
        <v>19496</v>
      </c>
      <c r="C1368">
        <f t="shared" si="57"/>
        <v>19116.544911389879</v>
      </c>
      <c r="D1368">
        <f t="shared" si="58"/>
        <v>1.01984956436265</v>
      </c>
    </row>
    <row r="1369" spans="1:4">
      <c r="A1369">
        <v>1368</v>
      </c>
      <c r="B1369">
        <v>19138</v>
      </c>
      <c r="C1369">
        <f t="shared" si="57"/>
        <v>19096.264109219461</v>
      </c>
      <c r="D1369">
        <f t="shared" si="58"/>
        <v>1.0021855526579353</v>
      </c>
    </row>
    <row r="1370" spans="1:4">
      <c r="A1370">
        <v>1369</v>
      </c>
      <c r="B1370">
        <v>18925</v>
      </c>
      <c r="C1370">
        <f t="shared" si="57"/>
        <v>19076.039768339746</v>
      </c>
      <c r="D1370">
        <f t="shared" si="58"/>
        <v>0.99208222617618858</v>
      </c>
    </row>
    <row r="1371" spans="1:4">
      <c r="A1371">
        <v>1370</v>
      </c>
      <c r="B1371">
        <v>18831</v>
      </c>
      <c r="C1371">
        <f t="shared" si="57"/>
        <v>19055.872261607095</v>
      </c>
      <c r="D1371">
        <f t="shared" si="58"/>
        <v>0.98819931942658124</v>
      </c>
    </row>
    <row r="1372" spans="1:4">
      <c r="A1372">
        <v>1371</v>
      </c>
      <c r="B1372">
        <v>18471</v>
      </c>
      <c r="C1372">
        <f t="shared" si="57"/>
        <v>19035.761962441757</v>
      </c>
      <c r="D1372">
        <f t="shared" si="58"/>
        <v>0.97033152843810233</v>
      </c>
    </row>
    <row r="1373" spans="1:4">
      <c r="A1373">
        <v>1372</v>
      </c>
      <c r="B1373">
        <v>18391</v>
      </c>
      <c r="C1373">
        <f t="shared" si="57"/>
        <v>19015.70924482766</v>
      </c>
      <c r="D1373">
        <f t="shared" si="58"/>
        <v>0.96714772839737317</v>
      </c>
    </row>
    <row r="1374" spans="1:4">
      <c r="A1374">
        <v>1373</v>
      </c>
      <c r="B1374">
        <v>18281</v>
      </c>
      <c r="C1374">
        <f t="shared" si="57"/>
        <v>18995.714483312666</v>
      </c>
      <c r="D1374">
        <f t="shared" si="58"/>
        <v>0.96237496178727433</v>
      </c>
    </row>
    <row r="1375" spans="1:4">
      <c r="A1375">
        <v>1374</v>
      </c>
      <c r="B1375">
        <v>18286</v>
      </c>
      <c r="C1375">
        <f t="shared" si="57"/>
        <v>18975.778053008275</v>
      </c>
      <c r="D1375">
        <f t="shared" si="58"/>
        <v>0.96364955096537286</v>
      </c>
    </row>
    <row r="1376" spans="1:4">
      <c r="A1376">
        <v>1375</v>
      </c>
      <c r="B1376">
        <v>18444</v>
      </c>
      <c r="C1376">
        <f t="shared" si="57"/>
        <v>18955.900329589844</v>
      </c>
      <c r="D1376">
        <f t="shared" si="58"/>
        <v>0.97299519829238734</v>
      </c>
    </row>
    <row r="1377" spans="1:4">
      <c r="A1377">
        <v>1376</v>
      </c>
      <c r="B1377">
        <v>18621</v>
      </c>
      <c r="C1377">
        <f t="shared" si="57"/>
        <v>18936.08168929653</v>
      </c>
      <c r="D1377">
        <f t="shared" si="58"/>
        <v>0.98336077682456202</v>
      </c>
    </row>
    <row r="1378" spans="1:4">
      <c r="A1378">
        <v>1377</v>
      </c>
      <c r="B1378">
        <v>18896</v>
      </c>
      <c r="C1378">
        <f t="shared" si="57"/>
        <v>18916.322508931233</v>
      </c>
      <c r="D1378">
        <f t="shared" si="58"/>
        <v>0.99892566280144368</v>
      </c>
    </row>
    <row r="1379" spans="1:4">
      <c r="A1379">
        <v>1378</v>
      </c>
      <c r="B1379">
        <v>19247</v>
      </c>
      <c r="C1379">
        <f t="shared" si="57"/>
        <v>18896.623165860707</v>
      </c>
      <c r="D1379">
        <f t="shared" si="58"/>
        <v>1.0185417696624388</v>
      </c>
    </row>
    <row r="1380" spans="1:4">
      <c r="A1380">
        <v>1379</v>
      </c>
      <c r="B1380">
        <v>19217</v>
      </c>
      <c r="C1380">
        <f t="shared" si="57"/>
        <v>18876.984038015362</v>
      </c>
      <c r="D1380">
        <f t="shared" si="58"/>
        <v>1.0180121973563097</v>
      </c>
    </row>
    <row r="1381" spans="1:4">
      <c r="A1381">
        <v>1380</v>
      </c>
      <c r="B1381">
        <v>19285</v>
      </c>
      <c r="C1381">
        <f t="shared" si="57"/>
        <v>18857.405503889597</v>
      </c>
      <c r="D1381">
        <f t="shared" si="58"/>
        <v>1.0226751498779727</v>
      </c>
    </row>
    <row r="1382" spans="1:4">
      <c r="A1382">
        <v>1381</v>
      </c>
      <c r="B1382">
        <v>18974</v>
      </c>
      <c r="C1382">
        <f t="shared" si="57"/>
        <v>18837.887942541405</v>
      </c>
      <c r="D1382">
        <f t="shared" si="58"/>
        <v>1.0072254415077613</v>
      </c>
    </row>
    <row r="1383" spans="1:4">
      <c r="A1383">
        <v>1382</v>
      </c>
      <c r="B1383">
        <v>18898</v>
      </c>
      <c r="C1383">
        <f t="shared" si="57"/>
        <v>18818.431733592668</v>
      </c>
      <c r="D1383">
        <f t="shared" si="58"/>
        <v>1.0042282092117853</v>
      </c>
    </row>
    <row r="1384" spans="1:4">
      <c r="A1384">
        <v>1383</v>
      </c>
      <c r="B1384">
        <v>18598</v>
      </c>
      <c r="C1384">
        <f t="shared" si="57"/>
        <v>18799.037257228993</v>
      </c>
      <c r="D1384">
        <f t="shared" si="58"/>
        <v>0.98930598123307167</v>
      </c>
    </row>
    <row r="1385" spans="1:4">
      <c r="A1385">
        <v>1384</v>
      </c>
      <c r="B1385">
        <v>18754</v>
      </c>
      <c r="C1385">
        <f t="shared" si="57"/>
        <v>18779.704894199887</v>
      </c>
      <c r="D1385">
        <f t="shared" si="58"/>
        <v>0.9986312407812209</v>
      </c>
    </row>
    <row r="1386" spans="1:4">
      <c r="A1386">
        <v>1385</v>
      </c>
      <c r="B1386">
        <v>18667</v>
      </c>
      <c r="C1386">
        <f t="shared" si="57"/>
        <v>18760.435025818413</v>
      </c>
      <c r="D1386">
        <f t="shared" si="58"/>
        <v>0.99501957040495992</v>
      </c>
    </row>
    <row r="1387" spans="1:4">
      <c r="A1387">
        <v>1386</v>
      </c>
      <c r="B1387">
        <v>18695</v>
      </c>
      <c r="C1387">
        <f t="shared" si="57"/>
        <v>18741.228033961823</v>
      </c>
      <c r="D1387">
        <f t="shared" si="58"/>
        <v>0.99753335086270489</v>
      </c>
    </row>
    <row r="1388" spans="1:4">
      <c r="A1388">
        <v>1387</v>
      </c>
      <c r="B1388">
        <v>18797</v>
      </c>
      <c r="C1388">
        <f t="shared" si="57"/>
        <v>18722.084301070645</v>
      </c>
      <c r="D1388">
        <f t="shared" si="58"/>
        <v>1.0040014614678918</v>
      </c>
    </row>
    <row r="1389" spans="1:4">
      <c r="A1389">
        <v>1388</v>
      </c>
      <c r="B1389">
        <v>18315</v>
      </c>
      <c r="C1389">
        <f t="shared" si="57"/>
        <v>18703.004210149615</v>
      </c>
      <c r="D1389">
        <f t="shared" si="58"/>
        <v>0.97925444459136379</v>
      </c>
    </row>
    <row r="1390" spans="1:4">
      <c r="A1390">
        <v>1389</v>
      </c>
      <c r="B1390">
        <v>18103</v>
      </c>
      <c r="C1390">
        <f t="shared" si="57"/>
        <v>18683.988144767049</v>
      </c>
      <c r="D1390">
        <f t="shared" si="58"/>
        <v>0.96890448975532184</v>
      </c>
    </row>
    <row r="1391" spans="1:4">
      <c r="A1391">
        <v>1390</v>
      </c>
      <c r="B1391">
        <v>18167</v>
      </c>
      <c r="C1391">
        <f t="shared" si="57"/>
        <v>18665.036489055092</v>
      </c>
      <c r="D1391">
        <f t="shared" si="58"/>
        <v>0.9733171435615926</v>
      </c>
    </row>
    <row r="1392" spans="1:4">
      <c r="A1392">
        <v>1391</v>
      </c>
      <c r="B1392">
        <v>18226</v>
      </c>
      <c r="C1392">
        <f t="shared" si="57"/>
        <v>18646.149627709703</v>
      </c>
      <c r="D1392">
        <f t="shared" si="58"/>
        <v>0.97746721783861878</v>
      </c>
    </row>
    <row r="1393" spans="1:4">
      <c r="A1393">
        <v>1392</v>
      </c>
      <c r="B1393">
        <v>18239</v>
      </c>
      <c r="C1393">
        <f t="shared" si="57"/>
        <v>18627.327945990597</v>
      </c>
      <c r="D1393">
        <f t="shared" si="58"/>
        <v>0.97915278309822307</v>
      </c>
    </row>
    <row r="1394" spans="1:4">
      <c r="A1394">
        <v>1393</v>
      </c>
      <c r="B1394">
        <v>18343</v>
      </c>
      <c r="C1394">
        <f t="shared" si="57"/>
        <v>18608.57182972123</v>
      </c>
      <c r="D1394">
        <f t="shared" si="58"/>
        <v>0.98572852166456626</v>
      </c>
    </row>
    <row r="1395" spans="1:4">
      <c r="A1395">
        <v>1394</v>
      </c>
      <c r="B1395">
        <v>18605</v>
      </c>
      <c r="C1395">
        <f t="shared" si="57"/>
        <v>18589.88166528906</v>
      </c>
      <c r="D1395">
        <f t="shared" si="58"/>
        <v>1.0008132561026017</v>
      </c>
    </row>
    <row r="1396" spans="1:4">
      <c r="A1396">
        <v>1395</v>
      </c>
      <c r="B1396">
        <v>18474</v>
      </c>
      <c r="C1396">
        <f t="shared" si="57"/>
        <v>18571.257839644953</v>
      </c>
      <c r="D1396">
        <f t="shared" si="58"/>
        <v>0.99476299125860324</v>
      </c>
    </row>
    <row r="1397" spans="1:4">
      <c r="A1397">
        <v>1396</v>
      </c>
      <c r="B1397">
        <v>18327</v>
      </c>
      <c r="C1397">
        <f t="shared" si="57"/>
        <v>18552.700740303881</v>
      </c>
      <c r="D1397">
        <f t="shared" si="58"/>
        <v>0.98783461537685624</v>
      </c>
    </row>
    <row r="1398" spans="1:4">
      <c r="A1398">
        <v>1397</v>
      </c>
      <c r="B1398">
        <v>18181</v>
      </c>
      <c r="C1398">
        <f t="shared" si="57"/>
        <v>18534.210755344553</v>
      </c>
      <c r="D1398">
        <f t="shared" si="58"/>
        <v>0.98094276794372259</v>
      </c>
    </row>
    <row r="1399" spans="1:4">
      <c r="A1399">
        <v>1398</v>
      </c>
      <c r="B1399">
        <v>18218</v>
      </c>
      <c r="C1399">
        <f t="shared" si="57"/>
        <v>18515.788273409325</v>
      </c>
      <c r="D1399">
        <f t="shared" si="58"/>
        <v>0.98391706207631557</v>
      </c>
    </row>
    <row r="1400" spans="1:4">
      <c r="A1400">
        <v>1399</v>
      </c>
      <c r="B1400">
        <v>18352</v>
      </c>
      <c r="C1400">
        <f t="shared" si="57"/>
        <v>18497.433683704458</v>
      </c>
      <c r="D1400">
        <f t="shared" si="58"/>
        <v>0.99213762913324677</v>
      </c>
    </row>
    <row r="1401" spans="1:4">
      <c r="A1401">
        <v>1400</v>
      </c>
      <c r="B1401">
        <v>18551</v>
      </c>
      <c r="C1401">
        <f t="shared" si="57"/>
        <v>18479.147376000034</v>
      </c>
      <c r="D1401">
        <f t="shared" si="58"/>
        <v>1.0038883084017873</v>
      </c>
    </row>
    <row r="1402" spans="1:4">
      <c r="A1402">
        <v>1401</v>
      </c>
      <c r="B1402">
        <v>18668</v>
      </c>
      <c r="C1402">
        <f t="shared" si="57"/>
        <v>18460.929740629686</v>
      </c>
      <c r="D1402">
        <f t="shared" si="58"/>
        <v>1.0112166755564094</v>
      </c>
    </row>
    <row r="1403" spans="1:4">
      <c r="A1403">
        <v>1402</v>
      </c>
      <c r="B1403">
        <v>18556</v>
      </c>
      <c r="C1403">
        <f t="shared" si="57"/>
        <v>18442.781168491183</v>
      </c>
      <c r="D1403">
        <f t="shared" si="58"/>
        <v>1.0061389239765122</v>
      </c>
    </row>
    <row r="1404" spans="1:4">
      <c r="A1404">
        <v>1403</v>
      </c>
      <c r="B1404">
        <v>18559</v>
      </c>
      <c r="C1404">
        <f t="shared" si="57"/>
        <v>18424.702051045828</v>
      </c>
      <c r="D1404">
        <f t="shared" si="58"/>
        <v>1.0072890160493286</v>
      </c>
    </row>
    <row r="1405" spans="1:4">
      <c r="A1405">
        <v>1404</v>
      </c>
      <c r="B1405">
        <v>18556</v>
      </c>
      <c r="C1405">
        <f t="shared" si="57"/>
        <v>18406.692780318739</v>
      </c>
      <c r="D1405">
        <f t="shared" si="58"/>
        <v>1.008111572321178</v>
      </c>
    </row>
    <row r="1406" spans="1:4">
      <c r="A1406">
        <v>1405</v>
      </c>
      <c r="B1406">
        <v>18756</v>
      </c>
      <c r="C1406">
        <f t="shared" si="57"/>
        <v>18388.753748898907</v>
      </c>
      <c r="D1406">
        <f t="shared" si="58"/>
        <v>1.0199712419947482</v>
      </c>
    </row>
    <row r="1407" spans="1:4">
      <c r="A1407">
        <v>1406</v>
      </c>
      <c r="B1407">
        <v>19038</v>
      </c>
      <c r="C1407">
        <f t="shared" si="57"/>
        <v>18370.885349939123</v>
      </c>
      <c r="D1407">
        <f t="shared" si="58"/>
        <v>1.0363136907858983</v>
      </c>
    </row>
    <row r="1408" spans="1:4">
      <c r="A1408">
        <v>1407</v>
      </c>
      <c r="B1408">
        <v>19118</v>
      </c>
      <c r="C1408">
        <f t="shared" si="57"/>
        <v>18353.087977155814</v>
      </c>
      <c r="D1408">
        <f t="shared" si="58"/>
        <v>1.041677565311967</v>
      </c>
    </row>
    <row r="1409" spans="1:4">
      <c r="A1409">
        <v>1408</v>
      </c>
      <c r="B1409">
        <v>19362</v>
      </c>
      <c r="C1409">
        <f t="shared" si="57"/>
        <v>18335.362024829399</v>
      </c>
      <c r="D1409">
        <f t="shared" si="58"/>
        <v>1.0559922391377028</v>
      </c>
    </row>
    <row r="1410" spans="1:4">
      <c r="A1410">
        <v>1409</v>
      </c>
      <c r="B1410">
        <v>19390</v>
      </c>
      <c r="C1410">
        <f t="shared" ref="C1410:C1473" si="59" xml:space="preserve"> 0.00000002349111*A1410*A1410*A1410*A1410 - 0.0000664476*A1410*A1410*A1410 + 0.03716061*A1410*A1410 + 10.57172*A1410 + 22932.71</f>
        <v>18317.707887803848</v>
      </c>
      <c r="D1410">
        <f t="shared" ref="D1410:D1473" si="60">B1410/C1410</f>
        <v>1.0585385528999562</v>
      </c>
    </row>
    <row r="1411" spans="1:4">
      <c r="A1411">
        <v>1410</v>
      </c>
      <c r="B1411">
        <v>19410</v>
      </c>
      <c r="C1411">
        <f t="shared" si="59"/>
        <v>18300.125961487149</v>
      </c>
      <c r="D1411">
        <f t="shared" si="60"/>
        <v>1.060648437111777</v>
      </c>
    </row>
    <row r="1412" spans="1:4">
      <c r="A1412">
        <v>1411</v>
      </c>
      <c r="B1412">
        <v>19232</v>
      </c>
      <c r="C1412">
        <f t="shared" si="59"/>
        <v>18282.616641850869</v>
      </c>
      <c r="D1412">
        <f t="shared" si="60"/>
        <v>1.0519281991602827</v>
      </c>
    </row>
    <row r="1413" spans="1:4">
      <c r="A1413">
        <v>1412</v>
      </c>
      <c r="B1413">
        <v>19031</v>
      </c>
      <c r="C1413">
        <f t="shared" si="59"/>
        <v>18265.18032543048</v>
      </c>
      <c r="D1413">
        <f t="shared" si="60"/>
        <v>1.0419278463680577</v>
      </c>
    </row>
    <row r="1414" spans="1:4">
      <c r="A1414">
        <v>1413</v>
      </c>
      <c r="B1414">
        <v>19103</v>
      </c>
      <c r="C1414">
        <f t="shared" si="59"/>
        <v>18247.817409325351</v>
      </c>
      <c r="D1414">
        <f t="shared" si="60"/>
        <v>1.0468649248012323</v>
      </c>
    </row>
    <row r="1415" spans="1:4">
      <c r="A1415">
        <v>1414</v>
      </c>
      <c r="B1415">
        <v>19096</v>
      </c>
      <c r="C1415">
        <f t="shared" si="59"/>
        <v>18230.528291198392</v>
      </c>
      <c r="D1415">
        <f t="shared" si="60"/>
        <v>1.047473759124109</v>
      </c>
    </row>
    <row r="1416" spans="1:4">
      <c r="A1416">
        <v>1415</v>
      </c>
      <c r="B1416">
        <v>18845</v>
      </c>
      <c r="C1416">
        <f t="shared" si="59"/>
        <v>18213.313369276457</v>
      </c>
      <c r="D1416">
        <f t="shared" si="60"/>
        <v>1.0346826861162515</v>
      </c>
    </row>
    <row r="1417" spans="1:4">
      <c r="A1417">
        <v>1416</v>
      </c>
      <c r="B1417">
        <v>18788</v>
      </c>
      <c r="C1417">
        <f t="shared" si="59"/>
        <v>18196.17304235011</v>
      </c>
      <c r="D1417">
        <f t="shared" si="60"/>
        <v>1.0325248037745334</v>
      </c>
    </row>
    <row r="1418" spans="1:4">
      <c r="A1418">
        <v>1417</v>
      </c>
      <c r="B1418">
        <v>18724</v>
      </c>
      <c r="C1418">
        <f t="shared" si="59"/>
        <v>18179.107709773776</v>
      </c>
      <c r="D1418">
        <f t="shared" si="60"/>
        <v>1.0299735442974063</v>
      </c>
    </row>
    <row r="1419" spans="1:4">
      <c r="A1419">
        <v>1418</v>
      </c>
      <c r="B1419">
        <v>18499</v>
      </c>
      <c r="C1419">
        <f t="shared" si="59"/>
        <v>18162.117771465677</v>
      </c>
      <c r="D1419">
        <f t="shared" si="60"/>
        <v>1.0185486204182419</v>
      </c>
    </row>
    <row r="1420" spans="1:4">
      <c r="A1420">
        <v>1419</v>
      </c>
      <c r="B1420">
        <v>18647</v>
      </c>
      <c r="C1420">
        <f t="shared" si="59"/>
        <v>18145.203627907722</v>
      </c>
      <c r="D1420">
        <f t="shared" si="60"/>
        <v>1.0276544910920979</v>
      </c>
    </row>
    <row r="1421" spans="1:4">
      <c r="A1421">
        <v>1420</v>
      </c>
      <c r="B1421">
        <v>18903</v>
      </c>
      <c r="C1421">
        <f t="shared" si="59"/>
        <v>18128.365680145624</v>
      </c>
      <c r="D1421">
        <f t="shared" si="60"/>
        <v>1.0427305104895785</v>
      </c>
    </row>
    <row r="1422" spans="1:4">
      <c r="A1422">
        <v>1421</v>
      </c>
      <c r="B1422">
        <v>19284</v>
      </c>
      <c r="C1422">
        <f t="shared" si="59"/>
        <v>18111.604329788934</v>
      </c>
      <c r="D1422">
        <f t="shared" si="60"/>
        <v>1.0647317404280292</v>
      </c>
    </row>
    <row r="1423" spans="1:4">
      <c r="A1423">
        <v>1422</v>
      </c>
      <c r="B1423">
        <v>19218</v>
      </c>
      <c r="C1423">
        <f t="shared" si="59"/>
        <v>18094.919979011029</v>
      </c>
      <c r="D1423">
        <f t="shared" si="60"/>
        <v>1.0620660396559738</v>
      </c>
    </row>
    <row r="1424" spans="1:4">
      <c r="A1424">
        <v>1423</v>
      </c>
      <c r="B1424">
        <v>19252</v>
      </c>
      <c r="C1424">
        <f t="shared" si="59"/>
        <v>18078.313030549012</v>
      </c>
      <c r="D1424">
        <f t="shared" si="60"/>
        <v>1.0649223723180186</v>
      </c>
    </row>
    <row r="1425" spans="1:4">
      <c r="A1425">
        <v>1424</v>
      </c>
      <c r="B1425">
        <v>18936</v>
      </c>
      <c r="C1425">
        <f t="shared" si="59"/>
        <v>18061.783887703714</v>
      </c>
      <c r="D1425">
        <f t="shared" si="60"/>
        <v>1.0484014268873765</v>
      </c>
    </row>
    <row r="1426" spans="1:4">
      <c r="A1426">
        <v>1425</v>
      </c>
      <c r="B1426">
        <v>18712</v>
      </c>
      <c r="C1426">
        <f t="shared" si="59"/>
        <v>18045.332954339836</v>
      </c>
      <c r="D1426">
        <f t="shared" si="60"/>
        <v>1.0369440146849622</v>
      </c>
    </row>
    <row r="1427" spans="1:4">
      <c r="A1427">
        <v>1426</v>
      </c>
      <c r="B1427">
        <v>18438</v>
      </c>
      <c r="C1427">
        <f t="shared" si="59"/>
        <v>18028.960634885923</v>
      </c>
      <c r="D1427">
        <f t="shared" si="60"/>
        <v>1.0226879060528087</v>
      </c>
    </row>
    <row r="1428" spans="1:4">
      <c r="A1428">
        <v>1427</v>
      </c>
      <c r="B1428">
        <v>18210</v>
      </c>
      <c r="C1428">
        <f t="shared" si="59"/>
        <v>18012.667334334146</v>
      </c>
      <c r="D1428">
        <f t="shared" si="60"/>
        <v>1.010955216237726</v>
      </c>
    </row>
    <row r="1429" spans="1:4">
      <c r="A1429">
        <v>1428</v>
      </c>
      <c r="B1429">
        <v>18073</v>
      </c>
      <c r="C1429">
        <f t="shared" si="59"/>
        <v>17996.453458240503</v>
      </c>
      <c r="D1429">
        <f t="shared" si="60"/>
        <v>1.0042534237057938</v>
      </c>
    </row>
    <row r="1430" spans="1:4">
      <c r="A1430">
        <v>1429</v>
      </c>
      <c r="B1430">
        <v>17995</v>
      </c>
      <c r="C1430">
        <f t="shared" si="59"/>
        <v>17980.31941272501</v>
      </c>
      <c r="D1430">
        <f t="shared" si="60"/>
        <v>1.0008164808943605</v>
      </c>
    </row>
    <row r="1431" spans="1:4">
      <c r="A1431">
        <v>1430</v>
      </c>
      <c r="B1431">
        <v>18022</v>
      </c>
      <c r="C1431">
        <f t="shared" si="59"/>
        <v>17964.265604471075</v>
      </c>
      <c r="D1431">
        <f t="shared" si="60"/>
        <v>1.0032138466887595</v>
      </c>
    </row>
    <row r="1432" spans="1:4">
      <c r="A1432">
        <v>1431</v>
      </c>
      <c r="B1432">
        <v>18128</v>
      </c>
      <c r="C1432">
        <f t="shared" si="59"/>
        <v>17948.292440726254</v>
      </c>
      <c r="D1432">
        <f t="shared" si="60"/>
        <v>1.0100125156678399</v>
      </c>
    </row>
    <row r="1433" spans="1:4">
      <c r="A1433">
        <v>1432</v>
      </c>
      <c r="B1433">
        <v>18023</v>
      </c>
      <c r="C1433">
        <f t="shared" si="59"/>
        <v>17932.400329301672</v>
      </c>
      <c r="D1433">
        <f t="shared" si="60"/>
        <v>1.0050522890987599</v>
      </c>
    </row>
    <row r="1434" spans="1:4">
      <c r="A1434">
        <v>1433</v>
      </c>
      <c r="B1434">
        <v>17967</v>
      </c>
      <c r="C1434">
        <f t="shared" si="59"/>
        <v>17916.589678572251</v>
      </c>
      <c r="D1434">
        <f t="shared" si="60"/>
        <v>1.0028136114256185</v>
      </c>
    </row>
    <row r="1435" spans="1:4">
      <c r="A1435">
        <v>1434</v>
      </c>
      <c r="B1435">
        <v>17800</v>
      </c>
      <c r="C1435">
        <f t="shared" si="59"/>
        <v>17900.860897476858</v>
      </c>
      <c r="D1435">
        <f t="shared" si="60"/>
        <v>0.99436558397640673</v>
      </c>
    </row>
    <row r="1436" spans="1:4">
      <c r="A1436">
        <v>1435</v>
      </c>
      <c r="B1436">
        <v>17307</v>
      </c>
      <c r="C1436">
        <f t="shared" si="59"/>
        <v>17885.214395517956</v>
      </c>
      <c r="D1436">
        <f t="shared" si="60"/>
        <v>0.96767081552777712</v>
      </c>
    </row>
    <row r="1437" spans="1:4">
      <c r="A1437">
        <v>1436</v>
      </c>
      <c r="B1437">
        <v>17132</v>
      </c>
      <c r="C1437">
        <f t="shared" si="59"/>
        <v>17869.650582761926</v>
      </c>
      <c r="D1437">
        <f t="shared" si="60"/>
        <v>0.95872048088766182</v>
      </c>
    </row>
    <row r="1438" spans="1:4">
      <c r="A1438">
        <v>1437</v>
      </c>
      <c r="B1438">
        <v>17039</v>
      </c>
      <c r="C1438">
        <f t="shared" si="59"/>
        <v>17854.169869838843</v>
      </c>
      <c r="D1438">
        <f t="shared" si="60"/>
        <v>0.95434288595988359</v>
      </c>
    </row>
    <row r="1439" spans="1:4">
      <c r="A1439">
        <v>1438</v>
      </c>
      <c r="B1439">
        <v>17102</v>
      </c>
      <c r="C1439">
        <f t="shared" si="59"/>
        <v>17838.772667942714</v>
      </c>
      <c r="D1439">
        <f t="shared" si="60"/>
        <v>0.95869824221333699</v>
      </c>
    </row>
    <row r="1440" spans="1:4">
      <c r="A1440">
        <v>1439</v>
      </c>
      <c r="B1440">
        <v>17381</v>
      </c>
      <c r="C1440">
        <f t="shared" si="59"/>
        <v>17823.459388831128</v>
      </c>
      <c r="D1440">
        <f t="shared" si="60"/>
        <v>0.97517544831345193</v>
      </c>
    </row>
    <row r="1441" spans="1:4">
      <c r="A1441">
        <v>1440</v>
      </c>
      <c r="B1441">
        <v>17690</v>
      </c>
      <c r="C1441">
        <f t="shared" si="59"/>
        <v>17808.230444825589</v>
      </c>
      <c r="D1441">
        <f t="shared" si="60"/>
        <v>0.99336090999092264</v>
      </c>
    </row>
    <row r="1442" spans="1:4">
      <c r="A1442">
        <v>1441</v>
      </c>
      <c r="B1442">
        <v>17784</v>
      </c>
      <c r="C1442">
        <f t="shared" si="59"/>
        <v>17793.086248811458</v>
      </c>
      <c r="D1442">
        <f t="shared" si="60"/>
        <v>0.99948933823596431</v>
      </c>
    </row>
    <row r="1443" spans="1:4">
      <c r="A1443">
        <v>1442</v>
      </c>
      <c r="B1443">
        <v>17617</v>
      </c>
      <c r="C1443">
        <f t="shared" si="59"/>
        <v>17778.027214237634</v>
      </c>
      <c r="D1443">
        <f t="shared" si="60"/>
        <v>0.99094234628526867</v>
      </c>
    </row>
    <row r="1444" spans="1:4">
      <c r="A1444">
        <v>1443</v>
      </c>
      <c r="B1444">
        <v>17236</v>
      </c>
      <c r="C1444">
        <f t="shared" si="59"/>
        <v>17763.053755117064</v>
      </c>
      <c r="D1444">
        <f t="shared" si="60"/>
        <v>0.97032865168438542</v>
      </c>
    </row>
    <row r="1445" spans="1:4">
      <c r="A1445">
        <v>1444</v>
      </c>
      <c r="B1445">
        <v>17001</v>
      </c>
      <c r="C1445">
        <f t="shared" si="59"/>
        <v>17748.16628602639</v>
      </c>
      <c r="D1445">
        <f t="shared" si="60"/>
        <v>0.95790177565472479</v>
      </c>
    </row>
    <row r="1446" spans="1:4">
      <c r="A1446">
        <v>1445</v>
      </c>
      <c r="B1446">
        <v>16645</v>
      </c>
      <c r="C1446">
        <f t="shared" si="59"/>
        <v>17733.365222105938</v>
      </c>
      <c r="D1446">
        <f t="shared" si="60"/>
        <v>0.93862613167470255</v>
      </c>
    </row>
    <row r="1447" spans="1:4">
      <c r="A1447">
        <v>1446</v>
      </c>
      <c r="B1447">
        <v>16066</v>
      </c>
      <c r="C1447">
        <f t="shared" si="59"/>
        <v>17718.650979059967</v>
      </c>
      <c r="D1447">
        <f t="shared" si="60"/>
        <v>0.9067281712917602</v>
      </c>
    </row>
    <row r="1448" spans="1:4">
      <c r="A1448">
        <v>1447</v>
      </c>
      <c r="B1448">
        <v>15948</v>
      </c>
      <c r="C1448">
        <f t="shared" si="59"/>
        <v>17704.023973156516</v>
      </c>
      <c r="D1448">
        <f t="shared" si="60"/>
        <v>0.90081215570996387</v>
      </c>
    </row>
    <row r="1449" spans="1:4">
      <c r="A1449">
        <v>1448</v>
      </c>
      <c r="B1449">
        <v>15983</v>
      </c>
      <c r="C1449">
        <f t="shared" si="59"/>
        <v>17689.484621227253</v>
      </c>
      <c r="D1449">
        <f t="shared" si="60"/>
        <v>0.90353112836427785</v>
      </c>
    </row>
    <row r="1450" spans="1:4">
      <c r="A1450">
        <v>1449</v>
      </c>
      <c r="B1450">
        <v>16363</v>
      </c>
      <c r="C1450">
        <f t="shared" si="59"/>
        <v>17675.033340667789</v>
      </c>
      <c r="D1450">
        <f t="shared" si="60"/>
        <v>0.92576911650576732</v>
      </c>
    </row>
    <row r="1451" spans="1:4">
      <c r="A1451">
        <v>1450</v>
      </c>
      <c r="B1451">
        <v>16932</v>
      </c>
      <c r="C1451">
        <f t="shared" si="59"/>
        <v>17660.67054943752</v>
      </c>
      <c r="D1451">
        <f t="shared" si="60"/>
        <v>0.95874049360709424</v>
      </c>
    </row>
    <row r="1452" spans="1:4">
      <c r="A1452">
        <v>1451</v>
      </c>
      <c r="B1452">
        <v>17271</v>
      </c>
      <c r="C1452">
        <f t="shared" si="59"/>
        <v>17646.396666059482</v>
      </c>
      <c r="D1452">
        <f t="shared" si="60"/>
        <v>0.97872672403530925</v>
      </c>
    </row>
    <row r="1453" spans="1:4">
      <c r="A1453">
        <v>1452</v>
      </c>
      <c r="B1453">
        <v>17183</v>
      </c>
      <c r="C1453">
        <f t="shared" si="59"/>
        <v>17632.212109620683</v>
      </c>
      <c r="D1453">
        <f t="shared" si="60"/>
        <v>0.97452321314943924</v>
      </c>
    </row>
    <row r="1454" spans="1:4">
      <c r="A1454">
        <v>1453</v>
      </c>
      <c r="B1454">
        <v>16825</v>
      </c>
      <c r="C1454">
        <f t="shared" si="59"/>
        <v>17618.117299771773</v>
      </c>
      <c r="D1454">
        <f t="shared" si="60"/>
        <v>0.95498285734639499</v>
      </c>
    </row>
    <row r="1455" spans="1:4">
      <c r="A1455">
        <v>1454</v>
      </c>
      <c r="B1455">
        <v>16442</v>
      </c>
      <c r="C1455">
        <f t="shared" si="59"/>
        <v>17604.112656727244</v>
      </c>
      <c r="D1455">
        <f t="shared" si="60"/>
        <v>0.93398629744151551</v>
      </c>
    </row>
    <row r="1456" spans="1:4">
      <c r="A1456">
        <v>1455</v>
      </c>
      <c r="B1456">
        <v>16027</v>
      </c>
      <c r="C1456">
        <f t="shared" si="59"/>
        <v>17590.198601265489</v>
      </c>
      <c r="D1456">
        <f t="shared" si="60"/>
        <v>0.91113240750146918</v>
      </c>
    </row>
    <row r="1457" spans="1:7">
      <c r="A1457">
        <v>1456</v>
      </c>
      <c r="B1457">
        <v>15316</v>
      </c>
      <c r="C1457">
        <f t="shared" si="59"/>
        <v>17576.375554728394</v>
      </c>
      <c r="D1457">
        <f t="shared" si="60"/>
        <v>0.87139694712996107</v>
      </c>
    </row>
    <row r="1458" spans="1:7">
      <c r="A1458">
        <v>1457</v>
      </c>
      <c r="B1458">
        <v>14206</v>
      </c>
      <c r="C1458">
        <f t="shared" si="59"/>
        <v>17562.643939021924</v>
      </c>
      <c r="D1458">
        <f t="shared" si="60"/>
        <v>0.80887593287910964</v>
      </c>
    </row>
    <row r="1459" spans="1:7">
      <c r="A1459">
        <v>1458</v>
      </c>
      <c r="B1459">
        <v>12880</v>
      </c>
      <c r="C1459">
        <f t="shared" si="59"/>
        <v>17549.004176615737</v>
      </c>
      <c r="D1459">
        <f t="shared" si="60"/>
        <v>0.7339447794515177</v>
      </c>
    </row>
    <row r="1460" spans="1:7">
      <c r="A1460">
        <v>1459</v>
      </c>
      <c r="B1460">
        <v>11410</v>
      </c>
      <c r="C1460">
        <f t="shared" si="59"/>
        <v>17535.456690543193</v>
      </c>
      <c r="D1460">
        <f t="shared" si="60"/>
        <v>0.65068165610727269</v>
      </c>
    </row>
    <row r="1461" spans="1:7" ht="17.25">
      <c r="A1461">
        <v>1460</v>
      </c>
      <c r="B1461">
        <v>10480</v>
      </c>
      <c r="C1461">
        <f t="shared" si="59"/>
        <v>17522.001904401593</v>
      </c>
      <c r="D1461">
        <f t="shared" si="60"/>
        <v>0.59810517412210673</v>
      </c>
      <c r="F1461">
        <v>1460.5</v>
      </c>
      <c r="G1461" t="s">
        <v>105</v>
      </c>
    </row>
    <row r="1462" spans="1:7" ht="17.25">
      <c r="A1462">
        <v>1461</v>
      </c>
      <c r="B1462">
        <v>10517</v>
      </c>
      <c r="C1462">
        <f t="shared" si="59"/>
        <v>17508.640242351867</v>
      </c>
      <c r="D1462">
        <f t="shared" si="60"/>
        <v>0.6006748584941678</v>
      </c>
      <c r="F1462">
        <v>1460.5</v>
      </c>
      <c r="G1462" t="s">
        <v>106</v>
      </c>
    </row>
    <row r="1463" spans="1:7">
      <c r="A1463">
        <v>1462</v>
      </c>
      <c r="B1463">
        <v>11219</v>
      </c>
      <c r="C1463">
        <f t="shared" si="59"/>
        <v>17495.372129118798</v>
      </c>
      <c r="D1463">
        <f t="shared" si="60"/>
        <v>0.64125529409731252</v>
      </c>
    </row>
    <row r="1464" spans="1:7">
      <c r="A1464">
        <v>1463</v>
      </c>
      <c r="B1464">
        <v>12715</v>
      </c>
      <c r="C1464">
        <f t="shared" si="59"/>
        <v>17482.197989991044</v>
      </c>
      <c r="D1464">
        <f t="shared" si="60"/>
        <v>0.72731129159386176</v>
      </c>
    </row>
    <row r="1465" spans="1:7">
      <c r="A1465">
        <v>1464</v>
      </c>
      <c r="B1465">
        <v>14523</v>
      </c>
      <c r="C1465">
        <f t="shared" si="59"/>
        <v>17469.118250820844</v>
      </c>
      <c r="D1465">
        <f t="shared" si="60"/>
        <v>0.83135277874242963</v>
      </c>
    </row>
    <row r="1466" spans="1:7">
      <c r="A1466">
        <v>1465</v>
      </c>
      <c r="B1466">
        <v>15905</v>
      </c>
      <c r="C1466">
        <f t="shared" si="59"/>
        <v>17456.13333802444</v>
      </c>
      <c r="D1466">
        <f t="shared" si="60"/>
        <v>0.91114106956059804</v>
      </c>
    </row>
    <row r="1467" spans="1:7">
      <c r="A1467">
        <v>1466</v>
      </c>
      <c r="B1467">
        <v>16690</v>
      </c>
      <c r="C1467">
        <f t="shared" si="59"/>
        <v>17443.243678581697</v>
      </c>
      <c r="D1467">
        <f t="shared" si="60"/>
        <v>0.95681745365361182</v>
      </c>
    </row>
    <row r="1468" spans="1:7">
      <c r="A1468">
        <v>1467</v>
      </c>
      <c r="B1468">
        <v>17208</v>
      </c>
      <c r="C1468">
        <f t="shared" si="59"/>
        <v>17430.449700036428</v>
      </c>
      <c r="D1468">
        <f t="shared" si="60"/>
        <v>0.98723786799166957</v>
      </c>
    </row>
    <row r="1469" spans="1:7">
      <c r="A1469">
        <v>1468</v>
      </c>
      <c r="B1469">
        <v>17258</v>
      </c>
      <c r="C1469">
        <f t="shared" si="59"/>
        <v>17417.751830496069</v>
      </c>
      <c r="D1469">
        <f t="shared" si="60"/>
        <v>0.99082821755352113</v>
      </c>
    </row>
    <row r="1470" spans="1:7">
      <c r="A1470">
        <v>1469</v>
      </c>
      <c r="B1470">
        <v>17101</v>
      </c>
      <c r="C1470">
        <f t="shared" si="59"/>
        <v>17405.150498631898</v>
      </c>
      <c r="D1470">
        <f t="shared" si="60"/>
        <v>0.98252525890794196</v>
      </c>
    </row>
    <row r="1471" spans="1:7">
      <c r="A1471">
        <v>1470</v>
      </c>
      <c r="B1471">
        <v>16798</v>
      </c>
      <c r="C1471">
        <f t="shared" si="59"/>
        <v>17392.646133679111</v>
      </c>
      <c r="D1471">
        <f t="shared" si="60"/>
        <v>0.96581048512637546</v>
      </c>
    </row>
    <row r="1472" spans="1:7">
      <c r="A1472">
        <v>1471</v>
      </c>
      <c r="B1472">
        <v>16450</v>
      </c>
      <c r="C1472">
        <f t="shared" si="59"/>
        <v>17380.239165436455</v>
      </c>
      <c r="D1472">
        <f t="shared" si="60"/>
        <v>0.9464771942099397</v>
      </c>
    </row>
    <row r="1473" spans="1:4">
      <c r="A1473">
        <v>1472</v>
      </c>
      <c r="B1473">
        <v>16257</v>
      </c>
      <c r="C1473">
        <f t="shared" si="59"/>
        <v>17367.930024266592</v>
      </c>
      <c r="D1473">
        <f t="shared" si="60"/>
        <v>0.93603555387922488</v>
      </c>
    </row>
    <row r="1474" spans="1:4">
      <c r="A1474">
        <v>1473</v>
      </c>
      <c r="B1474">
        <v>16058</v>
      </c>
      <c r="C1474">
        <f t="shared" ref="C1474:C1530" si="61" xml:space="preserve"> 0.00000002349111*A1474*A1474*A1474*A1474 - 0.0000664476*A1474*A1474*A1474 + 0.03716061*A1474*A1474 + 10.57172*A1474 + 22932.71</f>
        <v>17355.719141096044</v>
      </c>
      <c r="D1474">
        <f t="shared" ref="D1474:D1530" si="62">B1474/C1474</f>
        <v>0.92522815502221301</v>
      </c>
    </row>
    <row r="1475" spans="1:4">
      <c r="A1475">
        <v>1474</v>
      </c>
      <c r="B1475">
        <v>16087</v>
      </c>
      <c r="C1475">
        <f t="shared" si="61"/>
        <v>17343.606947414926</v>
      </c>
      <c r="D1475">
        <f t="shared" si="62"/>
        <v>0.92754638921275689</v>
      </c>
    </row>
    <row r="1476" spans="1:4">
      <c r="A1476">
        <v>1475</v>
      </c>
      <c r="B1476">
        <v>16414</v>
      </c>
      <c r="C1476">
        <f t="shared" si="61"/>
        <v>17331.593875277344</v>
      </c>
      <c r="D1476">
        <f t="shared" si="62"/>
        <v>0.94705657876127336</v>
      </c>
    </row>
    <row r="1477" spans="1:4">
      <c r="A1477">
        <v>1476</v>
      </c>
      <c r="B1477">
        <v>16648</v>
      </c>
      <c r="C1477">
        <f t="shared" si="61"/>
        <v>17319.680357301069</v>
      </c>
      <c r="D1477">
        <f t="shared" si="62"/>
        <v>0.96121866319444371</v>
      </c>
    </row>
    <row r="1478" spans="1:4">
      <c r="A1478">
        <v>1477</v>
      </c>
      <c r="B1478">
        <v>17024</v>
      </c>
      <c r="C1478">
        <f t="shared" si="61"/>
        <v>17307.866826667676</v>
      </c>
      <c r="D1478">
        <f t="shared" si="62"/>
        <v>0.98359897094711302</v>
      </c>
    </row>
    <row r="1479" spans="1:4">
      <c r="A1479">
        <v>1478</v>
      </c>
      <c r="B1479">
        <v>17295</v>
      </c>
      <c r="C1479">
        <f t="shared" si="61"/>
        <v>17296.153717122579</v>
      </c>
      <c r="D1479">
        <f t="shared" si="62"/>
        <v>0.99993329631885519</v>
      </c>
    </row>
    <row r="1480" spans="1:4">
      <c r="A1480">
        <v>1479</v>
      </c>
      <c r="B1480">
        <v>17525</v>
      </c>
      <c r="C1480">
        <f t="shared" si="61"/>
        <v>17284.541462974892</v>
      </c>
      <c r="D1480">
        <f t="shared" si="62"/>
        <v>1.0139117683590388</v>
      </c>
    </row>
    <row r="1481" spans="1:4">
      <c r="A1481">
        <v>1480</v>
      </c>
      <c r="B1481">
        <v>17491</v>
      </c>
      <c r="C1481">
        <f t="shared" si="61"/>
        <v>17273.0304990976</v>
      </c>
      <c r="D1481">
        <f t="shared" si="62"/>
        <v>1.0126190653639955</v>
      </c>
    </row>
    <row r="1482" spans="1:4">
      <c r="A1482">
        <v>1481</v>
      </c>
      <c r="B1482">
        <v>17284</v>
      </c>
      <c r="C1482">
        <f t="shared" si="61"/>
        <v>17261.621260927401</v>
      </c>
      <c r="D1482">
        <f t="shared" si="62"/>
        <v>1.0012964447970629</v>
      </c>
    </row>
    <row r="1483" spans="1:4">
      <c r="A1483">
        <v>1482</v>
      </c>
      <c r="B1483">
        <v>17054</v>
      </c>
      <c r="C1483">
        <f t="shared" si="61"/>
        <v>17250.314184464834</v>
      </c>
      <c r="D1483">
        <f t="shared" si="62"/>
        <v>0.98861967484385704</v>
      </c>
    </row>
    <row r="1484" spans="1:4">
      <c r="A1484">
        <v>1483</v>
      </c>
      <c r="B1484">
        <v>16807</v>
      </c>
      <c r="C1484">
        <f t="shared" si="61"/>
        <v>17239.109706274186</v>
      </c>
      <c r="D1484">
        <f t="shared" si="62"/>
        <v>0.97493433746657343</v>
      </c>
    </row>
    <row r="1485" spans="1:4">
      <c r="A1485">
        <v>1484</v>
      </c>
      <c r="B1485">
        <v>16684</v>
      </c>
      <c r="C1485">
        <f t="shared" si="61"/>
        <v>17228.008263483618</v>
      </c>
      <c r="D1485">
        <f t="shared" si="62"/>
        <v>0.96842303212515313</v>
      </c>
    </row>
    <row r="1486" spans="1:4">
      <c r="A1486">
        <v>1485</v>
      </c>
      <c r="B1486">
        <v>16487</v>
      </c>
      <c r="C1486">
        <f t="shared" si="61"/>
        <v>17217.010293784926</v>
      </c>
      <c r="D1486">
        <f t="shared" si="62"/>
        <v>0.95759947393140332</v>
      </c>
    </row>
    <row r="1487" spans="1:4">
      <c r="A1487">
        <v>1486</v>
      </c>
      <c r="B1487">
        <v>16304</v>
      </c>
      <c r="C1487">
        <f t="shared" si="61"/>
        <v>17206.116235433863</v>
      </c>
      <c r="D1487">
        <f t="shared" si="62"/>
        <v>0.94757002550197433</v>
      </c>
    </row>
    <row r="1488" spans="1:4">
      <c r="A1488">
        <v>1487</v>
      </c>
      <c r="B1488">
        <v>15912</v>
      </c>
      <c r="C1488">
        <f t="shared" si="61"/>
        <v>17195.326527249792</v>
      </c>
      <c r="D1488">
        <f t="shared" si="62"/>
        <v>0.92536771399972673</v>
      </c>
    </row>
    <row r="1489" spans="1:4">
      <c r="A1489">
        <v>1488</v>
      </c>
      <c r="B1489">
        <v>15707</v>
      </c>
      <c r="C1489">
        <f t="shared" si="61"/>
        <v>17184.641608615977</v>
      </c>
      <c r="D1489">
        <f t="shared" si="62"/>
        <v>0.91401382453765445</v>
      </c>
    </row>
    <row r="1490" spans="1:4">
      <c r="A1490">
        <v>1489</v>
      </c>
      <c r="B1490">
        <v>15749</v>
      </c>
      <c r="C1490">
        <f t="shared" si="61"/>
        <v>17174.061919479525</v>
      </c>
      <c r="D1490">
        <f t="shared" si="62"/>
        <v>0.91702243032772801</v>
      </c>
    </row>
    <row r="1491" spans="1:4">
      <c r="A1491">
        <v>1490</v>
      </c>
      <c r="B1491">
        <v>16315</v>
      </c>
      <c r="C1491">
        <f t="shared" si="61"/>
        <v>17163.587900351096</v>
      </c>
      <c r="D1491">
        <f t="shared" si="62"/>
        <v>0.95055882806800918</v>
      </c>
    </row>
    <row r="1492" spans="1:4">
      <c r="A1492">
        <v>1491</v>
      </c>
      <c r="B1492">
        <v>16842</v>
      </c>
      <c r="C1492">
        <f t="shared" si="61"/>
        <v>17153.219992305396</v>
      </c>
      <c r="D1492">
        <f t="shared" si="62"/>
        <v>0.98185646820567785</v>
      </c>
    </row>
    <row r="1493" spans="1:4">
      <c r="A1493">
        <v>1492</v>
      </c>
      <c r="B1493">
        <v>17188</v>
      </c>
      <c r="C1493">
        <f t="shared" si="61"/>
        <v>17142.958636980886</v>
      </c>
      <c r="D1493">
        <f t="shared" si="62"/>
        <v>1.0026273972873008</v>
      </c>
    </row>
    <row r="1494" spans="1:4">
      <c r="A1494">
        <v>1493</v>
      </c>
      <c r="B1494">
        <v>17082</v>
      </c>
      <c r="C1494">
        <f t="shared" si="61"/>
        <v>17132.80427657958</v>
      </c>
      <c r="D1494">
        <f t="shared" si="62"/>
        <v>0.99703467828386805</v>
      </c>
    </row>
    <row r="1495" spans="1:4">
      <c r="A1495">
        <v>1494</v>
      </c>
      <c r="B1495">
        <v>16799</v>
      </c>
      <c r="C1495">
        <f t="shared" si="61"/>
        <v>17122.757353867539</v>
      </c>
      <c r="D1495">
        <f t="shared" si="62"/>
        <v>0.98109198494280991</v>
      </c>
    </row>
    <row r="1496" spans="1:4">
      <c r="A1496">
        <v>1495</v>
      </c>
      <c r="B1496">
        <v>16505</v>
      </c>
      <c r="C1496">
        <f t="shared" si="61"/>
        <v>17112.818312174448</v>
      </c>
      <c r="D1496">
        <f t="shared" si="62"/>
        <v>0.96448169430151476</v>
      </c>
    </row>
    <row r="1497" spans="1:4">
      <c r="A1497">
        <v>1496</v>
      </c>
      <c r="B1497">
        <v>16388</v>
      </c>
      <c r="C1497">
        <f t="shared" si="61"/>
        <v>17102.987595393894</v>
      </c>
      <c r="D1497">
        <f t="shared" si="62"/>
        <v>0.95819516377440095</v>
      </c>
    </row>
    <row r="1498" spans="1:4">
      <c r="A1498">
        <v>1497</v>
      </c>
      <c r="B1498">
        <v>16365</v>
      </c>
      <c r="C1498">
        <f t="shared" si="61"/>
        <v>17093.265647983175</v>
      </c>
      <c r="D1498">
        <f t="shared" si="62"/>
        <v>0.95739458667635569</v>
      </c>
    </row>
    <row r="1499" spans="1:4">
      <c r="A1499">
        <v>1498</v>
      </c>
      <c r="B1499">
        <v>16636</v>
      </c>
      <c r="C1499">
        <f t="shared" si="61"/>
        <v>17083.652914963375</v>
      </c>
      <c r="D1499">
        <f t="shared" si="62"/>
        <v>0.97379641712509379</v>
      </c>
    </row>
    <row r="1500" spans="1:4">
      <c r="A1500">
        <v>1499</v>
      </c>
      <c r="B1500">
        <v>16944</v>
      </c>
      <c r="C1500">
        <f t="shared" si="61"/>
        <v>17074.149841919392</v>
      </c>
      <c r="D1500">
        <f t="shared" si="62"/>
        <v>0.9923773749718503</v>
      </c>
    </row>
    <row r="1501" spans="1:4">
      <c r="A1501">
        <v>1500</v>
      </c>
      <c r="B1501">
        <v>17150</v>
      </c>
      <c r="C1501">
        <f t="shared" si="61"/>
        <v>17064.756875000025</v>
      </c>
      <c r="D1501">
        <f t="shared" si="62"/>
        <v>1.0049952733358221</v>
      </c>
    </row>
    <row r="1502" spans="1:4">
      <c r="A1502">
        <v>1501</v>
      </c>
      <c r="B1502">
        <v>16883</v>
      </c>
      <c r="C1502">
        <f t="shared" si="61"/>
        <v>17055.474460917536</v>
      </c>
      <c r="D1502">
        <f t="shared" si="62"/>
        <v>0.98988744280830421</v>
      </c>
    </row>
    <row r="1503" spans="1:4">
      <c r="A1503">
        <v>1502</v>
      </c>
      <c r="B1503">
        <v>16660</v>
      </c>
      <c r="C1503">
        <f t="shared" si="61"/>
        <v>17046.303046948338</v>
      </c>
      <c r="D1503">
        <f t="shared" si="62"/>
        <v>0.97733801599769776</v>
      </c>
    </row>
    <row r="1504" spans="1:4">
      <c r="A1504">
        <v>1503</v>
      </c>
      <c r="B1504">
        <v>16372</v>
      </c>
      <c r="C1504">
        <f t="shared" si="61"/>
        <v>17037.243080932381</v>
      </c>
      <c r="D1504">
        <f t="shared" si="62"/>
        <v>0.96095359573305006</v>
      </c>
    </row>
    <row r="1505" spans="1:7">
      <c r="A1505">
        <v>1504</v>
      </c>
      <c r="B1505">
        <v>16207</v>
      </c>
      <c r="C1505">
        <f t="shared" si="61"/>
        <v>17028.295011273574</v>
      </c>
      <c r="D1505">
        <f t="shared" si="62"/>
        <v>0.9517688053484018</v>
      </c>
    </row>
    <row r="1506" spans="1:7">
      <c r="A1506">
        <v>1505</v>
      </c>
      <c r="B1506">
        <v>16318</v>
      </c>
      <c r="C1506">
        <f t="shared" si="61"/>
        <v>17019.459286939455</v>
      </c>
      <c r="D1506">
        <f t="shared" si="62"/>
        <v>0.95878486648058514</v>
      </c>
    </row>
    <row r="1507" spans="1:7">
      <c r="A1507">
        <v>1506</v>
      </c>
      <c r="B1507">
        <v>16498</v>
      </c>
      <c r="C1507">
        <f t="shared" si="61"/>
        <v>17010.736357461465</v>
      </c>
      <c r="D1507">
        <f t="shared" si="62"/>
        <v>0.96985807394301526</v>
      </c>
    </row>
    <row r="1508" spans="1:7">
      <c r="A1508">
        <v>1507</v>
      </c>
      <c r="B1508">
        <v>16639</v>
      </c>
      <c r="C1508">
        <f t="shared" si="61"/>
        <v>17002.126672934697</v>
      </c>
      <c r="D1508">
        <f t="shared" si="62"/>
        <v>0.97864227929128711</v>
      </c>
    </row>
    <row r="1509" spans="1:7">
      <c r="A1509">
        <v>1508</v>
      </c>
      <c r="B1509">
        <v>16670</v>
      </c>
      <c r="C1509">
        <f t="shared" si="61"/>
        <v>16993.630684018317</v>
      </c>
      <c r="D1509">
        <f t="shared" si="62"/>
        <v>0.98095576571976018</v>
      </c>
    </row>
    <row r="1510" spans="1:7">
      <c r="A1510">
        <v>1509</v>
      </c>
      <c r="B1510">
        <v>16829</v>
      </c>
      <c r="C1510">
        <f t="shared" si="61"/>
        <v>16985.24884193491</v>
      </c>
      <c r="D1510">
        <f t="shared" si="62"/>
        <v>0.99080090946038146</v>
      </c>
    </row>
    <row r="1511" spans="1:7">
      <c r="A1511">
        <v>1510</v>
      </c>
      <c r="B1511">
        <v>16563</v>
      </c>
      <c r="C1511">
        <f t="shared" si="61"/>
        <v>16976.981598471153</v>
      </c>
      <c r="D1511">
        <f t="shared" si="62"/>
        <v>0.9756151235677587</v>
      </c>
    </row>
    <row r="1512" spans="1:7">
      <c r="A1512">
        <v>1511</v>
      </c>
      <c r="B1512">
        <v>16188</v>
      </c>
      <c r="C1512">
        <f t="shared" si="61"/>
        <v>16968.829405977216</v>
      </c>
      <c r="D1512">
        <f t="shared" si="62"/>
        <v>0.95398448606583486</v>
      </c>
    </row>
    <row r="1513" spans="1:7">
      <c r="A1513">
        <v>1512</v>
      </c>
      <c r="B1513">
        <v>15120</v>
      </c>
      <c r="C1513">
        <f t="shared" si="61"/>
        <v>16960.792717367331</v>
      </c>
      <c r="D1513">
        <f t="shared" si="62"/>
        <v>0.89146776639263947</v>
      </c>
    </row>
    <row r="1514" spans="1:7">
      <c r="A1514">
        <v>1513</v>
      </c>
      <c r="B1514">
        <v>13951</v>
      </c>
      <c r="C1514">
        <f t="shared" si="61"/>
        <v>16952.87198611944</v>
      </c>
      <c r="D1514">
        <f t="shared" si="62"/>
        <v>0.82292841068007283</v>
      </c>
    </row>
    <row r="1515" spans="1:7">
      <c r="A1515">
        <v>1514</v>
      </c>
      <c r="B1515">
        <v>12796</v>
      </c>
      <c r="C1515">
        <f t="shared" si="61"/>
        <v>16945.067666275143</v>
      </c>
      <c r="D1515">
        <f t="shared" si="62"/>
        <v>0.75514599599193044</v>
      </c>
    </row>
    <row r="1516" spans="1:7" ht="17.25">
      <c r="A1516">
        <v>1515</v>
      </c>
      <c r="B1516">
        <v>12121</v>
      </c>
      <c r="C1516">
        <f t="shared" si="61"/>
        <v>16937.380212439937</v>
      </c>
      <c r="D1516">
        <f t="shared" si="62"/>
        <v>0.71563605752308335</v>
      </c>
      <c r="F1516">
        <v>1515</v>
      </c>
      <c r="G1516" t="s">
        <v>107</v>
      </c>
    </row>
    <row r="1517" spans="1:7" ht="17.25">
      <c r="A1517">
        <v>1516</v>
      </c>
      <c r="B1517">
        <v>12708</v>
      </c>
      <c r="C1517">
        <f t="shared" si="61"/>
        <v>16929.810079783136</v>
      </c>
      <c r="D1517">
        <f t="shared" si="62"/>
        <v>0.75062862135561448</v>
      </c>
      <c r="F1517">
        <v>1515</v>
      </c>
      <c r="G1517" t="s">
        <v>108</v>
      </c>
    </row>
    <row r="1518" spans="1:7">
      <c r="A1518">
        <v>1517</v>
      </c>
      <c r="B1518">
        <v>13723</v>
      </c>
      <c r="C1518">
        <f t="shared" si="61"/>
        <v>16922.357724037764</v>
      </c>
      <c r="D1518">
        <f t="shared" si="62"/>
        <v>0.81093900884194403</v>
      </c>
    </row>
    <row r="1519" spans="1:7">
      <c r="A1519">
        <v>1518</v>
      </c>
      <c r="B1519">
        <v>15007</v>
      </c>
      <c r="C1519">
        <f t="shared" si="61"/>
        <v>16915.023601500703</v>
      </c>
      <c r="D1519">
        <f t="shared" si="62"/>
        <v>0.88719947152001477</v>
      </c>
    </row>
    <row r="1520" spans="1:7">
      <c r="A1520">
        <v>1519</v>
      </c>
      <c r="B1520">
        <v>15880</v>
      </c>
      <c r="C1520">
        <f t="shared" si="61"/>
        <v>16907.808169032476</v>
      </c>
      <c r="D1520">
        <f t="shared" si="62"/>
        <v>0.93921103440746623</v>
      </c>
    </row>
    <row r="1521" spans="1:4">
      <c r="A1521">
        <v>1520</v>
      </c>
      <c r="B1521">
        <v>16596</v>
      </c>
      <c r="C1521">
        <f t="shared" si="61"/>
        <v>16900.711884057593</v>
      </c>
      <c r="D1521">
        <f t="shared" si="62"/>
        <v>0.98197047046609753</v>
      </c>
    </row>
    <row r="1522" spans="1:4">
      <c r="A1522">
        <v>1521</v>
      </c>
      <c r="B1522">
        <v>16818</v>
      </c>
      <c r="C1522">
        <f t="shared" si="61"/>
        <v>16893.735204564262</v>
      </c>
      <c r="D1522">
        <f t="shared" si="62"/>
        <v>0.9955169650969905</v>
      </c>
    </row>
    <row r="1523" spans="1:4">
      <c r="A1523">
        <v>1522</v>
      </c>
      <c r="B1523">
        <v>17038</v>
      </c>
      <c r="C1523">
        <f t="shared" si="61"/>
        <v>16886.878589104388</v>
      </c>
      <c r="D1523">
        <f t="shared" si="62"/>
        <v>1.0089490434894888</v>
      </c>
    </row>
    <row r="1524" spans="1:4">
      <c r="A1524">
        <v>1523</v>
      </c>
      <c r="B1524">
        <v>16959</v>
      </c>
      <c r="C1524">
        <f t="shared" si="61"/>
        <v>16880.142496793735</v>
      </c>
      <c r="D1524">
        <f t="shared" si="62"/>
        <v>1.0046716135969376</v>
      </c>
    </row>
    <row r="1525" spans="1:4">
      <c r="A1525">
        <v>1524</v>
      </c>
      <c r="B1525">
        <v>16775</v>
      </c>
      <c r="C1525">
        <f t="shared" si="61"/>
        <v>16873.527387311922</v>
      </c>
      <c r="D1525">
        <f t="shared" si="62"/>
        <v>0.99416083045054293</v>
      </c>
    </row>
    <row r="1526" spans="1:4">
      <c r="A1526">
        <v>1525</v>
      </c>
      <c r="B1526">
        <v>16624</v>
      </c>
      <c r="C1526">
        <f t="shared" si="61"/>
        <v>16867.033720902327</v>
      </c>
      <c r="D1526">
        <f t="shared" si="62"/>
        <v>0.98559119967839104</v>
      </c>
    </row>
    <row r="1527" spans="1:4">
      <c r="A1527">
        <v>1526</v>
      </c>
      <c r="B1527">
        <v>16179</v>
      </c>
      <c r="C1527">
        <f t="shared" si="61"/>
        <v>16860.661958372038</v>
      </c>
      <c r="D1527">
        <f t="shared" si="62"/>
        <v>0.95957086619404264</v>
      </c>
    </row>
    <row r="1528" spans="1:4">
      <c r="A1528">
        <v>1527</v>
      </c>
      <c r="B1528">
        <v>16125</v>
      </c>
      <c r="C1528">
        <f t="shared" si="61"/>
        <v>16854.412561091929</v>
      </c>
      <c r="D1528">
        <f t="shared" si="62"/>
        <v>0.95672275385166716</v>
      </c>
    </row>
    <row r="1529" spans="1:4">
      <c r="A1529">
        <v>1528</v>
      </c>
      <c r="B1529">
        <v>16596</v>
      </c>
      <c r="C1529">
        <f t="shared" si="61"/>
        <v>16848.285990996832</v>
      </c>
      <c r="D1529">
        <f t="shared" si="62"/>
        <v>0.98502601444849369</v>
      </c>
    </row>
    <row r="1530" spans="1:4">
      <c r="A1530">
        <v>1529</v>
      </c>
      <c r="B1530">
        <v>16845</v>
      </c>
      <c r="C1530">
        <f t="shared" si="61"/>
        <v>16842.282710585132</v>
      </c>
      <c r="D1530">
        <f t="shared" si="62"/>
        <v>1.0001613373591669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001B3-2EF8-46B4-A7A3-EA21266FC7B1}">
  <dimension ref="A1:V34"/>
  <sheetViews>
    <sheetView topLeftCell="G1" workbookViewId="0">
      <selection activeCell="P2" sqref="P2"/>
    </sheetView>
  </sheetViews>
  <sheetFormatPr baseColWidth="10" defaultRowHeight="15"/>
  <cols>
    <col min="13" max="13" width="12.85546875" bestFit="1" customWidth="1"/>
    <col min="18" max="18" width="12.85546875" bestFit="1" customWidth="1"/>
  </cols>
  <sheetData>
    <row r="1" spans="1:22">
      <c r="J1" s="6">
        <v>46235</v>
      </c>
    </row>
    <row r="2" spans="1:22">
      <c r="J2" s="3" t="s">
        <v>145</v>
      </c>
      <c r="M2" s="12">
        <v>45541</v>
      </c>
      <c r="R2" s="12">
        <v>45541</v>
      </c>
    </row>
    <row r="3" spans="1:22">
      <c r="C3" s="12">
        <v>45541</v>
      </c>
      <c r="E3" s="12">
        <v>45530</v>
      </c>
      <c r="G3" t="s">
        <v>144</v>
      </c>
      <c r="J3" s="3" t="s">
        <v>146</v>
      </c>
      <c r="M3" t="s">
        <v>183</v>
      </c>
      <c r="R3" t="s">
        <v>183</v>
      </c>
    </row>
    <row r="4" spans="1:22">
      <c r="E4" t="s">
        <v>148</v>
      </c>
      <c r="J4" s="3" t="s">
        <v>147</v>
      </c>
      <c r="K4" t="s">
        <v>144</v>
      </c>
      <c r="M4" t="s">
        <v>184</v>
      </c>
      <c r="N4" t="s">
        <v>144</v>
      </c>
      <c r="R4" t="s">
        <v>187</v>
      </c>
      <c r="S4" t="s">
        <v>144</v>
      </c>
    </row>
    <row r="6" spans="1:22">
      <c r="A6">
        <v>6493.7809999999999</v>
      </c>
      <c r="C6">
        <v>29.863295117116273</v>
      </c>
      <c r="E6">
        <v>31.3087741050877</v>
      </c>
      <c r="G6">
        <f>C6-E6</f>
        <v>-1.4454789879714269</v>
      </c>
      <c r="J6">
        <v>31.225641975840546</v>
      </c>
      <c r="K6">
        <f>C6-J6</f>
        <v>-1.3623468587242726</v>
      </c>
      <c r="M6">
        <v>30.328075151442313</v>
      </c>
      <c r="N6">
        <f>J6-M6</f>
        <v>0.89756682439823265</v>
      </c>
      <c r="O6" s="1" t="s">
        <v>185</v>
      </c>
      <c r="P6" s="1">
        <f>AVERAGE(N6:N32)</f>
        <v>0.3255027127297288</v>
      </c>
      <c r="Q6" s="1"/>
      <c r="R6">
        <v>31.67695253123437</v>
      </c>
      <c r="S6">
        <f>J6-R6</f>
        <v>-0.45131055539382459</v>
      </c>
      <c r="T6" s="5" t="s">
        <v>185</v>
      </c>
      <c r="U6" s="5">
        <f>AVERAGE(S6:S32)</f>
        <v>0.1136625435129959</v>
      </c>
      <c r="V6" s="5"/>
    </row>
    <row r="7" spans="1:22">
      <c r="A7">
        <v>6494.98</v>
      </c>
      <c r="C7">
        <v>33.004074282461104</v>
      </c>
      <c r="E7">
        <v>31.896841775114204</v>
      </c>
      <c r="G7">
        <f t="shared" ref="G7:G32" si="0">C7-E7</f>
        <v>1.1072325073469003</v>
      </c>
      <c r="J7">
        <v>32.002887410187419</v>
      </c>
      <c r="K7">
        <f t="shared" ref="K7:K32" si="1">C7-J7</f>
        <v>1.001186872273685</v>
      </c>
      <c r="M7">
        <v>33.486354047185252</v>
      </c>
      <c r="O7" s="1" t="s">
        <v>186</v>
      </c>
      <c r="P7" s="1">
        <f>STDEV(N6:N32)/SQRT(25)</f>
        <v>9.5340685117722729E-2</v>
      </c>
      <c r="Q7" s="1"/>
      <c r="R7">
        <v>33.168332767008479</v>
      </c>
      <c r="S7">
        <f t="shared" ref="S7:S32" si="2">J7-R7</f>
        <v>-1.1654453568210599</v>
      </c>
      <c r="T7" s="5" t="s">
        <v>186</v>
      </c>
      <c r="U7" s="5">
        <f>STDEV(S6:S32)/SQRT(25)</f>
        <v>0.14401383277030039</v>
      </c>
      <c r="V7" s="5"/>
    </row>
    <row r="8" spans="1:22">
      <c r="A8">
        <v>6496.8990000000003</v>
      </c>
      <c r="B8" t="s">
        <v>114</v>
      </c>
      <c r="C8">
        <v>28.832674728951346</v>
      </c>
      <c r="E8">
        <v>28.49571602820955</v>
      </c>
      <c r="G8">
        <f t="shared" si="0"/>
        <v>0.33695870074179624</v>
      </c>
      <c r="J8">
        <v>28.808090657905794</v>
      </c>
      <c r="K8">
        <f t="shared" si="1"/>
        <v>2.4584071045552491E-2</v>
      </c>
      <c r="M8">
        <v>29.32811980285166</v>
      </c>
      <c r="N8">
        <f t="shared" ref="N8:N32" si="3">J8-M8</f>
        <v>-0.52002914494586605</v>
      </c>
      <c r="O8" s="1"/>
      <c r="P8" s="1"/>
      <c r="Q8" s="1"/>
      <c r="R8">
        <v>29.476419575846791</v>
      </c>
      <c r="S8">
        <f t="shared" si="2"/>
        <v>-0.6683289179409968</v>
      </c>
      <c r="T8" s="5"/>
      <c r="U8" s="5"/>
      <c r="V8" s="5"/>
    </row>
    <row r="9" spans="1:22">
      <c r="A9">
        <v>6498.9378999999999</v>
      </c>
      <c r="C9">
        <v>29.187140431141678</v>
      </c>
      <c r="E9">
        <v>29.008146763653819</v>
      </c>
      <c r="G9">
        <f t="shared" si="0"/>
        <v>0.17899366748785894</v>
      </c>
      <c r="J9">
        <v>29.45253544464066</v>
      </c>
      <c r="K9">
        <f t="shared" si="1"/>
        <v>-0.26539501349898131</v>
      </c>
      <c r="M9">
        <v>29.681818660121095</v>
      </c>
      <c r="N9">
        <f t="shared" si="3"/>
        <v>-0.22928321548043584</v>
      </c>
      <c r="O9" s="1" t="s">
        <v>189</v>
      </c>
      <c r="P9" s="1"/>
      <c r="Q9" s="1"/>
      <c r="R9">
        <v>30.013602596312694</v>
      </c>
      <c r="S9">
        <f t="shared" si="2"/>
        <v>-0.56106715167203447</v>
      </c>
      <c r="T9" s="5" t="s">
        <v>188</v>
      </c>
      <c r="U9" s="5"/>
      <c r="V9" s="5"/>
    </row>
    <row r="10" spans="1:22">
      <c r="A10">
        <v>6504.1652999999997</v>
      </c>
      <c r="C10">
        <v>28.560387729736902</v>
      </c>
      <c r="E10">
        <v>28.990421468355621</v>
      </c>
      <c r="G10">
        <f t="shared" si="0"/>
        <v>-0.43003373861871808</v>
      </c>
      <c r="J10">
        <v>29.44269414633105</v>
      </c>
      <c r="K10">
        <f t="shared" si="1"/>
        <v>-0.88230641659414744</v>
      </c>
      <c r="M10">
        <v>28.990472593326544</v>
      </c>
      <c r="N10">
        <f t="shared" si="3"/>
        <v>0.45222155300450595</v>
      </c>
      <c r="R10">
        <v>29.274354812791614</v>
      </c>
      <c r="S10">
        <f t="shared" si="2"/>
        <v>0.16833933353943564</v>
      </c>
    </row>
    <row r="11" spans="1:22">
      <c r="A11">
        <v>6508.1205</v>
      </c>
      <c r="C11">
        <v>28.114535294698761</v>
      </c>
      <c r="E11">
        <v>29.085430263720013</v>
      </c>
      <c r="G11">
        <f t="shared" si="0"/>
        <v>-0.97089496902125205</v>
      </c>
      <c r="J11">
        <v>29.356673813807355</v>
      </c>
      <c r="K11">
        <f t="shared" si="1"/>
        <v>-1.2421385191085932</v>
      </c>
      <c r="M11">
        <v>28.448546027237676</v>
      </c>
      <c r="N11">
        <f t="shared" si="3"/>
        <v>0.90812778656967907</v>
      </c>
      <c r="R11">
        <v>28.928627355995218</v>
      </c>
      <c r="S11">
        <f t="shared" si="2"/>
        <v>0.42804645781213679</v>
      </c>
    </row>
    <row r="12" spans="1:22">
      <c r="A12">
        <v>6531.4206999999997</v>
      </c>
      <c r="C12">
        <v>30.887825264636071</v>
      </c>
      <c r="E12">
        <v>30.880448134262828</v>
      </c>
      <c r="G12">
        <f t="shared" si="0"/>
        <v>7.377130373242835E-3</v>
      </c>
      <c r="J12">
        <v>30.208586609847821</v>
      </c>
      <c r="K12">
        <f t="shared" si="1"/>
        <v>0.67923865478825007</v>
      </c>
      <c r="M12">
        <v>30.356498950223632</v>
      </c>
      <c r="N12">
        <f t="shared" si="3"/>
        <v>-0.14791234037581091</v>
      </c>
      <c r="R12">
        <v>31.913175270004146</v>
      </c>
      <c r="S12">
        <f t="shared" si="2"/>
        <v>-1.7045886601563254</v>
      </c>
    </row>
    <row r="13" spans="1:22">
      <c r="A13">
        <v>6532.8730999999998</v>
      </c>
      <c r="C13">
        <v>29.32426904687091</v>
      </c>
      <c r="E13">
        <v>29.618911611684062</v>
      </c>
      <c r="G13">
        <f t="shared" si="0"/>
        <v>-0.29464256481315232</v>
      </c>
      <c r="J13">
        <v>28.958257405076182</v>
      </c>
      <c r="K13">
        <f t="shared" si="1"/>
        <v>0.36601164179472789</v>
      </c>
      <c r="M13">
        <v>28.744939059222041</v>
      </c>
      <c r="N13">
        <f t="shared" si="3"/>
        <v>0.213318345854141</v>
      </c>
      <c r="R13">
        <v>29.235761658719106</v>
      </c>
      <c r="S13">
        <f t="shared" si="2"/>
        <v>-0.27750425364292397</v>
      </c>
    </row>
    <row r="14" spans="1:22">
      <c r="A14">
        <v>6537.9210000000003</v>
      </c>
      <c r="C14">
        <v>29.031714874117043</v>
      </c>
      <c r="E14">
        <v>29.511484250210884</v>
      </c>
      <c r="G14">
        <f t="shared" si="0"/>
        <v>-0.47976937609384152</v>
      </c>
      <c r="J14">
        <v>28.949393989807781</v>
      </c>
      <c r="K14">
        <f t="shared" si="1"/>
        <v>8.2320884309261544E-2</v>
      </c>
      <c r="M14">
        <v>28.300999185559839</v>
      </c>
      <c r="N14">
        <f t="shared" si="3"/>
        <v>0.6483948042479426</v>
      </c>
      <c r="R14">
        <v>29.071260639979002</v>
      </c>
      <c r="S14">
        <f t="shared" si="2"/>
        <v>-0.12186665017122067</v>
      </c>
    </row>
    <row r="15" spans="1:22">
      <c r="A15">
        <v>6546.2529999999997</v>
      </c>
      <c r="B15" t="s">
        <v>114</v>
      </c>
      <c r="C15">
        <v>28.67355659927906</v>
      </c>
      <c r="E15">
        <v>28.989135849477599</v>
      </c>
      <c r="G15">
        <f t="shared" si="0"/>
        <v>-0.31557925019853883</v>
      </c>
      <c r="J15">
        <v>28.719987466030439</v>
      </c>
      <c r="K15">
        <f t="shared" si="1"/>
        <v>-4.6430866751379085E-2</v>
      </c>
      <c r="M15">
        <v>27.774529838642259</v>
      </c>
      <c r="N15">
        <f t="shared" si="3"/>
        <v>0.94545762738817984</v>
      </c>
      <c r="R15">
        <v>27.895443986936108</v>
      </c>
      <c r="S15">
        <f t="shared" si="2"/>
        <v>0.82454347909433068</v>
      </c>
    </row>
    <row r="16" spans="1:22">
      <c r="A16">
        <v>6551.6767</v>
      </c>
      <c r="C16">
        <v>27.612547184818759</v>
      </c>
      <c r="E16">
        <v>27.206246122224442</v>
      </c>
      <c r="G16">
        <f t="shared" si="0"/>
        <v>0.40630106259431642</v>
      </c>
      <c r="J16">
        <v>27.148768541662704</v>
      </c>
      <c r="K16">
        <f t="shared" si="1"/>
        <v>0.46377864315605422</v>
      </c>
      <c r="M16">
        <v>26.667864031781896</v>
      </c>
      <c r="N16">
        <f t="shared" si="3"/>
        <v>0.48090450988080846</v>
      </c>
      <c r="R16">
        <v>27.3455593480465</v>
      </c>
      <c r="S16">
        <f t="shared" si="2"/>
        <v>-0.19679080638379531</v>
      </c>
    </row>
    <row r="17" spans="1:19">
      <c r="A17">
        <v>6554.223</v>
      </c>
      <c r="C17">
        <v>29.457997321258311</v>
      </c>
      <c r="E17">
        <v>28.629613287689537</v>
      </c>
      <c r="G17">
        <f t="shared" si="0"/>
        <v>0.82838403356877421</v>
      </c>
      <c r="J17">
        <v>28.664909021425267</v>
      </c>
      <c r="K17">
        <f t="shared" si="1"/>
        <v>0.79308829983304463</v>
      </c>
      <c r="M17">
        <v>28.51027006658402</v>
      </c>
      <c r="N17">
        <f t="shared" si="3"/>
        <v>0.15463895484124635</v>
      </c>
      <c r="R17">
        <v>28.368084019181339</v>
      </c>
      <c r="S17">
        <f t="shared" si="2"/>
        <v>0.29682500224392783</v>
      </c>
    </row>
    <row r="18" spans="1:19">
      <c r="A18">
        <v>6556.0618000000004</v>
      </c>
      <c r="C18">
        <v>28.503950733926864</v>
      </c>
      <c r="E18">
        <v>27.929773706070193</v>
      </c>
      <c r="G18">
        <f t="shared" si="0"/>
        <v>0.57417702785667046</v>
      </c>
      <c r="J18">
        <v>28.024463905151897</v>
      </c>
      <c r="K18">
        <f t="shared" si="1"/>
        <v>0.47948682877496651</v>
      </c>
      <c r="M18">
        <v>27.561435024181513</v>
      </c>
      <c r="N18">
        <f t="shared" si="3"/>
        <v>0.46302888097038419</v>
      </c>
      <c r="R18">
        <v>27.307688751787573</v>
      </c>
      <c r="S18">
        <f t="shared" si="2"/>
        <v>0.71677515336432407</v>
      </c>
    </row>
    <row r="19" spans="1:19">
      <c r="A19">
        <v>6565.8829999999998</v>
      </c>
      <c r="C19">
        <v>24.88505264113261</v>
      </c>
      <c r="E19">
        <v>24.176622337379605</v>
      </c>
      <c r="G19">
        <f t="shared" si="0"/>
        <v>0.70843030375300486</v>
      </c>
      <c r="J19">
        <v>24.460824363892186</v>
      </c>
      <c r="K19">
        <f t="shared" si="1"/>
        <v>0.42422827724042378</v>
      </c>
      <c r="M19">
        <v>24.069972944729123</v>
      </c>
      <c r="N19">
        <f t="shared" si="3"/>
        <v>0.39085141916306299</v>
      </c>
      <c r="R19">
        <v>23.116346114826491</v>
      </c>
      <c r="S19">
        <f t="shared" si="2"/>
        <v>1.3444782490656948</v>
      </c>
    </row>
    <row r="20" spans="1:19">
      <c r="A20">
        <v>6569.2145</v>
      </c>
      <c r="B20" t="s">
        <v>114</v>
      </c>
      <c r="C20">
        <v>30.272799159325459</v>
      </c>
      <c r="E20">
        <v>30.475781828331883</v>
      </c>
      <c r="G20">
        <f t="shared" si="0"/>
        <v>-0.20298266900642403</v>
      </c>
      <c r="J20">
        <v>30.766761781597651</v>
      </c>
      <c r="K20">
        <f t="shared" si="1"/>
        <v>-0.49396262227219268</v>
      </c>
      <c r="M20">
        <v>29.539611462370274</v>
      </c>
      <c r="N20">
        <f t="shared" si="3"/>
        <v>1.2271503192273769</v>
      </c>
      <c r="R20">
        <v>29.322990534841331</v>
      </c>
      <c r="S20">
        <f t="shared" si="2"/>
        <v>1.4437712467563202</v>
      </c>
    </row>
    <row r="21" spans="1:19">
      <c r="A21">
        <v>6572.826</v>
      </c>
      <c r="B21" t="s">
        <v>114</v>
      </c>
      <c r="C21">
        <v>27.84472040420205</v>
      </c>
      <c r="E21">
        <v>27.049468595463644</v>
      </c>
      <c r="G21">
        <f t="shared" si="0"/>
        <v>0.7952518087384064</v>
      </c>
      <c r="J21">
        <v>27.314946573731014</v>
      </c>
      <c r="K21">
        <f t="shared" si="1"/>
        <v>0.52977383047103643</v>
      </c>
      <c r="M21">
        <v>27.212938081411231</v>
      </c>
      <c r="N21">
        <f t="shared" si="3"/>
        <v>0.10200849231978282</v>
      </c>
      <c r="R21">
        <v>27.221597565474376</v>
      </c>
      <c r="S21">
        <f t="shared" si="2"/>
        <v>9.3349008256637944E-2</v>
      </c>
    </row>
    <row r="22" spans="1:19">
      <c r="A22">
        <v>6574.2262000000001</v>
      </c>
      <c r="C22">
        <v>29.517048214300345</v>
      </c>
      <c r="E22">
        <v>28.914946538582953</v>
      </c>
      <c r="G22">
        <f t="shared" si="0"/>
        <v>0.60210167571739248</v>
      </c>
      <c r="J22">
        <v>29.16152345406875</v>
      </c>
      <c r="K22">
        <f t="shared" si="1"/>
        <v>0.35552476023159585</v>
      </c>
      <c r="M22">
        <v>28.930437735374959</v>
      </c>
      <c r="N22">
        <f t="shared" si="3"/>
        <v>0.23108571869379091</v>
      </c>
      <c r="R22">
        <v>29.385423133865274</v>
      </c>
      <c r="S22">
        <f t="shared" si="2"/>
        <v>-0.22389967979652425</v>
      </c>
    </row>
    <row r="23" spans="1:19">
      <c r="A23">
        <v>6581.2088000000003</v>
      </c>
      <c r="B23" t="s">
        <v>124</v>
      </c>
      <c r="C23">
        <v>26.447875722812597</v>
      </c>
      <c r="E23">
        <v>26.537319954100802</v>
      </c>
      <c r="G23">
        <f t="shared" si="0"/>
        <v>-8.944423128820489E-2</v>
      </c>
      <c r="J23">
        <v>26.64090567277011</v>
      </c>
      <c r="K23">
        <f t="shared" si="1"/>
        <v>-0.19302994995751277</v>
      </c>
      <c r="M23">
        <v>26.10394715012454</v>
      </c>
      <c r="N23">
        <f t="shared" si="3"/>
        <v>0.53695852264556976</v>
      </c>
      <c r="R23">
        <v>25.836246080279679</v>
      </c>
      <c r="S23">
        <f t="shared" si="2"/>
        <v>0.80465959249043095</v>
      </c>
    </row>
    <row r="24" spans="1:19">
      <c r="A24">
        <v>6586.3099000000002</v>
      </c>
      <c r="C24">
        <v>28.273245435261884</v>
      </c>
      <c r="E24">
        <v>28.677043934766111</v>
      </c>
      <c r="G24">
        <f t="shared" si="0"/>
        <v>-0.40379849950422653</v>
      </c>
      <c r="J24">
        <v>28.646406429566618</v>
      </c>
      <c r="K24">
        <f t="shared" si="1"/>
        <v>-0.37316099430473315</v>
      </c>
      <c r="M24">
        <v>28.124045068067538</v>
      </c>
      <c r="N24">
        <f t="shared" si="3"/>
        <v>0.52236136149907963</v>
      </c>
      <c r="R24">
        <v>28.084304075770561</v>
      </c>
      <c r="S24">
        <f t="shared" si="2"/>
        <v>0.56210235379605678</v>
      </c>
    </row>
    <row r="25" spans="1:19">
      <c r="A25">
        <v>6592.9120000000003</v>
      </c>
      <c r="C25">
        <v>28.792320620230072</v>
      </c>
      <c r="E25">
        <v>28.7280494418507</v>
      </c>
      <c r="G25">
        <f t="shared" si="0"/>
        <v>6.4271178379371463E-2</v>
      </c>
      <c r="J25">
        <v>28.547148894042529</v>
      </c>
      <c r="K25">
        <f t="shared" si="1"/>
        <v>0.24517172618754302</v>
      </c>
      <c r="M25">
        <v>28.885077145890392</v>
      </c>
      <c r="N25">
        <f t="shared" si="3"/>
        <v>-0.33792825184786324</v>
      </c>
      <c r="R25">
        <v>28.839728667984232</v>
      </c>
      <c r="S25">
        <f t="shared" si="2"/>
        <v>-0.29257977394170354</v>
      </c>
    </row>
    <row r="26" spans="1:19">
      <c r="A26">
        <v>6593.8690999999999</v>
      </c>
      <c r="C26">
        <v>29.084626449704665</v>
      </c>
      <c r="E26">
        <v>29.674535353363396</v>
      </c>
      <c r="G26">
        <f t="shared" si="0"/>
        <v>-0.58990890365873128</v>
      </c>
      <c r="J26">
        <v>29.477297205948716</v>
      </c>
      <c r="K26">
        <f t="shared" si="1"/>
        <v>-0.39267075624405123</v>
      </c>
      <c r="M26">
        <v>29.209869118274057</v>
      </c>
      <c r="N26">
        <f t="shared" si="3"/>
        <v>0.26742808767465931</v>
      </c>
      <c r="R26">
        <v>29.312941315118302</v>
      </c>
      <c r="S26">
        <f t="shared" si="2"/>
        <v>0.16435589083041435</v>
      </c>
    </row>
    <row r="27" spans="1:19">
      <c r="A27">
        <v>6599.1048000000001</v>
      </c>
      <c r="C27">
        <v>26.88122565708273</v>
      </c>
      <c r="E27">
        <v>27.498588981678118</v>
      </c>
      <c r="G27">
        <f t="shared" si="0"/>
        <v>-0.61736332459538801</v>
      </c>
      <c r="J27">
        <v>27.254711809820975</v>
      </c>
      <c r="K27">
        <f t="shared" si="1"/>
        <v>-0.37348615273824493</v>
      </c>
      <c r="M27">
        <v>27.159598835457821</v>
      </c>
      <c r="N27">
        <f t="shared" si="3"/>
        <v>9.5112974363154024E-2</v>
      </c>
      <c r="R27">
        <v>26.709484788223214</v>
      </c>
      <c r="S27">
        <f t="shared" si="2"/>
        <v>0.5452270215977606</v>
      </c>
    </row>
    <row r="28" spans="1:19">
      <c r="A28">
        <v>6604.6009999999997</v>
      </c>
      <c r="C28">
        <v>28.022859449450266</v>
      </c>
      <c r="E28">
        <v>28.376773474136918</v>
      </c>
      <c r="G28">
        <f t="shared" si="0"/>
        <v>-0.35391402468665234</v>
      </c>
      <c r="J28">
        <v>28.173125366759422</v>
      </c>
      <c r="K28">
        <f t="shared" si="1"/>
        <v>-0.15026591730915584</v>
      </c>
      <c r="M28">
        <v>28.405659815256001</v>
      </c>
      <c r="N28">
        <f t="shared" si="3"/>
        <v>-0.23253444849657967</v>
      </c>
      <c r="R28">
        <v>28.611424307634081</v>
      </c>
      <c r="S28">
        <f t="shared" si="2"/>
        <v>-0.43829894087465959</v>
      </c>
    </row>
    <row r="29" spans="1:19">
      <c r="A29">
        <v>6605.9736999999996</v>
      </c>
      <c r="C29">
        <v>28.120887025706587</v>
      </c>
      <c r="E29">
        <v>28.296979998709837</v>
      </c>
      <c r="G29">
        <f t="shared" si="0"/>
        <v>-0.17609297300325011</v>
      </c>
      <c r="J29">
        <v>28.118750109329405</v>
      </c>
      <c r="K29">
        <f t="shared" si="1"/>
        <v>2.1369163771822741E-3</v>
      </c>
      <c r="M29">
        <v>28.51705154736095</v>
      </c>
      <c r="N29">
        <f t="shared" si="3"/>
        <v>-0.39830143803154527</v>
      </c>
      <c r="R29">
        <v>28.192427028228551</v>
      </c>
      <c r="S29">
        <f t="shared" si="2"/>
        <v>-7.367691889914596E-2</v>
      </c>
    </row>
    <row r="30" spans="1:19">
      <c r="A30">
        <v>6608.0245999999997</v>
      </c>
      <c r="B30" t="s">
        <v>124</v>
      </c>
      <c r="C30">
        <v>25.348217097787007</v>
      </c>
      <c r="E30">
        <v>26.39881509458597</v>
      </c>
      <c r="G30">
        <f t="shared" si="0"/>
        <v>-1.0505979967989632</v>
      </c>
      <c r="J30">
        <v>26.268302558341006</v>
      </c>
      <c r="K30">
        <f t="shared" si="1"/>
        <v>-0.92008546055399876</v>
      </c>
      <c r="M30">
        <v>25.752985831384301</v>
      </c>
      <c r="N30">
        <f t="shared" si="3"/>
        <v>0.51531672695670494</v>
      </c>
      <c r="R30">
        <v>25.740122197226434</v>
      </c>
      <c r="S30">
        <f t="shared" si="2"/>
        <v>0.52818036111457189</v>
      </c>
    </row>
    <row r="31" spans="1:19">
      <c r="A31">
        <v>6613.8244999999997</v>
      </c>
      <c r="C31">
        <v>26.544480431245354</v>
      </c>
      <c r="E31">
        <v>26.8925322952418</v>
      </c>
      <c r="G31">
        <f t="shared" si="0"/>
        <v>-0.34805186399644583</v>
      </c>
      <c r="J31">
        <v>26.954281839852712</v>
      </c>
      <c r="K31">
        <f t="shared" si="1"/>
        <v>-0.40980140860735759</v>
      </c>
      <c r="M31">
        <v>26.887821507282084</v>
      </c>
      <c r="N31">
        <f t="shared" si="3"/>
        <v>6.6460332570628111E-2</v>
      </c>
      <c r="R31">
        <v>26.67988920910247</v>
      </c>
      <c r="S31">
        <f t="shared" si="2"/>
        <v>0.27439263075024201</v>
      </c>
    </row>
    <row r="32" spans="1:19">
      <c r="A32">
        <v>6630.01</v>
      </c>
      <c r="C32">
        <v>29.12283357763279</v>
      </c>
      <c r="E32">
        <v>29.402340254702786</v>
      </c>
      <c r="G32">
        <f t="shared" si="0"/>
        <v>-0.2795066770699961</v>
      </c>
      <c r="J32">
        <v>29.510650696185081</v>
      </c>
      <c r="K32">
        <f t="shared" si="1"/>
        <v>-0.38781711855229162</v>
      </c>
      <c r="M32">
        <v>28.29998456830296</v>
      </c>
      <c r="N32">
        <f t="shared" si="3"/>
        <v>1.2106661278821207</v>
      </c>
      <c r="R32">
        <v>28.461450136352262</v>
      </c>
      <c r="S32">
        <f t="shared" si="2"/>
        <v>1.0492005598328191</v>
      </c>
    </row>
    <row r="34" spans="3:7">
      <c r="C34" s="13">
        <f>AVERAGE(C6:C32)</f>
        <v>28.526376314625459</v>
      </c>
      <c r="D34" s="13"/>
      <c r="E34" s="13">
        <f t="shared" ref="E34:G34" si="4">AVERAGE(E6:E32)</f>
        <v>28.616694127727964</v>
      </c>
      <c r="F34" s="13"/>
      <c r="G34" s="13">
        <f t="shared" si="4"/>
        <v>-9.0317813102499159E-2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thor orden 1</vt:lpstr>
      <vt:lpstr>thor parabolas</vt:lpstr>
      <vt:lpstr>ster orden 1</vt:lpstr>
      <vt:lpstr>ster parábolas</vt:lpstr>
      <vt:lpstr>compara V con otra fecha</vt:lpstr>
    </vt:vector>
  </TitlesOfParts>
  <Company>Universidad de los Andes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Oostra Vannoppen</dc:creator>
  <cp:lastModifiedBy>Benjamin Oostra Vannoppen</cp:lastModifiedBy>
  <dcterms:created xsi:type="dcterms:W3CDTF">2024-09-10T18:28:35Z</dcterms:created>
  <dcterms:modified xsi:type="dcterms:W3CDTF">2026-02-16T16:35:13Z</dcterms:modified>
</cp:coreProperties>
</file>