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8_{068FC5D1-B42F-481D-B1A1-257F342BA591}" xr6:coauthVersionLast="47" xr6:coauthVersionMax="47" xr10:uidLastSave="{00000000-0000-0000-0000-000000000000}"/>
  <bookViews>
    <workbookView xWindow="-120" yWindow="-120" windowWidth="38640" windowHeight="21120" xr2:uid="{73CEBCC2-04D1-4B87-8372-3A74D5DC4BC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6" i="1" l="1"/>
  <c r="L65" i="1"/>
  <c r="L64" i="1"/>
  <c r="L63" i="1"/>
  <c r="L62" i="1"/>
  <c r="L61" i="1"/>
  <c r="L60" i="1"/>
  <c r="L59" i="1"/>
  <c r="L58" i="1"/>
  <c r="L57" i="1"/>
  <c r="L54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1" i="1"/>
  <c r="L30" i="1"/>
  <c r="L29" i="1"/>
  <c r="L28" i="1"/>
  <c r="L27" i="1"/>
  <c r="L26" i="1"/>
  <c r="L25" i="1"/>
  <c r="L24" i="1"/>
  <c r="L23" i="1"/>
  <c r="L22" i="1"/>
  <c r="L21" i="1"/>
  <c r="L18" i="1"/>
  <c r="L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Oostra Vannoppen</author>
  </authors>
  <commentList>
    <comment ref="D26" authorId="0" shapeId="0" xr:uid="{10B914B4-AD80-4357-BB00-F5BC381695A0}">
      <text>
        <r>
          <rPr>
            <b/>
            <sz val="9"/>
            <color indexed="81"/>
            <rFont val="Tahoma"/>
            <charset val="1"/>
          </rPr>
          <t>desenfocado</t>
        </r>
      </text>
    </comment>
  </commentList>
</comments>
</file>

<file path=xl/sharedStrings.xml><?xml version="1.0" encoding="utf-8"?>
<sst xmlns="http://schemas.openxmlformats.org/spreadsheetml/2006/main" count="76" uniqueCount="23">
  <si>
    <t>año</t>
  </si>
  <si>
    <t>fecha</t>
  </si>
  <si>
    <t>espectro</t>
  </si>
  <si>
    <t>fecha TU del comienzo de la exposición</t>
  </si>
  <si>
    <t>duración</t>
  </si>
  <si>
    <t>fecha UT</t>
  </si>
  <si>
    <t>DJB</t>
  </si>
  <si>
    <t>V telur</t>
  </si>
  <si>
    <t>h2</t>
  </si>
  <si>
    <t>h1</t>
  </si>
  <si>
    <t>h3</t>
  </si>
  <si>
    <t>FIES</t>
  </si>
  <si>
    <t>agosto</t>
  </si>
  <si>
    <t>#4</t>
  </si>
  <si>
    <t>septiembre</t>
  </si>
  <si>
    <t>#2</t>
  </si>
  <si>
    <t>#3</t>
  </si>
  <si>
    <t>#7</t>
  </si>
  <si>
    <t>#5</t>
  </si>
  <si>
    <t>octubre</t>
  </si>
  <si>
    <t>julio</t>
  </si>
  <si>
    <t>orden 2</t>
  </si>
  <si>
    <t>mejor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</si>
</sst>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" fontId="0" fillId="0" borderId="0" xfId="0" applyNumberFormat="1"/>
    <xf numFmtId="1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observaciones%20Antares/compendio%20Antares%20H-alfa.xlsx" TargetMode="External"/><Relationship Id="rId2" Type="http://schemas.openxmlformats.org/officeDocument/2006/relationships/externalLinkPath" Target="file:///C:\Users\boostra\Desktop\observaciones%20Antares\compendio%20Antares%20H-alfa.xlsx" TargetMode="External"/><Relationship Id="rId1" Type="http://schemas.openxmlformats.org/officeDocument/2006/relationships/externalLinkPath" Target="/Users/boostra/Desktop/observaciones%20Antares/compendio%20Antares%20H-alf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mith Antares"/>
      <sheetName val="Smith Betelgeuse"/>
      <sheetName val="Smith Hercules"/>
    </sheetNames>
    <sheetDataSet>
      <sheetData sheetId="0">
        <row r="5">
          <cell r="M5">
            <v>2458323.5561429998</v>
          </cell>
          <cell r="Q5">
            <v>-3.4</v>
          </cell>
          <cell r="U5">
            <v>-10.999999999999998</v>
          </cell>
          <cell r="AB5">
            <v>-3.7137794523525613E-2</v>
          </cell>
        </row>
        <row r="6">
          <cell r="M6">
            <v>2458327.4939350002</v>
          </cell>
          <cell r="Q6">
            <v>-3.6269999999999989</v>
          </cell>
          <cell r="U6">
            <v>-9.7060000000000013</v>
          </cell>
          <cell r="AB6">
            <v>-3.4385612045985225E-2</v>
          </cell>
        </row>
        <row r="7">
          <cell r="M7">
            <v>2458333.6983110001</v>
          </cell>
          <cell r="Q7">
            <v>-2.9839999999999982</v>
          </cell>
          <cell r="U7">
            <v>-12.496</v>
          </cell>
          <cell r="AB7">
            <v>-5.2986842193549322E-2</v>
          </cell>
        </row>
        <row r="8">
          <cell r="M8">
            <v>2458337.5441060001</v>
          </cell>
          <cell r="Q8">
            <v>-2.7110000000000021</v>
          </cell>
          <cell r="U8">
            <v>-12.049999999999999</v>
          </cell>
          <cell r="AB8">
            <v>-3.3406702641295083E-2</v>
          </cell>
        </row>
        <row r="9">
          <cell r="M9">
            <v>2458341.6050610002</v>
          </cell>
          <cell r="Q9">
            <v>-2.6769999999999996</v>
          </cell>
          <cell r="U9">
            <v>-12.693000000000001</v>
          </cell>
          <cell r="AB9">
            <v>-2.0411395537605626E-2</v>
          </cell>
        </row>
        <row r="10">
          <cell r="M10">
            <v>2458346.508107</v>
          </cell>
          <cell r="Q10">
            <v>-3.0509999999999984</v>
          </cell>
          <cell r="U10">
            <v>-12.812000000000001</v>
          </cell>
          <cell r="AB10">
            <v>-6.1188379557238104E-2</v>
          </cell>
        </row>
        <row r="11">
          <cell r="M11">
            <v>2458353.578673</v>
          </cell>
          <cell r="Q11">
            <v>-3.2059999999999995</v>
          </cell>
          <cell r="U11">
            <v>-10.191000000000001</v>
          </cell>
          <cell r="AB11">
            <v>-2.5180401013550791E-2</v>
          </cell>
        </row>
        <row r="12">
          <cell r="M12">
            <v>2458360.4974290002</v>
          </cell>
          <cell r="Q12">
            <v>-3.1539999999999999</v>
          </cell>
          <cell r="U12">
            <v>-11.913000000000002</v>
          </cell>
          <cell r="AB12">
            <v>-9.4950866204897011E-3</v>
          </cell>
        </row>
        <row r="13">
          <cell r="M13">
            <v>2458372.5156629998</v>
          </cell>
          <cell r="Q13">
            <v>-3.3629999999999995</v>
          </cell>
          <cell r="U13">
            <v>-10.642000000000001</v>
          </cell>
          <cell r="AB13">
            <v>-3.4248797483531379E-2</v>
          </cell>
        </row>
        <row r="14">
          <cell r="M14">
            <v>2458382.5460549998</v>
          </cell>
          <cell r="Q14">
            <v>-3.5839999999999996</v>
          </cell>
          <cell r="U14">
            <v>-10.393000000000001</v>
          </cell>
          <cell r="AB14">
            <v>-2.710583650928422E-2</v>
          </cell>
        </row>
        <row r="17">
          <cell r="M17">
            <v>2458701.377777</v>
          </cell>
          <cell r="Q17">
            <v>-3.2669999999999995</v>
          </cell>
          <cell r="U17">
            <v>-14.513</v>
          </cell>
          <cell r="AB17">
            <v>2.3630953416743594E-2</v>
          </cell>
        </row>
        <row r="18">
          <cell r="M18">
            <v>2458702.363628</v>
          </cell>
          <cell r="Q18">
            <v>-2.4329999999999998</v>
          </cell>
          <cell r="U18">
            <v>-15.167999999999999</v>
          </cell>
          <cell r="AB18">
            <v>2.4493599662399834E-2</v>
          </cell>
        </row>
        <row r="22">
          <cell r="M22">
            <v>2460181.497221</v>
          </cell>
          <cell r="N22">
            <v>-29.154</v>
          </cell>
          <cell r="U22">
            <v>-17.010000000000002</v>
          </cell>
          <cell r="AB22">
            <v>-6.3007542216388268E-2</v>
          </cell>
        </row>
        <row r="23">
          <cell r="M23">
            <v>2460185.4888920002</v>
          </cell>
          <cell r="N23">
            <v>-29.381</v>
          </cell>
          <cell r="Q23">
            <v>0.26399999999999935</v>
          </cell>
          <cell r="U23">
            <v>-14.763</v>
          </cell>
          <cell r="AB23">
            <v>4.2164158382851147E-2</v>
          </cell>
        </row>
        <row r="24">
          <cell r="M24">
            <v>2460186.5372850001</v>
          </cell>
          <cell r="N24">
            <v>-29.542000000000002</v>
          </cell>
          <cell r="Q24">
            <v>0.29499999999999815</v>
          </cell>
          <cell r="U24">
            <v>-11.177</v>
          </cell>
          <cell r="AB24">
            <v>3.552272299799597E-2</v>
          </cell>
        </row>
        <row r="25">
          <cell r="M25">
            <v>2460189.5325239999</v>
          </cell>
          <cell r="N25">
            <v>-29.61</v>
          </cell>
          <cell r="Q25">
            <v>-0.78099999999999881</v>
          </cell>
          <cell r="U25">
            <v>-14.159000000000001</v>
          </cell>
          <cell r="AB25">
            <v>1.3335737372118572E-2</v>
          </cell>
        </row>
        <row r="26">
          <cell r="M26">
            <v>2460196.5299999998</v>
          </cell>
          <cell r="N26">
            <v>-29.504000000000001</v>
          </cell>
        </row>
        <row r="27">
          <cell r="M27">
            <v>2460207.503</v>
          </cell>
          <cell r="N27">
            <v>-28.420999999999999</v>
          </cell>
          <cell r="AB27">
            <v>2.5930417592586075E-2</v>
          </cell>
        </row>
        <row r="28">
          <cell r="M28">
            <v>2460209.5350000001</v>
          </cell>
          <cell r="N28">
            <v>-28.172000000000001</v>
          </cell>
        </row>
        <row r="29">
          <cell r="M29">
            <v>2460213.5320000001</v>
          </cell>
          <cell r="N29">
            <v>-27.46</v>
          </cell>
        </row>
        <row r="30">
          <cell r="M30">
            <v>2460217.4920000001</v>
          </cell>
          <cell r="N30">
            <v>-26.576000000000001</v>
          </cell>
        </row>
        <row r="31">
          <cell r="M31">
            <v>2460230.4815000002</v>
          </cell>
          <cell r="N31">
            <v>-23.047000000000001</v>
          </cell>
          <cell r="Q31">
            <v>-0.32</v>
          </cell>
          <cell r="U31">
            <v>-13.790000000000001</v>
          </cell>
          <cell r="AB31">
            <v>7.6921910653233727E-2</v>
          </cell>
        </row>
        <row r="32">
          <cell r="M32">
            <v>2460237.469</v>
          </cell>
          <cell r="N32">
            <v>-20.606999999999999</v>
          </cell>
          <cell r="Q32">
            <v>1.79</v>
          </cell>
          <cell r="U32">
            <v>-9.7699999999999978</v>
          </cell>
          <cell r="AB32">
            <v>7.2354711738828348E-2</v>
          </cell>
        </row>
        <row r="42">
          <cell r="M42">
            <v>2460503.5132880001</v>
          </cell>
          <cell r="N42">
            <v>-18.651</v>
          </cell>
          <cell r="Q42">
            <v>0.74899999999999878</v>
          </cell>
          <cell r="U42">
            <v>-2.84</v>
          </cell>
          <cell r="AB42">
            <v>0.10896108143464511</v>
          </cell>
        </row>
        <row r="43">
          <cell r="M43">
            <v>2460514.5124559999</v>
          </cell>
          <cell r="N43">
            <v>-22.518999999999998</v>
          </cell>
          <cell r="Q43">
            <v>-0.32899999999999707</v>
          </cell>
          <cell r="U43">
            <v>-2.0199999999999996</v>
          </cell>
          <cell r="AB43">
            <v>0.10451354880835773</v>
          </cell>
        </row>
        <row r="44">
          <cell r="M44">
            <v>2460529.4966580002</v>
          </cell>
          <cell r="N44">
            <v>-26.567</v>
          </cell>
          <cell r="AB44">
            <v>8.7364620938628068E-2</v>
          </cell>
        </row>
        <row r="45">
          <cell r="M45">
            <v>2460539.4949989999</v>
          </cell>
          <cell r="N45">
            <v>-28.34</v>
          </cell>
          <cell r="Q45">
            <v>-1.1000000000000014</v>
          </cell>
          <cell r="U45">
            <v>-1.2099999999999973</v>
          </cell>
          <cell r="AB45">
            <v>9.1892182708344539E-2</v>
          </cell>
        </row>
        <row r="46">
          <cell r="M46">
            <v>2460539.5121260001</v>
          </cell>
          <cell r="N46">
            <v>-28.387</v>
          </cell>
          <cell r="AB46">
            <v>9.4412253876280827E-2</v>
          </cell>
        </row>
        <row r="47">
          <cell r="M47">
            <v>2460549.496698</v>
          </cell>
          <cell r="N47">
            <v>-29.352</v>
          </cell>
          <cell r="Q47">
            <v>-0.97200000000000131</v>
          </cell>
          <cell r="U47">
            <v>-2.0500000000000007</v>
          </cell>
          <cell r="AB47">
            <v>7.3464466838773834E-2</v>
          </cell>
        </row>
        <row r="48">
          <cell r="M48">
            <v>2460549.5237440001</v>
          </cell>
          <cell r="N48">
            <v>-29.420999999999999</v>
          </cell>
          <cell r="AB48">
            <v>3.9951530703161264E-2</v>
          </cell>
        </row>
        <row r="49">
          <cell r="M49">
            <v>2460560.5120649999</v>
          </cell>
          <cell r="N49">
            <v>-29.526</v>
          </cell>
          <cell r="AB49">
            <v>6.4098422263685784E-2</v>
          </cell>
        </row>
        <row r="50">
          <cell r="M50">
            <v>2460560.533845</v>
          </cell>
          <cell r="N50">
            <v>-29.573</v>
          </cell>
          <cell r="P50">
            <v>28.41</v>
          </cell>
          <cell r="Q50">
            <v>-1.1630000000000003</v>
          </cell>
          <cell r="U50">
            <v>-0.26000000000000156</v>
          </cell>
          <cell r="AB50">
            <v>8.5400683580032943E-2</v>
          </cell>
        </row>
        <row r="51">
          <cell r="M51">
            <v>2460573.5468080002</v>
          </cell>
          <cell r="N51">
            <v>-28.38</v>
          </cell>
          <cell r="P51">
            <v>27.43</v>
          </cell>
          <cell r="Q51">
            <v>-0.94999999999999929</v>
          </cell>
          <cell r="U51">
            <v>-1.9999999999999574E-2</v>
          </cell>
          <cell r="AB51">
            <v>6.8075729522518058E-2</v>
          </cell>
        </row>
        <row r="52">
          <cell r="M52">
            <v>2460578.501687</v>
          </cell>
          <cell r="N52">
            <v>-27.486999999999998</v>
          </cell>
          <cell r="P52">
            <v>26.82</v>
          </cell>
          <cell r="Q52">
            <v>-0.66699999999999804</v>
          </cell>
          <cell r="U52">
            <v>1.370000000000001</v>
          </cell>
          <cell r="AB52">
            <v>7.9507061570472048E-2</v>
          </cell>
        </row>
        <row r="53">
          <cell r="M53">
            <v>2460585.5348160001</v>
          </cell>
          <cell r="N53">
            <v>-26.021000000000001</v>
          </cell>
          <cell r="P53">
            <v>26.42</v>
          </cell>
          <cell r="Q53">
            <v>0.39900000000000091</v>
          </cell>
          <cell r="U53">
            <v>1.0599999999999987</v>
          </cell>
          <cell r="AB53">
            <v>5.4840080684877002E-2</v>
          </cell>
        </row>
        <row r="54">
          <cell r="M54">
            <v>2460595.4754809998</v>
          </cell>
          <cell r="N54">
            <v>-23.106999999999999</v>
          </cell>
          <cell r="P54">
            <v>22.25</v>
          </cell>
          <cell r="Q54">
            <v>-0.85699999999999932</v>
          </cell>
          <cell r="U54">
            <v>1.7800000000000011</v>
          </cell>
          <cell r="AB54">
            <v>6.3682419061188877E-2</v>
          </cell>
        </row>
        <row r="55">
          <cell r="M55">
            <v>2460595.483548</v>
          </cell>
          <cell r="N55">
            <v>-23.117000000000001</v>
          </cell>
          <cell r="P55">
            <v>22.39</v>
          </cell>
          <cell r="Q55">
            <v>-0.72700000000000031</v>
          </cell>
          <cell r="U55">
            <v>2.0700000000000003</v>
          </cell>
          <cell r="AB55">
            <v>8.1693379319672577E-2</v>
          </cell>
        </row>
        <row r="56">
          <cell r="M56">
            <v>2460601.459179</v>
          </cell>
          <cell r="N56">
            <v>-21.055</v>
          </cell>
          <cell r="P56">
            <v>19.88</v>
          </cell>
          <cell r="Q56">
            <v>-1.1750000000000007</v>
          </cell>
          <cell r="U56">
            <v>1.8599999999999994</v>
          </cell>
          <cell r="AB56">
            <v>7.4083786796040219E-2</v>
          </cell>
        </row>
        <row r="57">
          <cell r="M57">
            <v>2460602.4855670002</v>
          </cell>
          <cell r="N57">
            <v>-20.722999999999999</v>
          </cell>
          <cell r="P57">
            <v>19.46</v>
          </cell>
          <cell r="Q57">
            <v>-1.5949999999999989</v>
          </cell>
          <cell r="U57">
            <v>2.5</v>
          </cell>
          <cell r="AB57">
            <v>6.0659579233937055E-2</v>
          </cell>
        </row>
        <row r="58">
          <cell r="M58">
            <v>2460602.495809</v>
          </cell>
          <cell r="N58">
            <v>-20.73</v>
          </cell>
          <cell r="P58">
            <v>22.19</v>
          </cell>
          <cell r="Q58">
            <v>1.4670000000000023</v>
          </cell>
          <cell r="U58">
            <v>-1.9000000000000021</v>
          </cell>
          <cell r="AB58">
            <v>6.6750269209274515E-2</v>
          </cell>
        </row>
        <row r="59">
          <cell r="M59">
            <v>2460608.4916980001</v>
          </cell>
          <cell r="N59">
            <v>-18.427</v>
          </cell>
          <cell r="P59">
            <v>17.579999999999998</v>
          </cell>
          <cell r="Q59">
            <v>-0.84700000000000131</v>
          </cell>
          <cell r="U59">
            <v>5.1000000000000014</v>
          </cell>
          <cell r="AB59">
            <v>8.8030612030359778E-2</v>
          </cell>
        </row>
        <row r="61">
          <cell r="M61">
            <v>2460907.5008490002</v>
          </cell>
          <cell r="N61">
            <v>-28.802</v>
          </cell>
          <cell r="Q61">
            <v>-2.2019999999999982</v>
          </cell>
          <cell r="U61">
            <v>3.7999999999999972</v>
          </cell>
          <cell r="AB61">
            <v>2.0735696153095118E-2</v>
          </cell>
        </row>
        <row r="63">
          <cell r="M63">
            <v>2461246.551304</v>
          </cell>
          <cell r="N63">
            <v>-23.128</v>
          </cell>
          <cell r="Q63">
            <v>-5.4579999999999984</v>
          </cell>
          <cell r="U63">
            <v>-0.7900000000000027</v>
          </cell>
          <cell r="AB63">
            <v>5.6186907891559112E-2</v>
          </cell>
        </row>
        <row r="64">
          <cell r="M64">
            <v>2461249.5192419998</v>
          </cell>
          <cell r="N64">
            <v>-23.934000000000001</v>
          </cell>
          <cell r="Q64">
            <v>-6.1640000000000015</v>
          </cell>
          <cell r="U64">
            <v>0.16000000000000014</v>
          </cell>
          <cell r="AB64">
            <v>5.7477867135230065E-2</v>
          </cell>
        </row>
        <row r="65">
          <cell r="M65">
            <v>2461259.5146369999</v>
          </cell>
          <cell r="N65">
            <v>-26.503</v>
          </cell>
          <cell r="Q65">
            <v>-6.2729999999999997</v>
          </cell>
          <cell r="U65">
            <v>-0.23000000000000043</v>
          </cell>
          <cell r="AB65">
            <v>4.8438210452347086E-2</v>
          </cell>
        </row>
        <row r="66">
          <cell r="M66">
            <v>2461263.6359680002</v>
          </cell>
          <cell r="N66">
            <v>-27.648</v>
          </cell>
          <cell r="Q66">
            <v>-6.2779999999999987</v>
          </cell>
          <cell r="U66">
            <v>0.68999999999999773</v>
          </cell>
          <cell r="AB66">
            <v>6.6129687739425291E-2</v>
          </cell>
        </row>
        <row r="67">
          <cell r="M67">
            <v>2461266.4889460001</v>
          </cell>
          <cell r="N67">
            <v>-27.815000000000001</v>
          </cell>
          <cell r="Q67">
            <v>-6.6550000000000011</v>
          </cell>
          <cell r="U67">
            <v>0.28000000000000114</v>
          </cell>
          <cell r="AB67">
            <v>4.2390338476452127E-2</v>
          </cell>
        </row>
        <row r="68">
          <cell r="M68">
            <v>2461281.5201320001</v>
          </cell>
          <cell r="N68">
            <v>-29.49</v>
          </cell>
          <cell r="Q68">
            <v>-4.7299999999999969</v>
          </cell>
          <cell r="U68">
            <v>-0.85000000000000142</v>
          </cell>
          <cell r="AB68">
            <v>4.6469457160648542E-2</v>
          </cell>
        </row>
        <row r="69">
          <cell r="M69">
            <v>2461291.5054720002</v>
          </cell>
          <cell r="N69">
            <v>-29.507999999999999</v>
          </cell>
          <cell r="Q69">
            <v>-5.8279999999999994</v>
          </cell>
          <cell r="U69">
            <v>-3.2800000000000011</v>
          </cell>
          <cell r="AB69">
            <v>4.3536092149594419E-2</v>
          </cell>
        </row>
        <row r="70">
          <cell r="M70">
            <v>2461298.4804210002</v>
          </cell>
          <cell r="N70">
            <v>-28.965</v>
          </cell>
          <cell r="Q70">
            <v>-5.7149999999999999</v>
          </cell>
          <cell r="U70">
            <v>-0.60999999999999943</v>
          </cell>
          <cell r="AB70">
            <v>4.4338187350575931E-2</v>
          </cell>
        </row>
        <row r="71">
          <cell r="M71">
            <v>2461305.5980810001</v>
          </cell>
          <cell r="N71">
            <v>-28.207999999999998</v>
          </cell>
          <cell r="Q71">
            <v>-6.0079999999999991</v>
          </cell>
          <cell r="U71">
            <v>2.2200000000000024</v>
          </cell>
          <cell r="AB71">
            <v>3.3339968152866328E-2</v>
          </cell>
        </row>
        <row r="72">
          <cell r="M72">
            <v>2461313.5149710001</v>
          </cell>
          <cell r="N72">
            <v>-26.584</v>
          </cell>
          <cell r="Q72">
            <v>-6.0739999999999981</v>
          </cell>
          <cell r="U72">
            <v>0.18999999999999773</v>
          </cell>
          <cell r="AB72">
            <v>3.3288216453813302E-2</v>
          </cell>
        </row>
      </sheetData>
      <sheetData sheetId="1">
        <row r="6">
          <cell r="C6">
            <v>-6.74</v>
          </cell>
          <cell r="D6">
            <v>-11.6</v>
          </cell>
        </row>
        <row r="7">
          <cell r="C7">
            <v>-6.38</v>
          </cell>
          <cell r="D7">
            <v>-10.77</v>
          </cell>
        </row>
        <row r="8">
          <cell r="C8">
            <v>-5.85</v>
          </cell>
          <cell r="D8">
            <v>-11.98</v>
          </cell>
        </row>
        <row r="9">
          <cell r="C9">
            <v>-5.96</v>
          </cell>
          <cell r="D9">
            <v>-11.09</v>
          </cell>
        </row>
        <row r="10">
          <cell r="C10">
            <v>-5.12</v>
          </cell>
          <cell r="D10">
            <v>-11.18</v>
          </cell>
        </row>
        <row r="11">
          <cell r="C11">
            <v>-5.37</v>
          </cell>
          <cell r="D11">
            <v>-10.5</v>
          </cell>
        </row>
        <row r="12">
          <cell r="C12">
            <v>-5.73</v>
          </cell>
          <cell r="D12">
            <v>-9.61</v>
          </cell>
        </row>
        <row r="13">
          <cell r="C13">
            <v>-5.99</v>
          </cell>
          <cell r="D13">
            <v>-11.06</v>
          </cell>
        </row>
        <row r="14">
          <cell r="C14">
            <v>-5.55</v>
          </cell>
          <cell r="D14">
            <v>-11.26</v>
          </cell>
        </row>
        <row r="15">
          <cell r="C15">
            <v>-5.61</v>
          </cell>
          <cell r="D15">
            <v>-10.32</v>
          </cell>
        </row>
        <row r="16">
          <cell r="C16">
            <v>-6.56</v>
          </cell>
          <cell r="D16">
            <v>-10.5</v>
          </cell>
        </row>
        <row r="17">
          <cell r="C17">
            <v>-6.89</v>
          </cell>
          <cell r="D17">
            <v>-15.24</v>
          </cell>
        </row>
        <row r="18">
          <cell r="C18">
            <v>-9.15</v>
          </cell>
          <cell r="D18">
            <v>-10.58</v>
          </cell>
        </row>
        <row r="19">
          <cell r="C19">
            <v>-8.86</v>
          </cell>
          <cell r="D19">
            <v>-10.78</v>
          </cell>
        </row>
        <row r="20">
          <cell r="C20">
            <v>-5.75</v>
          </cell>
          <cell r="D20">
            <v>-10.59</v>
          </cell>
        </row>
        <row r="21">
          <cell r="C21">
            <v>-6.67</v>
          </cell>
          <cell r="D21">
            <v>-10.23</v>
          </cell>
        </row>
        <row r="22">
          <cell r="C22">
            <v>-7.17</v>
          </cell>
          <cell r="D22">
            <v>-11.4</v>
          </cell>
        </row>
        <row r="24">
          <cell r="C24">
            <v>-4.5599999999999996</v>
          </cell>
          <cell r="D24">
            <v>-14.29</v>
          </cell>
        </row>
        <row r="25">
          <cell r="C25">
            <v>-5.9</v>
          </cell>
          <cell r="D25">
            <v>-11.95</v>
          </cell>
        </row>
        <row r="26">
          <cell r="C26">
            <v>-5.14</v>
          </cell>
          <cell r="D26">
            <v>-12.74</v>
          </cell>
        </row>
        <row r="27">
          <cell r="C27">
            <v>-4.29</v>
          </cell>
          <cell r="D27">
            <v>-13.12</v>
          </cell>
        </row>
        <row r="28">
          <cell r="C28">
            <v>-4.5999999999999996</v>
          </cell>
          <cell r="D28">
            <v>-12.79</v>
          </cell>
        </row>
        <row r="29">
          <cell r="C29">
            <v>-5.04</v>
          </cell>
          <cell r="D29">
            <v>-13.02</v>
          </cell>
        </row>
        <row r="30">
          <cell r="C30">
            <v>-4.1100000000000003</v>
          </cell>
          <cell r="D30">
            <v>-13.26</v>
          </cell>
        </row>
        <row r="31">
          <cell r="C31">
            <v>-5.37</v>
          </cell>
          <cell r="D31">
            <v>-13.77</v>
          </cell>
        </row>
        <row r="32">
          <cell r="C32">
            <v>-3.18</v>
          </cell>
          <cell r="D32">
            <v>-11.91</v>
          </cell>
        </row>
        <row r="33">
          <cell r="C33">
            <v>-4.41</v>
          </cell>
          <cell r="D33">
            <v>-12.62</v>
          </cell>
        </row>
        <row r="34">
          <cell r="C34">
            <v>-5.73</v>
          </cell>
          <cell r="D34">
            <v>-12.37</v>
          </cell>
        </row>
        <row r="35">
          <cell r="C35">
            <v>-4.78</v>
          </cell>
          <cell r="D35">
            <v>-12.85</v>
          </cell>
        </row>
        <row r="36">
          <cell r="C36">
            <v>-5.18</v>
          </cell>
          <cell r="D36">
            <v>-12.89</v>
          </cell>
        </row>
        <row r="37">
          <cell r="C37">
            <v>-6.27</v>
          </cell>
          <cell r="D37">
            <v>-10.71</v>
          </cell>
        </row>
        <row r="38">
          <cell r="C38">
            <v>-6.78</v>
          </cell>
          <cell r="D38">
            <v>-10.45</v>
          </cell>
        </row>
        <row r="39">
          <cell r="C39">
            <v>-4.92</v>
          </cell>
          <cell r="D39">
            <v>-12.76</v>
          </cell>
        </row>
        <row r="40">
          <cell r="C40">
            <v>-4.43</v>
          </cell>
          <cell r="D40">
            <v>-12.01</v>
          </cell>
        </row>
        <row r="41">
          <cell r="C41">
            <v>-4.67</v>
          </cell>
          <cell r="D41">
            <v>-15.54</v>
          </cell>
        </row>
        <row r="42">
          <cell r="C42">
            <v>-4.03</v>
          </cell>
          <cell r="D42">
            <v>-12.21</v>
          </cell>
        </row>
        <row r="43">
          <cell r="C43">
            <v>-4.26</v>
          </cell>
          <cell r="D43">
            <v>-12.9</v>
          </cell>
        </row>
        <row r="44">
          <cell r="C44">
            <v>-7.66</v>
          </cell>
          <cell r="D44">
            <v>-12.87</v>
          </cell>
        </row>
        <row r="46">
          <cell r="C46">
            <v>-3.42</v>
          </cell>
          <cell r="D46">
            <v>-15.51</v>
          </cell>
        </row>
        <row r="47">
          <cell r="C47">
            <v>-4.74</v>
          </cell>
          <cell r="D47">
            <v>-12.81</v>
          </cell>
        </row>
        <row r="48">
          <cell r="C48">
            <v>-5.09</v>
          </cell>
          <cell r="D48">
            <v>-15.03</v>
          </cell>
        </row>
        <row r="49">
          <cell r="C49">
            <v>-4.55</v>
          </cell>
          <cell r="D49">
            <v>-12.72</v>
          </cell>
        </row>
        <row r="50">
          <cell r="C50">
            <v>-3.38</v>
          </cell>
          <cell r="D50">
            <v>-13.53</v>
          </cell>
        </row>
        <row r="51">
          <cell r="C51">
            <v>-3.81</v>
          </cell>
          <cell r="D51">
            <v>-14.56</v>
          </cell>
        </row>
        <row r="52">
          <cell r="C52">
            <v>-2.96</v>
          </cell>
          <cell r="D52">
            <v>-13.33</v>
          </cell>
        </row>
        <row r="53">
          <cell r="C53">
            <v>-3.86</v>
          </cell>
          <cell r="D53">
            <v>-13.02</v>
          </cell>
        </row>
        <row r="54">
          <cell r="C54">
            <v>-3.33</v>
          </cell>
          <cell r="D54">
            <v>-12.4</v>
          </cell>
        </row>
        <row r="56">
          <cell r="C56">
            <v>-3.18</v>
          </cell>
          <cell r="D56">
            <v>-12</v>
          </cell>
        </row>
        <row r="57">
          <cell r="C57">
            <v>-3.35</v>
          </cell>
          <cell r="D57">
            <v>-11.23</v>
          </cell>
        </row>
        <row r="58">
          <cell r="C58">
            <v>-1.68</v>
          </cell>
          <cell r="D58">
            <v>-11.38</v>
          </cell>
        </row>
        <row r="59">
          <cell r="C59">
            <v>-2.21</v>
          </cell>
          <cell r="D59">
            <v>-10.94</v>
          </cell>
        </row>
        <row r="60">
          <cell r="C60">
            <v>-0.66</v>
          </cell>
          <cell r="D60">
            <v>-9.1999999999999993</v>
          </cell>
        </row>
        <row r="61">
          <cell r="C61">
            <v>-1.1299999999999999</v>
          </cell>
          <cell r="D61">
            <v>-9.2200000000000006</v>
          </cell>
        </row>
        <row r="62">
          <cell r="C62">
            <v>-0.18</v>
          </cell>
          <cell r="D62">
            <v>-11.72</v>
          </cell>
        </row>
        <row r="63">
          <cell r="C63">
            <v>-0.33</v>
          </cell>
          <cell r="D63">
            <v>-9.82</v>
          </cell>
        </row>
        <row r="64">
          <cell r="C64">
            <v>-0.76</v>
          </cell>
          <cell r="D64">
            <v>-11.09</v>
          </cell>
        </row>
        <row r="66">
          <cell r="C66">
            <v>-3.02</v>
          </cell>
          <cell r="D66">
            <v>-8.69</v>
          </cell>
        </row>
        <row r="67">
          <cell r="C67">
            <v>-2.58</v>
          </cell>
          <cell r="D67">
            <v>-8.58</v>
          </cell>
        </row>
        <row r="68">
          <cell r="C68">
            <v>-1.68</v>
          </cell>
          <cell r="D68">
            <v>-9.8000000000000007</v>
          </cell>
        </row>
        <row r="69">
          <cell r="C69">
            <v>-0.35</v>
          </cell>
          <cell r="D69">
            <v>-8.7899999999999991</v>
          </cell>
        </row>
        <row r="70">
          <cell r="C70">
            <v>1.18</v>
          </cell>
          <cell r="D70">
            <v>-13.05</v>
          </cell>
        </row>
        <row r="71">
          <cell r="C71">
            <v>1.19</v>
          </cell>
          <cell r="D71">
            <v>-10.36</v>
          </cell>
        </row>
        <row r="72">
          <cell r="C72">
            <v>-1.87</v>
          </cell>
          <cell r="D72">
            <v>-7.02</v>
          </cell>
        </row>
        <row r="73">
          <cell r="C73">
            <v>-1.95</v>
          </cell>
          <cell r="D73">
            <v>-4.87</v>
          </cell>
        </row>
        <row r="74">
          <cell r="C74">
            <v>-3.3</v>
          </cell>
          <cell r="D74">
            <v>-6.94</v>
          </cell>
        </row>
        <row r="76">
          <cell r="C76">
            <v>-5.64</v>
          </cell>
          <cell r="D76">
            <v>-4.5599999999999996</v>
          </cell>
        </row>
        <row r="77">
          <cell r="C77">
            <v>-6</v>
          </cell>
          <cell r="D77">
            <v>-4.21</v>
          </cell>
        </row>
        <row r="78">
          <cell r="C78">
            <v>-4.07</v>
          </cell>
          <cell r="D78">
            <v>-5.0599999999999996</v>
          </cell>
        </row>
        <row r="79">
          <cell r="C79">
            <v>-3.42</v>
          </cell>
          <cell r="D79">
            <v>-5.04</v>
          </cell>
        </row>
        <row r="80">
          <cell r="C80">
            <v>-1.69</v>
          </cell>
          <cell r="D80">
            <v>-6.54</v>
          </cell>
        </row>
        <row r="81">
          <cell r="C81">
            <v>-2.56</v>
          </cell>
          <cell r="D81">
            <v>-5.32</v>
          </cell>
        </row>
        <row r="82">
          <cell r="C82">
            <v>-1.86</v>
          </cell>
          <cell r="D82">
            <v>-4.7300000000000004</v>
          </cell>
        </row>
        <row r="83">
          <cell r="C83">
            <v>-2.4</v>
          </cell>
          <cell r="D83">
            <v>-5.72</v>
          </cell>
        </row>
        <row r="84">
          <cell r="C84">
            <v>-2.99</v>
          </cell>
          <cell r="D84">
            <v>-3.34</v>
          </cell>
        </row>
        <row r="85">
          <cell r="C85">
            <v>-2.31</v>
          </cell>
          <cell r="D85">
            <v>-5.82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9A17-4D9A-48EF-B985-B7B2314596EF}">
  <dimension ref="B3:S66"/>
  <sheetViews>
    <sheetView tabSelected="1" workbookViewId="0">
      <selection activeCell="T10" sqref="T10"/>
    </sheetView>
  </sheetViews>
  <sheetFormatPr baseColWidth="10" defaultColWidth="9.140625" defaultRowHeight="15" x14ac:dyDescent="0.25"/>
  <cols>
    <col min="2" max="2" width="11.28515625" bestFit="1" customWidth="1"/>
    <col min="4" max="4" width="9.140625" style="1"/>
    <col min="5" max="5" width="7" customWidth="1"/>
    <col min="6" max="6" width="11.28515625" style="1" bestFit="1" customWidth="1"/>
    <col min="7" max="10" width="9.140625" style="1"/>
    <col min="12" max="12" width="14.5703125" customWidth="1"/>
    <col min="13" max="13" width="16.28515625" customWidth="1"/>
    <col min="14" max="14" width="9.42578125" bestFit="1" customWidth="1"/>
  </cols>
  <sheetData>
    <row r="3" spans="2:19" x14ac:dyDescent="0.25">
      <c r="B3" s="2" t="s">
        <v>0</v>
      </c>
      <c r="C3" s="2" t="s">
        <v>1</v>
      </c>
      <c r="D3" s="2" t="s">
        <v>2</v>
      </c>
      <c r="F3" s="3" t="s">
        <v>3</v>
      </c>
      <c r="G3" s="3"/>
      <c r="H3" s="3"/>
      <c r="I3" s="3"/>
      <c r="J3" s="3"/>
      <c r="K3" s="4" t="s">
        <v>4</v>
      </c>
      <c r="L3" s="2" t="s">
        <v>5</v>
      </c>
      <c r="M3" s="2" t="s">
        <v>6</v>
      </c>
      <c r="N3" s="2" t="s">
        <v>7</v>
      </c>
    </row>
    <row r="4" spans="2:19" x14ac:dyDescent="0.25">
      <c r="M4" s="1"/>
      <c r="N4" s="1"/>
    </row>
    <row r="5" spans="2:19" x14ac:dyDescent="0.25">
      <c r="B5">
        <v>2018</v>
      </c>
      <c r="C5" s="5">
        <v>46227</v>
      </c>
      <c r="D5" s="1" t="s">
        <v>8</v>
      </c>
      <c r="H5"/>
      <c r="I5"/>
      <c r="K5" s="1">
        <v>1200</v>
      </c>
      <c r="L5" s="10">
        <v>24.052510000000002</v>
      </c>
      <c r="M5" s="10">
        <v>2458323.5561429998</v>
      </c>
      <c r="N5" s="10">
        <v>-22.834</v>
      </c>
      <c r="O5" s="1"/>
      <c r="P5" s="1"/>
      <c r="Q5" s="1"/>
      <c r="R5" s="1"/>
      <c r="S5" s="1"/>
    </row>
    <row r="6" spans="2:19" x14ac:dyDescent="0.25">
      <c r="C6" s="5">
        <v>46230</v>
      </c>
      <c r="D6" s="1" t="s">
        <v>9</v>
      </c>
      <c r="H6"/>
      <c r="I6"/>
      <c r="K6" s="1">
        <v>1200</v>
      </c>
      <c r="L6" s="10">
        <v>27.99061</v>
      </c>
      <c r="M6" s="10">
        <v>2458327.4939350002</v>
      </c>
      <c r="N6" s="10">
        <v>-23.869</v>
      </c>
      <c r="O6" s="1"/>
      <c r="P6" s="1"/>
      <c r="Q6" s="1"/>
      <c r="R6" s="1"/>
      <c r="S6" s="1"/>
    </row>
    <row r="7" spans="2:19" x14ac:dyDescent="0.25">
      <c r="C7" s="5">
        <v>46237</v>
      </c>
      <c r="D7" s="1" t="s">
        <v>8</v>
      </c>
      <c r="H7"/>
      <c r="I7"/>
      <c r="K7" s="1">
        <v>1200</v>
      </c>
      <c r="L7" s="10">
        <v>3.1955</v>
      </c>
      <c r="M7" s="10">
        <v>2458333.6983110001</v>
      </c>
      <c r="N7" s="10">
        <v>-26.004999999999999</v>
      </c>
      <c r="O7" s="1"/>
      <c r="P7" s="1"/>
      <c r="Q7" s="1"/>
      <c r="R7" s="1"/>
      <c r="S7" s="1"/>
    </row>
    <row r="8" spans="2:19" x14ac:dyDescent="0.25">
      <c r="C8" s="5">
        <v>46241</v>
      </c>
      <c r="D8" s="1" t="s">
        <v>9</v>
      </c>
      <c r="H8"/>
      <c r="I8"/>
      <c r="K8" s="1">
        <v>1200</v>
      </c>
      <c r="L8" s="10">
        <v>7.0416299999999996</v>
      </c>
      <c r="M8" s="10">
        <v>2458337.5441060001</v>
      </c>
      <c r="N8" s="10">
        <v>-26.594000000000001</v>
      </c>
      <c r="O8" s="1"/>
      <c r="P8" s="1"/>
      <c r="Q8" s="1"/>
      <c r="R8" s="1"/>
      <c r="S8" s="1"/>
    </row>
    <row r="9" spans="2:19" x14ac:dyDescent="0.25">
      <c r="C9" s="5">
        <v>46245</v>
      </c>
      <c r="D9" s="1" t="s">
        <v>9</v>
      </c>
      <c r="H9"/>
      <c r="I9"/>
      <c r="K9" s="1">
        <v>1200</v>
      </c>
      <c r="L9" s="10">
        <v>11.10295</v>
      </c>
      <c r="M9" s="10">
        <v>2458341.6050610002</v>
      </c>
      <c r="N9" s="10">
        <v>-27.585000000000001</v>
      </c>
      <c r="O9" s="1"/>
      <c r="P9" s="1"/>
      <c r="Q9" s="1"/>
      <c r="R9" s="1"/>
      <c r="S9" s="1"/>
    </row>
    <row r="10" spans="2:19" x14ac:dyDescent="0.25">
      <c r="C10" s="5">
        <v>46250</v>
      </c>
      <c r="D10" s="1" t="s">
        <v>9</v>
      </c>
      <c r="H10"/>
      <c r="I10"/>
      <c r="K10" s="1">
        <v>1200</v>
      </c>
      <c r="L10" s="10">
        <v>16.006450000000001</v>
      </c>
      <c r="M10" s="10">
        <v>2458346.508107</v>
      </c>
      <c r="N10" s="10">
        <v>-28.186</v>
      </c>
      <c r="O10" s="1"/>
      <c r="P10" s="1"/>
      <c r="Q10" s="1"/>
      <c r="R10" s="1"/>
      <c r="S10" s="1"/>
    </row>
    <row r="11" spans="2:19" x14ac:dyDescent="0.25">
      <c r="C11" s="5">
        <v>46257</v>
      </c>
      <c r="D11" s="1" t="s">
        <v>9</v>
      </c>
      <c r="H11"/>
      <c r="I11"/>
      <c r="K11" s="1">
        <v>1200</v>
      </c>
      <c r="L11" s="10">
        <v>23.07769</v>
      </c>
      <c r="M11" s="10">
        <v>2458353.578673</v>
      </c>
      <c r="N11" s="10">
        <v>-29.209</v>
      </c>
      <c r="O11" s="1"/>
      <c r="P11" s="1"/>
      <c r="Q11" s="1"/>
      <c r="R11" s="1"/>
      <c r="S11" s="1"/>
    </row>
    <row r="12" spans="2:19" x14ac:dyDescent="0.25">
      <c r="C12" s="5">
        <v>46263</v>
      </c>
      <c r="D12" s="1" t="s">
        <v>8</v>
      </c>
      <c r="H12"/>
      <c r="I12"/>
      <c r="K12" s="1">
        <v>1200</v>
      </c>
      <c r="L12" s="10">
        <v>29.997119999999999</v>
      </c>
      <c r="M12" s="10">
        <v>2458360.4974290002</v>
      </c>
      <c r="N12" s="10">
        <v>-29.472000000000001</v>
      </c>
      <c r="O12" s="1"/>
      <c r="P12" s="1"/>
      <c r="Q12" s="1"/>
      <c r="R12" s="1"/>
      <c r="S12" s="1"/>
    </row>
    <row r="13" spans="2:19" x14ac:dyDescent="0.25">
      <c r="C13" s="5">
        <v>46276</v>
      </c>
      <c r="D13" s="1" t="s">
        <v>10</v>
      </c>
      <c r="H13"/>
      <c r="I13"/>
      <c r="K13" s="1">
        <v>1200</v>
      </c>
      <c r="L13" s="10">
        <v>11.016529999999999</v>
      </c>
      <c r="M13" s="10">
        <v>2458372.5156629998</v>
      </c>
      <c r="N13" s="10">
        <v>-29.364000000000001</v>
      </c>
      <c r="O13" s="1"/>
      <c r="P13" s="1"/>
      <c r="Q13" s="1"/>
      <c r="R13" s="1"/>
      <c r="S13" s="1"/>
    </row>
    <row r="14" spans="2:19" x14ac:dyDescent="0.25">
      <c r="C14" s="5">
        <v>46286</v>
      </c>
      <c r="D14" s="1" t="s">
        <v>8</v>
      </c>
      <c r="H14"/>
      <c r="I14"/>
      <c r="K14" s="1">
        <v>1200</v>
      </c>
      <c r="L14" s="10">
        <v>21.047879999999999</v>
      </c>
      <c r="M14" s="10">
        <v>2458382.5460549998</v>
      </c>
      <c r="N14" s="10">
        <v>-28.302</v>
      </c>
      <c r="O14" s="1"/>
      <c r="P14" s="1"/>
      <c r="Q14" s="1"/>
      <c r="R14" s="1"/>
      <c r="S14" s="1"/>
    </row>
    <row r="15" spans="2:19" x14ac:dyDescent="0.25">
      <c r="C15" s="5"/>
      <c r="K15" s="1"/>
      <c r="L15" s="1"/>
      <c r="M15" s="1"/>
      <c r="N15" s="1"/>
      <c r="O15" s="1"/>
      <c r="P15" s="1"/>
      <c r="Q15" s="1"/>
      <c r="R15" s="1"/>
      <c r="S15" s="1"/>
    </row>
    <row r="16" spans="2:19" x14ac:dyDescent="0.25">
      <c r="C16" s="5"/>
      <c r="K16" s="1"/>
      <c r="L16" s="1"/>
      <c r="M16" s="1"/>
      <c r="N16" s="1"/>
      <c r="O16" s="1"/>
    </row>
    <row r="17" spans="2:15" x14ac:dyDescent="0.25">
      <c r="B17">
        <v>2019</v>
      </c>
      <c r="C17" s="5">
        <v>46239</v>
      </c>
      <c r="D17" s="1" t="s">
        <v>11</v>
      </c>
      <c r="F17" s="1" t="s">
        <v>12</v>
      </c>
      <c r="G17" s="1">
        <v>5</v>
      </c>
      <c r="H17" s="1">
        <v>21</v>
      </c>
      <c r="I17" s="1">
        <v>0</v>
      </c>
      <c r="J17" s="1">
        <v>0</v>
      </c>
      <c r="K17" s="1">
        <v>30</v>
      </c>
      <c r="L17" s="1">
        <f t="shared" ref="L17:L18" si="0">ROUND(G17+(H17+(I17+(J17+K17/2)/60)/60)/24,7)</f>
        <v>5.8751736000000001</v>
      </c>
      <c r="M17" s="1">
        <v>2458701.377777</v>
      </c>
      <c r="N17" s="1">
        <v>-26.244</v>
      </c>
      <c r="O17" s="1"/>
    </row>
    <row r="18" spans="2:15" x14ac:dyDescent="0.25">
      <c r="C18" s="5">
        <v>46240</v>
      </c>
      <c r="D18" s="1" t="s">
        <v>11</v>
      </c>
      <c r="F18" s="1" t="s">
        <v>12</v>
      </c>
      <c r="G18" s="1">
        <v>6</v>
      </c>
      <c r="H18" s="1">
        <v>20</v>
      </c>
      <c r="I18" s="1">
        <v>40</v>
      </c>
      <c r="J18" s="1">
        <v>0</v>
      </c>
      <c r="K18" s="1">
        <v>3</v>
      </c>
      <c r="L18" s="1">
        <f t="shared" si="0"/>
        <v>6.8611285000000004</v>
      </c>
      <c r="M18" s="1">
        <v>2458702.363628</v>
      </c>
      <c r="N18" s="1">
        <v>-26.433</v>
      </c>
      <c r="O18" s="1"/>
    </row>
    <row r="19" spans="2:15" x14ac:dyDescent="0.25">
      <c r="C19" s="5"/>
      <c r="K19" s="1"/>
      <c r="L19" s="1"/>
      <c r="M19" s="1"/>
      <c r="N19" s="1"/>
      <c r="O19" s="1"/>
    </row>
    <row r="20" spans="2:15" x14ac:dyDescent="0.25">
      <c r="C20" s="5"/>
      <c r="K20" s="1"/>
      <c r="L20" s="1"/>
      <c r="M20" s="1"/>
      <c r="N20" s="1"/>
      <c r="O20" s="1"/>
    </row>
    <row r="21" spans="2:15" x14ac:dyDescent="0.25">
      <c r="B21">
        <v>2023</v>
      </c>
      <c r="C21" s="6">
        <v>46258</v>
      </c>
      <c r="F21" s="1" t="s">
        <v>12</v>
      </c>
      <c r="G21" s="1">
        <v>24</v>
      </c>
      <c r="H21" s="1">
        <v>23</v>
      </c>
      <c r="I21" s="1">
        <v>52</v>
      </c>
      <c r="J21" s="1">
        <v>13</v>
      </c>
      <c r="K21" s="1">
        <v>300</v>
      </c>
      <c r="L21" s="1">
        <f>ROUND(G21+(H21+(I21+(J21+K21/2)/60)/60)/24,7)</f>
        <v>24.996331000000001</v>
      </c>
      <c r="M21" s="1">
        <v>2460181.497221</v>
      </c>
      <c r="N21" s="1">
        <v>-29.154</v>
      </c>
    </row>
    <row r="22" spans="2:15" x14ac:dyDescent="0.25">
      <c r="C22" s="6">
        <v>46262</v>
      </c>
      <c r="F22" s="1" t="s">
        <v>12</v>
      </c>
      <c r="G22" s="1">
        <v>28</v>
      </c>
      <c r="H22" s="1">
        <v>23</v>
      </c>
      <c r="I22" s="1">
        <v>40</v>
      </c>
      <c r="J22" s="1">
        <v>47</v>
      </c>
      <c r="K22" s="1">
        <v>300</v>
      </c>
      <c r="L22" s="1">
        <f t="shared" ref="L22:L31" si="1">ROUND(G22+(H22+(I22+(J22+K22/2)/60)/60)/24,7)</f>
        <v>28.988391199999999</v>
      </c>
      <c r="M22" s="1">
        <v>2460185.4888920002</v>
      </c>
      <c r="N22" s="1">
        <v>-29.381</v>
      </c>
    </row>
    <row r="23" spans="2:15" x14ac:dyDescent="0.25">
      <c r="C23" s="6">
        <v>46263</v>
      </c>
      <c r="F23" s="1" t="s">
        <v>12</v>
      </c>
      <c r="G23" s="1">
        <v>30</v>
      </c>
      <c r="H23" s="1">
        <v>0</v>
      </c>
      <c r="I23" s="1">
        <v>50</v>
      </c>
      <c r="J23" s="1">
        <v>37</v>
      </c>
      <c r="K23" s="1">
        <v>300</v>
      </c>
      <c r="L23" s="1">
        <f t="shared" si="1"/>
        <v>30.036886599999999</v>
      </c>
      <c r="M23" s="1">
        <v>2460186.5372850001</v>
      </c>
      <c r="N23" s="1">
        <v>-29.542000000000002</v>
      </c>
    </row>
    <row r="24" spans="2:15" x14ac:dyDescent="0.25">
      <c r="C24" s="6">
        <v>46266</v>
      </c>
      <c r="D24" s="1" t="s">
        <v>13</v>
      </c>
      <c r="F24" t="s">
        <v>14</v>
      </c>
      <c r="G24" s="1">
        <v>2</v>
      </c>
      <c r="H24" s="1">
        <v>0</v>
      </c>
      <c r="I24" s="1">
        <v>44</v>
      </c>
      <c r="J24" s="1">
        <v>11</v>
      </c>
      <c r="K24" s="1">
        <v>300</v>
      </c>
      <c r="L24" s="1">
        <f t="shared" si="1"/>
        <v>2.032419</v>
      </c>
      <c r="M24" s="1">
        <v>2460189.5325239999</v>
      </c>
      <c r="N24" s="1">
        <v>-29.61</v>
      </c>
    </row>
    <row r="25" spans="2:15" x14ac:dyDescent="0.25">
      <c r="C25" s="6">
        <v>46273</v>
      </c>
      <c r="D25" s="1" t="s">
        <v>15</v>
      </c>
      <c r="F25" t="s">
        <v>14</v>
      </c>
      <c r="G25" s="1">
        <v>9</v>
      </c>
      <c r="H25" s="1">
        <v>0</v>
      </c>
      <c r="I25" s="1">
        <v>41</v>
      </c>
      <c r="J25" s="1">
        <v>29</v>
      </c>
      <c r="K25" s="1">
        <v>300</v>
      </c>
      <c r="L25" s="1">
        <f t="shared" si="1"/>
        <v>9.0305440000000008</v>
      </c>
      <c r="M25" s="1">
        <v>2460196.5299999998</v>
      </c>
      <c r="N25" s="1">
        <v>-29.504000000000001</v>
      </c>
      <c r="O25" s="1"/>
    </row>
    <row r="26" spans="2:15" x14ac:dyDescent="0.25">
      <c r="C26" s="6">
        <v>46284</v>
      </c>
      <c r="D26" s="7" t="s">
        <v>16</v>
      </c>
      <c r="F26" t="s">
        <v>14</v>
      </c>
      <c r="G26" s="1">
        <v>20</v>
      </c>
      <c r="H26" s="1">
        <v>0</v>
      </c>
      <c r="I26" s="1">
        <v>4</v>
      </c>
      <c r="J26" s="1">
        <v>20</v>
      </c>
      <c r="K26" s="1">
        <v>300</v>
      </c>
      <c r="L26" s="1">
        <f t="shared" si="1"/>
        <v>20.004745400000001</v>
      </c>
      <c r="M26" s="1">
        <v>2460207.503</v>
      </c>
      <c r="N26" s="1">
        <v>-28.420999999999999</v>
      </c>
    </row>
    <row r="27" spans="2:15" x14ac:dyDescent="0.25">
      <c r="C27" s="6">
        <v>46286</v>
      </c>
      <c r="D27" s="1" t="s">
        <v>17</v>
      </c>
      <c r="F27" t="s">
        <v>14</v>
      </c>
      <c r="G27" s="1">
        <v>22</v>
      </c>
      <c r="H27" s="1">
        <v>0</v>
      </c>
      <c r="I27" s="1">
        <v>51</v>
      </c>
      <c r="J27" s="1">
        <v>3</v>
      </c>
      <c r="K27" s="1">
        <v>300</v>
      </c>
      <c r="L27" s="1">
        <f t="shared" si="1"/>
        <v>22.037187500000002</v>
      </c>
      <c r="M27" s="1">
        <v>2460209.5350000001</v>
      </c>
      <c r="N27" s="1">
        <v>-28.172000000000001</v>
      </c>
      <c r="O27" s="1"/>
    </row>
    <row r="28" spans="2:15" x14ac:dyDescent="0.25">
      <c r="C28" s="6">
        <v>46290</v>
      </c>
      <c r="D28" s="1" t="s">
        <v>18</v>
      </c>
      <c r="F28" t="s">
        <v>14</v>
      </c>
      <c r="G28" s="1">
        <v>26</v>
      </c>
      <c r="H28" s="1">
        <v>0</v>
      </c>
      <c r="I28" s="1">
        <v>47</v>
      </c>
      <c r="J28" s="1">
        <v>12</v>
      </c>
      <c r="K28" s="1">
        <v>300</v>
      </c>
      <c r="L28" s="1">
        <f t="shared" si="1"/>
        <v>26.0345139</v>
      </c>
      <c r="M28" s="1">
        <v>2460213.5320000001</v>
      </c>
      <c r="N28" s="1">
        <v>-27.46</v>
      </c>
      <c r="O28" s="1"/>
    </row>
    <row r="29" spans="2:15" x14ac:dyDescent="0.25">
      <c r="C29" s="6">
        <v>46294</v>
      </c>
      <c r="D29" s="1" t="s">
        <v>15</v>
      </c>
      <c r="F29" s="1" t="s">
        <v>14</v>
      </c>
      <c r="G29" s="1">
        <v>29</v>
      </c>
      <c r="H29" s="1">
        <v>23</v>
      </c>
      <c r="I29" s="1">
        <v>49</v>
      </c>
      <c r="J29" s="1">
        <v>31</v>
      </c>
      <c r="K29" s="1">
        <v>300</v>
      </c>
      <c r="L29" s="1">
        <f t="shared" si="1"/>
        <v>29.994456</v>
      </c>
      <c r="M29" s="1">
        <v>2460217.4920000001</v>
      </c>
      <c r="N29" s="1">
        <v>-26.576000000000001</v>
      </c>
      <c r="O29" s="1"/>
    </row>
    <row r="30" spans="2:15" x14ac:dyDescent="0.25">
      <c r="C30" s="6">
        <v>46307</v>
      </c>
      <c r="D30" s="1" t="s">
        <v>16</v>
      </c>
      <c r="F30" s="1" t="s">
        <v>19</v>
      </c>
      <c r="G30" s="1">
        <v>12</v>
      </c>
      <c r="H30" s="1">
        <v>23</v>
      </c>
      <c r="I30" s="1">
        <v>36</v>
      </c>
      <c r="J30" s="1">
        <v>4</v>
      </c>
      <c r="K30" s="1">
        <v>300</v>
      </c>
      <c r="L30" s="1">
        <f t="shared" si="1"/>
        <v>12.9851157</v>
      </c>
      <c r="M30" s="1">
        <v>2460230.4815000002</v>
      </c>
      <c r="N30" s="1">
        <v>-23.047000000000001</v>
      </c>
      <c r="O30" s="1"/>
    </row>
    <row r="31" spans="2:15" x14ac:dyDescent="0.25">
      <c r="C31" s="6">
        <v>46314</v>
      </c>
      <c r="D31" s="1" t="s">
        <v>15</v>
      </c>
      <c r="F31" s="1" t="s">
        <v>19</v>
      </c>
      <c r="G31" s="1">
        <v>19</v>
      </c>
      <c r="H31" s="1">
        <v>23</v>
      </c>
      <c r="I31" s="1">
        <v>18</v>
      </c>
      <c r="J31" s="1">
        <v>54</v>
      </c>
      <c r="K31" s="1">
        <v>300</v>
      </c>
      <c r="L31" s="1">
        <f t="shared" si="1"/>
        <v>19.973194400000001</v>
      </c>
      <c r="M31" s="1">
        <v>2460237.469</v>
      </c>
      <c r="N31" s="1">
        <v>-20.606999999999999</v>
      </c>
      <c r="O31" s="1"/>
    </row>
    <row r="33" spans="2:14" x14ac:dyDescent="0.25">
      <c r="K33" s="1"/>
    </row>
    <row r="34" spans="2:14" x14ac:dyDescent="0.25">
      <c r="B34">
        <v>2024</v>
      </c>
      <c r="C34" s="6">
        <v>46214</v>
      </c>
      <c r="F34" s="1" t="s">
        <v>20</v>
      </c>
      <c r="G34" s="1">
        <v>12</v>
      </c>
      <c r="H34" s="1">
        <v>0</v>
      </c>
      <c r="I34" s="1">
        <v>9</v>
      </c>
      <c r="J34" s="1">
        <v>38</v>
      </c>
      <c r="K34" s="1">
        <v>360</v>
      </c>
      <c r="L34" s="1">
        <f t="shared" ref="L34:L66" si="2">ROUND(G34+(H34+(I34+(J34+K34/2)/60)/60)/24,7)</f>
        <v>12.008773100000001</v>
      </c>
      <c r="M34" s="1">
        <v>2460503.5132880001</v>
      </c>
      <c r="N34" s="1">
        <v>-18.651</v>
      </c>
    </row>
    <row r="35" spans="2:14" x14ac:dyDescent="0.25">
      <c r="C35" s="6">
        <v>46225</v>
      </c>
      <c r="F35" s="1" t="s">
        <v>20</v>
      </c>
      <c r="G35" s="1">
        <v>23</v>
      </c>
      <c r="H35" s="1">
        <v>0</v>
      </c>
      <c r="I35" s="1">
        <v>9</v>
      </c>
      <c r="J35" s="1">
        <v>37</v>
      </c>
      <c r="K35" s="1">
        <v>350</v>
      </c>
      <c r="L35" s="1">
        <f t="shared" si="2"/>
        <v>23.008703700000002</v>
      </c>
      <c r="M35" s="1">
        <v>2460514.5124559999</v>
      </c>
      <c r="N35" s="1">
        <v>-22.518999999999998</v>
      </c>
    </row>
    <row r="36" spans="2:14" x14ac:dyDescent="0.25">
      <c r="C36" s="6">
        <v>46240</v>
      </c>
      <c r="D36" t="s">
        <v>21</v>
      </c>
      <c r="F36" s="1" t="s">
        <v>12</v>
      </c>
      <c r="G36" s="1">
        <v>6</v>
      </c>
      <c r="H36" s="1">
        <v>23</v>
      </c>
      <c r="I36" s="1">
        <v>46</v>
      </c>
      <c r="J36" s="1">
        <v>34</v>
      </c>
      <c r="K36" s="1">
        <v>600</v>
      </c>
      <c r="L36" s="1">
        <f t="shared" si="2"/>
        <v>6.9941434999999998</v>
      </c>
      <c r="M36" s="1">
        <v>2460529.4966580002</v>
      </c>
      <c r="N36" s="1">
        <v>-26.567</v>
      </c>
    </row>
    <row r="37" spans="2:14" x14ac:dyDescent="0.25">
      <c r="C37" s="6">
        <v>46250</v>
      </c>
      <c r="D37"/>
      <c r="F37" s="1" t="s">
        <v>12</v>
      </c>
      <c r="G37" s="1">
        <v>16</v>
      </c>
      <c r="H37" s="1">
        <v>23</v>
      </c>
      <c r="I37" s="1">
        <v>45</v>
      </c>
      <c r="J37" s="1">
        <v>30</v>
      </c>
      <c r="K37" s="1">
        <v>600</v>
      </c>
      <c r="L37" s="1">
        <f t="shared" si="2"/>
        <v>16.993402799999998</v>
      </c>
      <c r="M37" s="1">
        <v>2460539.4949989999</v>
      </c>
      <c r="N37" s="1">
        <v>-28.34</v>
      </c>
    </row>
    <row r="38" spans="2:14" x14ac:dyDescent="0.25">
      <c r="C38" s="6">
        <v>46250</v>
      </c>
      <c r="D38" t="s">
        <v>21</v>
      </c>
      <c r="F38" s="1" t="s">
        <v>12</v>
      </c>
      <c r="G38" s="1">
        <v>17</v>
      </c>
      <c r="H38" s="1">
        <v>0</v>
      </c>
      <c r="I38" s="1">
        <v>5</v>
      </c>
      <c r="J38" s="1">
        <v>10</v>
      </c>
      <c r="K38" s="1">
        <v>1200</v>
      </c>
      <c r="L38" s="1">
        <f t="shared" si="2"/>
        <v>17.010532399999999</v>
      </c>
      <c r="M38" s="1">
        <v>2460539.5121260001</v>
      </c>
      <c r="N38" s="1">
        <v>-28.387</v>
      </c>
    </row>
    <row r="39" spans="2:14" x14ac:dyDescent="0.25">
      <c r="C39" s="6">
        <v>46260</v>
      </c>
      <c r="D39"/>
      <c r="F39" s="1" t="s">
        <v>12</v>
      </c>
      <c r="G39" s="1">
        <v>26</v>
      </c>
      <c r="H39" s="1">
        <v>23</v>
      </c>
      <c r="I39" s="1">
        <v>49</v>
      </c>
      <c r="J39" s="1">
        <v>20</v>
      </c>
      <c r="K39" s="1">
        <v>600</v>
      </c>
      <c r="L39" s="1">
        <f t="shared" si="2"/>
        <v>26.996064799999999</v>
      </c>
      <c r="M39" s="1">
        <v>2460549.496698</v>
      </c>
      <c r="N39" s="1">
        <v>-29.352</v>
      </c>
    </row>
    <row r="40" spans="2:14" x14ac:dyDescent="0.25">
      <c r="C40" s="6">
        <v>46260</v>
      </c>
      <c r="D40" t="s">
        <v>21</v>
      </c>
      <c r="F40" s="1" t="s">
        <v>12</v>
      </c>
      <c r="G40" s="1">
        <v>27</v>
      </c>
      <c r="H40" s="1">
        <v>0</v>
      </c>
      <c r="I40" s="1">
        <v>23</v>
      </c>
      <c r="J40" s="1">
        <v>17</v>
      </c>
      <c r="K40" s="1">
        <v>1200</v>
      </c>
      <c r="L40" s="1">
        <f t="shared" si="2"/>
        <v>27.0231134</v>
      </c>
      <c r="M40" s="1">
        <v>2460549.5237440001</v>
      </c>
      <c r="N40" s="1">
        <v>-29.420999999999999</v>
      </c>
    </row>
    <row r="41" spans="2:14" x14ac:dyDescent="0.25">
      <c r="C41" s="6">
        <v>46271</v>
      </c>
      <c r="D41" t="s">
        <v>21</v>
      </c>
      <c r="F41" s="1" t="s">
        <v>14</v>
      </c>
      <c r="G41" s="1">
        <v>7</v>
      </c>
      <c r="H41" s="1">
        <v>0</v>
      </c>
      <c r="I41" s="1">
        <v>8</v>
      </c>
      <c r="J41" s="1">
        <v>1</v>
      </c>
      <c r="K41" s="1">
        <v>1200</v>
      </c>
      <c r="L41" s="1">
        <f t="shared" si="2"/>
        <v>7.0125115999999998</v>
      </c>
      <c r="M41" s="1">
        <v>2460560.5120649999</v>
      </c>
      <c r="N41" s="1">
        <v>-29.526</v>
      </c>
    </row>
    <row r="42" spans="2:14" x14ac:dyDescent="0.25">
      <c r="C42" s="6">
        <v>46271</v>
      </c>
      <c r="F42" t="s">
        <v>14</v>
      </c>
      <c r="G42" s="1">
        <v>7</v>
      </c>
      <c r="H42" s="1">
        <v>0</v>
      </c>
      <c r="I42" s="1">
        <v>44</v>
      </c>
      <c r="J42" s="1">
        <v>23</v>
      </c>
      <c r="K42" s="1">
        <v>600</v>
      </c>
      <c r="L42" s="1">
        <f t="shared" si="2"/>
        <v>7.034294</v>
      </c>
      <c r="M42" s="1">
        <v>2460560.533845</v>
      </c>
      <c r="N42" s="1">
        <v>-29.573</v>
      </c>
    </row>
    <row r="43" spans="2:14" x14ac:dyDescent="0.25">
      <c r="C43" s="6">
        <v>46284</v>
      </c>
      <c r="F43" t="s">
        <v>14</v>
      </c>
      <c r="G43" s="1">
        <v>20</v>
      </c>
      <c r="H43" s="1">
        <v>1</v>
      </c>
      <c r="I43" s="1">
        <v>4</v>
      </c>
      <c r="J43" s="1">
        <v>51</v>
      </c>
      <c r="K43" s="1">
        <v>600</v>
      </c>
      <c r="L43" s="1">
        <f t="shared" si="2"/>
        <v>20.0485069</v>
      </c>
      <c r="M43" s="1">
        <v>2460573.5468080002</v>
      </c>
      <c r="N43" s="1">
        <v>-28.38</v>
      </c>
    </row>
    <row r="44" spans="2:14" x14ac:dyDescent="0.25">
      <c r="C44" s="6">
        <v>46289</v>
      </c>
      <c r="F44" s="1" t="s">
        <v>14</v>
      </c>
      <c r="G44" s="1">
        <v>25</v>
      </c>
      <c r="H44" s="1">
        <v>0</v>
      </c>
      <c r="I44" s="1">
        <v>2</v>
      </c>
      <c r="J44" s="1">
        <v>2</v>
      </c>
      <c r="K44" s="1">
        <v>420</v>
      </c>
      <c r="L44" s="1">
        <f t="shared" si="2"/>
        <v>25.003842599999999</v>
      </c>
      <c r="M44" s="1">
        <v>2460578.501687</v>
      </c>
      <c r="N44" s="1">
        <v>-27.486999999999998</v>
      </c>
    </row>
    <row r="45" spans="2:14" x14ac:dyDescent="0.25">
      <c r="C45" s="6">
        <v>46296</v>
      </c>
      <c r="F45" s="1" t="s">
        <v>19</v>
      </c>
      <c r="G45" s="1">
        <v>2</v>
      </c>
      <c r="H45" s="1">
        <v>0</v>
      </c>
      <c r="I45" s="1">
        <v>50</v>
      </c>
      <c r="J45" s="1">
        <v>38</v>
      </c>
      <c r="K45" s="1">
        <v>420</v>
      </c>
      <c r="L45" s="1">
        <f t="shared" si="2"/>
        <v>2.0375926</v>
      </c>
      <c r="M45" s="1">
        <v>2460585.5348160001</v>
      </c>
      <c r="N45" s="1">
        <v>-26.021000000000001</v>
      </c>
    </row>
    <row r="46" spans="2:14" x14ac:dyDescent="0.25">
      <c r="C46" s="6">
        <v>46306</v>
      </c>
      <c r="D46" s="8"/>
      <c r="F46" s="1" t="s">
        <v>19</v>
      </c>
      <c r="G46" s="1">
        <v>11</v>
      </c>
      <c r="H46" s="1">
        <v>23</v>
      </c>
      <c r="I46" s="1">
        <v>27</v>
      </c>
      <c r="J46" s="1">
        <v>21</v>
      </c>
      <c r="K46" s="8">
        <v>300</v>
      </c>
      <c r="L46" s="1">
        <f t="shared" si="2"/>
        <v>11.9790625</v>
      </c>
      <c r="M46" s="1">
        <v>2460595.4754809998</v>
      </c>
      <c r="N46" s="1">
        <v>-23.106999999999999</v>
      </c>
    </row>
    <row r="47" spans="2:14" x14ac:dyDescent="0.25">
      <c r="C47" s="6">
        <v>46306</v>
      </c>
      <c r="D47" s="9" t="s">
        <v>22</v>
      </c>
      <c r="F47" s="1" t="s">
        <v>19</v>
      </c>
      <c r="G47" s="1">
        <v>11</v>
      </c>
      <c r="H47" s="1">
        <v>23</v>
      </c>
      <c r="I47" s="1">
        <v>38</v>
      </c>
      <c r="J47" s="1">
        <v>28</v>
      </c>
      <c r="K47" s="8">
        <v>360</v>
      </c>
      <c r="L47" s="1">
        <f t="shared" si="2"/>
        <v>11.987129599999999</v>
      </c>
      <c r="M47" s="1">
        <v>2460595.483548</v>
      </c>
      <c r="N47" s="1">
        <v>-23.117000000000001</v>
      </c>
    </row>
    <row r="48" spans="2:14" x14ac:dyDescent="0.25">
      <c r="C48" s="6">
        <v>46312</v>
      </c>
      <c r="F48" s="1" t="s">
        <v>19</v>
      </c>
      <c r="G48" s="1">
        <v>17</v>
      </c>
      <c r="H48" s="1">
        <v>23</v>
      </c>
      <c r="I48" s="1">
        <v>4</v>
      </c>
      <c r="J48" s="1">
        <v>0</v>
      </c>
      <c r="K48" s="1">
        <v>360</v>
      </c>
      <c r="L48" s="1">
        <f t="shared" si="2"/>
        <v>17.963194399999999</v>
      </c>
      <c r="M48" s="1">
        <v>2460601.459179</v>
      </c>
      <c r="N48" s="1">
        <v>-21.055</v>
      </c>
    </row>
    <row r="49" spans="2:14" x14ac:dyDescent="0.25">
      <c r="C49" s="6">
        <v>46313</v>
      </c>
      <c r="D49" s="9" t="s">
        <v>22</v>
      </c>
      <c r="F49" s="1" t="s">
        <v>19</v>
      </c>
      <c r="G49" s="1">
        <v>18</v>
      </c>
      <c r="H49" s="1">
        <v>23</v>
      </c>
      <c r="I49" s="1">
        <v>42</v>
      </c>
      <c r="J49" s="1">
        <v>6</v>
      </c>
      <c r="K49" s="8">
        <v>360</v>
      </c>
      <c r="L49" s="1">
        <f t="shared" si="2"/>
        <v>18.989652800000002</v>
      </c>
      <c r="M49" s="1">
        <v>2460602.4855670002</v>
      </c>
      <c r="N49" s="1">
        <v>-20.722999999999999</v>
      </c>
    </row>
    <row r="50" spans="2:14" x14ac:dyDescent="0.25">
      <c r="C50" s="6">
        <v>46313</v>
      </c>
      <c r="D50" s="8"/>
      <c r="F50" s="1" t="s">
        <v>19</v>
      </c>
      <c r="G50" s="1">
        <v>18</v>
      </c>
      <c r="H50" s="1">
        <v>23</v>
      </c>
      <c r="I50" s="1">
        <v>55</v>
      </c>
      <c r="J50" s="1">
        <v>51</v>
      </c>
      <c r="K50" s="8">
        <v>480</v>
      </c>
      <c r="L50" s="1">
        <f t="shared" si="2"/>
        <v>18.999895800000001</v>
      </c>
      <c r="M50" s="1">
        <v>2460602.495809</v>
      </c>
      <c r="N50" s="1">
        <v>-20.73</v>
      </c>
    </row>
    <row r="51" spans="2:14" x14ac:dyDescent="0.25">
      <c r="C51" s="6">
        <v>46319</v>
      </c>
      <c r="F51" s="1" t="s">
        <v>19</v>
      </c>
      <c r="G51" s="1">
        <v>24</v>
      </c>
      <c r="H51" s="1">
        <v>23</v>
      </c>
      <c r="I51" s="1">
        <v>50</v>
      </c>
      <c r="J51" s="1">
        <v>29</v>
      </c>
      <c r="K51" s="1">
        <v>480</v>
      </c>
      <c r="L51" s="1">
        <f t="shared" si="2"/>
        <v>24.996168999999998</v>
      </c>
      <c r="M51" s="1">
        <v>2460608.4916980001</v>
      </c>
      <c r="N51" s="1">
        <v>-18.427</v>
      </c>
    </row>
    <row r="52" spans="2:14" x14ac:dyDescent="0.25">
      <c r="L52" s="1"/>
    </row>
    <row r="53" spans="2:14" x14ac:dyDescent="0.25">
      <c r="L53" s="1"/>
    </row>
    <row r="54" spans="2:14" x14ac:dyDescent="0.25">
      <c r="B54">
        <v>2025</v>
      </c>
      <c r="C54" s="5">
        <v>46253</v>
      </c>
      <c r="F54" s="1" t="s">
        <v>12</v>
      </c>
      <c r="G54" s="1">
        <v>19</v>
      </c>
      <c r="H54" s="1">
        <v>23</v>
      </c>
      <c r="I54" s="1">
        <v>54</v>
      </c>
      <c r="J54" s="1">
        <v>18</v>
      </c>
      <c r="K54" s="1">
        <v>600</v>
      </c>
      <c r="L54" s="1">
        <f t="shared" si="2"/>
        <v>19.9995139</v>
      </c>
      <c r="M54" s="1">
        <v>2460907.5008490002</v>
      </c>
      <c r="N54" s="1">
        <v>-28.802</v>
      </c>
    </row>
    <row r="55" spans="2:14" x14ac:dyDescent="0.25">
      <c r="L55" s="1"/>
    </row>
    <row r="56" spans="2:14" x14ac:dyDescent="0.25">
      <c r="L56" s="1"/>
    </row>
    <row r="57" spans="2:14" x14ac:dyDescent="0.25">
      <c r="B57">
        <v>2026</v>
      </c>
      <c r="C57" s="5">
        <v>46227</v>
      </c>
      <c r="F57" s="1" t="s">
        <v>20</v>
      </c>
      <c r="G57" s="1">
        <v>25</v>
      </c>
      <c r="H57" s="1">
        <v>1</v>
      </c>
      <c r="I57" s="1">
        <v>3</v>
      </c>
      <c r="J57" s="1">
        <v>39</v>
      </c>
      <c r="K57" s="1">
        <v>600</v>
      </c>
      <c r="L57" s="1">
        <f t="shared" si="2"/>
        <v>25.0476736</v>
      </c>
      <c r="M57" s="1">
        <v>2461246.551304</v>
      </c>
      <c r="N57" s="1">
        <v>-23.128</v>
      </c>
    </row>
    <row r="58" spans="2:14" x14ac:dyDescent="0.25">
      <c r="C58" s="5">
        <v>46230</v>
      </c>
      <c r="F58" s="1" t="s">
        <v>20</v>
      </c>
      <c r="G58" s="1">
        <v>28</v>
      </c>
      <c r="H58" s="1">
        <v>0</v>
      </c>
      <c r="I58" s="1">
        <v>17</v>
      </c>
      <c r="J58" s="1">
        <v>49</v>
      </c>
      <c r="K58" s="1">
        <v>600</v>
      </c>
      <c r="L58" s="1">
        <f t="shared" si="2"/>
        <v>28.015844900000001</v>
      </c>
      <c r="M58" s="1">
        <v>2461249.5192419998</v>
      </c>
      <c r="N58" s="1">
        <v>-23.934000000000001</v>
      </c>
    </row>
    <row r="59" spans="2:14" x14ac:dyDescent="0.25">
      <c r="C59" s="5">
        <v>46240</v>
      </c>
      <c r="F59" s="1" t="s">
        <v>12</v>
      </c>
      <c r="G59" s="1">
        <v>7</v>
      </c>
      <c r="H59" s="1">
        <v>0</v>
      </c>
      <c r="I59" s="1">
        <v>12</v>
      </c>
      <c r="J59" s="1">
        <v>24</v>
      </c>
      <c r="K59" s="1">
        <v>600</v>
      </c>
      <c r="L59" s="1">
        <f t="shared" si="2"/>
        <v>7.0120832999999996</v>
      </c>
      <c r="M59" s="1">
        <v>2461259.5146369999</v>
      </c>
      <c r="N59" s="1">
        <v>-26.503</v>
      </c>
    </row>
    <row r="60" spans="2:14" x14ac:dyDescent="0.25">
      <c r="C60" s="5">
        <v>46244</v>
      </c>
      <c r="F60" s="1" t="s">
        <v>12</v>
      </c>
      <c r="G60" s="1">
        <v>11</v>
      </c>
      <c r="H60" s="1">
        <v>3</v>
      </c>
      <c r="I60" s="1">
        <v>7</v>
      </c>
      <c r="J60" s="1">
        <v>39</v>
      </c>
      <c r="K60" s="1">
        <v>600</v>
      </c>
      <c r="L60" s="1">
        <f t="shared" si="2"/>
        <v>11.1337847</v>
      </c>
      <c r="M60" s="1">
        <v>2461263.6359680002</v>
      </c>
      <c r="N60" s="1">
        <v>-27.648</v>
      </c>
    </row>
    <row r="61" spans="2:14" x14ac:dyDescent="0.25">
      <c r="C61" s="5">
        <v>46247</v>
      </c>
      <c r="F61" s="1" t="s">
        <v>12</v>
      </c>
      <c r="G61" s="1">
        <v>13</v>
      </c>
      <c r="H61" s="1">
        <v>23</v>
      </c>
      <c r="I61" s="1">
        <v>36</v>
      </c>
      <c r="J61" s="1">
        <v>19</v>
      </c>
      <c r="K61" s="1">
        <v>600</v>
      </c>
      <c r="L61" s="1">
        <f t="shared" si="2"/>
        <v>13.9870255</v>
      </c>
      <c r="M61" s="1">
        <v>2461266.4889460001</v>
      </c>
      <c r="N61" s="1">
        <v>-27.815000000000001</v>
      </c>
    </row>
    <row r="62" spans="2:14" x14ac:dyDescent="0.25">
      <c r="C62" s="5">
        <v>46262</v>
      </c>
      <c r="F62" s="1" t="s">
        <v>12</v>
      </c>
      <c r="G62" s="1">
        <v>29</v>
      </c>
      <c r="H62" s="1">
        <v>0</v>
      </c>
      <c r="I62" s="1">
        <v>23</v>
      </c>
      <c r="J62" s="1">
        <v>18</v>
      </c>
      <c r="K62" s="1">
        <v>600</v>
      </c>
      <c r="L62" s="1">
        <f t="shared" si="2"/>
        <v>29.019652799999999</v>
      </c>
      <c r="M62" s="1">
        <v>2461281.5201320001</v>
      </c>
      <c r="N62" s="1">
        <v>-29.49</v>
      </c>
    </row>
    <row r="63" spans="2:14" x14ac:dyDescent="0.25">
      <c r="C63" s="5">
        <v>46272</v>
      </c>
      <c r="F63" s="1" t="s">
        <v>14</v>
      </c>
      <c r="G63" s="1">
        <v>8</v>
      </c>
      <c r="H63" s="1">
        <v>0</v>
      </c>
      <c r="I63" s="1">
        <v>3</v>
      </c>
      <c r="J63" s="1">
        <v>36</v>
      </c>
      <c r="K63" s="1">
        <v>600</v>
      </c>
      <c r="L63" s="1">
        <f t="shared" si="2"/>
        <v>8.0059722000000004</v>
      </c>
      <c r="M63" s="1">
        <v>2461291.5054720002</v>
      </c>
      <c r="N63" s="1">
        <v>-29.507999999999999</v>
      </c>
    </row>
    <row r="64" spans="2:14" x14ac:dyDescent="0.25">
      <c r="C64" s="5">
        <v>46279</v>
      </c>
      <c r="F64" s="1" t="s">
        <v>14</v>
      </c>
      <c r="G64" s="1">
        <v>14</v>
      </c>
      <c r="H64" s="1">
        <v>23</v>
      </c>
      <c r="I64" s="1">
        <v>28</v>
      </c>
      <c r="J64" s="1">
        <v>30</v>
      </c>
      <c r="K64" s="1">
        <v>600</v>
      </c>
      <c r="L64" s="1">
        <f t="shared" si="2"/>
        <v>14.9815972</v>
      </c>
      <c r="M64" s="1">
        <v>2461298.4804210002</v>
      </c>
      <c r="N64" s="1">
        <v>-28.965</v>
      </c>
    </row>
    <row r="65" spans="3:14" x14ac:dyDescent="0.25">
      <c r="C65" s="5">
        <v>46286</v>
      </c>
      <c r="F65" s="1" t="s">
        <v>14</v>
      </c>
      <c r="G65" s="1">
        <v>22</v>
      </c>
      <c r="H65" s="1">
        <v>2</v>
      </c>
      <c r="I65" s="1">
        <v>18</v>
      </c>
      <c r="J65" s="1">
        <v>54</v>
      </c>
      <c r="K65" s="1">
        <v>600</v>
      </c>
      <c r="L65" s="1">
        <f t="shared" si="2"/>
        <v>22.0999306</v>
      </c>
      <c r="M65" s="1">
        <v>2461305.5980810001</v>
      </c>
      <c r="N65" s="1">
        <v>-28.207999999999998</v>
      </c>
    </row>
    <row r="66" spans="3:14" x14ac:dyDescent="0.25">
      <c r="C66" s="5">
        <v>46294</v>
      </c>
      <c r="F66" s="1" t="s">
        <v>14</v>
      </c>
      <c r="G66" s="1">
        <v>30</v>
      </c>
      <c r="H66" s="1">
        <v>0</v>
      </c>
      <c r="I66" s="1">
        <v>20</v>
      </c>
      <c r="J66" s="1">
        <v>15</v>
      </c>
      <c r="K66" s="1">
        <v>600</v>
      </c>
      <c r="L66" s="1">
        <f t="shared" si="2"/>
        <v>30.017534699999999</v>
      </c>
      <c r="M66" s="1">
        <v>2461313.5149710001</v>
      </c>
      <c r="N66" s="1">
        <v>-26.584</v>
      </c>
    </row>
  </sheetData>
  <mergeCells count="1">
    <mergeCell ref="F3:J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2026-10-09T16:29:47Z</dcterms:created>
  <dcterms:modified xsi:type="dcterms:W3CDTF">2026-10-09T16:37:21Z</dcterms:modified>
</cp:coreProperties>
</file>