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stra\Desktop\observaciones Antares\2024\agosto 26\"/>
    </mc:Choice>
  </mc:AlternateContent>
  <xr:revisionPtr revIDLastSave="0" documentId="13_ncr:1_{64E8FE48-4FC6-4501-856A-0853FBCDD34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hor orden1" sheetId="2" r:id="rId1"/>
    <sheet name="ster orden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70" i="1" l="1"/>
  <c r="J769" i="1"/>
  <c r="J768" i="1"/>
  <c r="L769" i="1" s="1"/>
  <c r="W767" i="1"/>
  <c r="V767" i="1"/>
  <c r="Q767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D8" i="2"/>
  <c r="D12" i="2"/>
  <c r="D26" i="2"/>
  <c r="D28" i="2"/>
  <c r="D29" i="2"/>
  <c r="D34" i="2"/>
  <c r="D37" i="2"/>
  <c r="D39" i="2"/>
  <c r="D71" i="2"/>
  <c r="D72" i="2"/>
  <c r="D87" i="2"/>
  <c r="D88" i="2"/>
  <c r="D91" i="2"/>
  <c r="D120" i="2"/>
  <c r="D124" i="2"/>
  <c r="D125" i="2"/>
  <c r="D139" i="2"/>
  <c r="D141" i="2"/>
  <c r="D168" i="2"/>
  <c r="D171" i="2"/>
  <c r="D183" i="2"/>
  <c r="D184" i="2"/>
  <c r="D186" i="2"/>
  <c r="D215" i="2"/>
  <c r="D231" i="2"/>
  <c r="D233" i="2"/>
  <c r="D234" i="2"/>
  <c r="D235" i="2"/>
  <c r="D236" i="2"/>
  <c r="D263" i="2"/>
  <c r="D264" i="2"/>
  <c r="D266" i="2"/>
  <c r="D275" i="2"/>
  <c r="D277" i="2"/>
  <c r="D278" i="2"/>
  <c r="D280" i="2"/>
  <c r="D281" i="2"/>
  <c r="D296" i="2"/>
  <c r="D297" i="2"/>
  <c r="D300" i="2"/>
  <c r="D301" i="2"/>
  <c r="D307" i="2"/>
  <c r="D309" i="2"/>
  <c r="D310" i="2"/>
  <c r="D326" i="2"/>
  <c r="D329" i="2"/>
  <c r="D330" i="2"/>
  <c r="D331" i="2"/>
  <c r="D332" i="2"/>
  <c r="D333" i="2"/>
  <c r="D355" i="2"/>
  <c r="D358" i="2"/>
  <c r="D360" i="2"/>
  <c r="D361" i="2"/>
  <c r="D362" i="2"/>
  <c r="D363" i="2"/>
  <c r="D364" i="2"/>
  <c r="D377" i="2"/>
  <c r="D380" i="2"/>
  <c r="D389" i="2"/>
  <c r="D390" i="2"/>
  <c r="D392" i="2"/>
  <c r="D393" i="2"/>
  <c r="D394" i="2"/>
  <c r="D406" i="2"/>
  <c r="D409" i="2"/>
  <c r="D410" i="2"/>
  <c r="D412" i="2"/>
  <c r="D413" i="2"/>
  <c r="D422" i="2"/>
  <c r="D424" i="2"/>
  <c r="D438" i="2"/>
  <c r="D440" i="2"/>
  <c r="D442" i="2"/>
  <c r="D443" i="2"/>
  <c r="D444" i="2"/>
  <c r="D445" i="2"/>
  <c r="D451" i="2"/>
  <c r="D453" i="2"/>
  <c r="D460" i="2"/>
  <c r="D472" i="2"/>
  <c r="D473" i="2"/>
  <c r="D474" i="2"/>
  <c r="D475" i="2"/>
  <c r="D476" i="2"/>
  <c r="D477" i="2"/>
  <c r="D490" i="2"/>
  <c r="D492" i="2"/>
  <c r="D493" i="2"/>
  <c r="D502" i="2"/>
  <c r="D504" i="2"/>
  <c r="D505" i="2"/>
  <c r="D506" i="2"/>
  <c r="D507" i="2"/>
  <c r="D520" i="2"/>
  <c r="D522" i="2"/>
  <c r="D523" i="2"/>
  <c r="D534" i="2"/>
  <c r="D536" i="2"/>
  <c r="D537" i="2"/>
  <c r="D552" i="2"/>
  <c r="D553" i="2"/>
  <c r="D556" i="2"/>
  <c r="D557" i="2"/>
  <c r="D563" i="2"/>
  <c r="D565" i="2"/>
  <c r="D566" i="2"/>
  <c r="D582" i="2"/>
  <c r="D585" i="2"/>
  <c r="D586" i="2"/>
  <c r="D587" i="2"/>
  <c r="D588" i="2"/>
  <c r="D589" i="2"/>
  <c r="D595" i="2"/>
  <c r="D614" i="2"/>
  <c r="D616" i="2"/>
  <c r="D617" i="2"/>
  <c r="D618" i="2"/>
  <c r="D619" i="2"/>
  <c r="D620" i="2"/>
  <c r="D633" i="2"/>
  <c r="D636" i="2"/>
  <c r="D645" i="2"/>
  <c r="D646" i="2"/>
  <c r="D648" i="2"/>
  <c r="D649" i="2"/>
  <c r="D650" i="2"/>
  <c r="D662" i="2"/>
  <c r="D665" i="2"/>
  <c r="D666" i="2"/>
  <c r="D668" i="2"/>
  <c r="D669" i="2"/>
  <c r="D677" i="2"/>
  <c r="D678" i="2"/>
  <c r="D680" i="2"/>
  <c r="D694" i="2"/>
  <c r="D696" i="2"/>
  <c r="D698" i="2"/>
  <c r="D699" i="2"/>
  <c r="D700" i="2"/>
  <c r="D701" i="2"/>
  <c r="D716" i="2"/>
  <c r="D728" i="2"/>
  <c r="D729" i="2"/>
  <c r="D730" i="2"/>
  <c r="D731" i="2"/>
  <c r="D732" i="2"/>
  <c r="D733" i="2"/>
  <c r="D746" i="2"/>
  <c r="D748" i="2"/>
  <c r="D749" i="2"/>
  <c r="D758" i="2"/>
  <c r="D760" i="2"/>
  <c r="D761" i="2"/>
  <c r="D762" i="2"/>
  <c r="D763" i="2"/>
  <c r="D776" i="2"/>
  <c r="D778" i="2"/>
  <c r="D779" i="2"/>
  <c r="D787" i="2"/>
  <c r="D790" i="2"/>
  <c r="D792" i="2"/>
  <c r="D793" i="2"/>
  <c r="D808" i="2"/>
  <c r="D809" i="2"/>
  <c r="D812" i="2"/>
  <c r="D813" i="2"/>
  <c r="D819" i="2"/>
  <c r="D822" i="2"/>
  <c r="D838" i="2"/>
  <c r="D841" i="2"/>
  <c r="D842" i="2"/>
  <c r="D843" i="2"/>
  <c r="D844" i="2"/>
  <c r="D845" i="2"/>
  <c r="D851" i="2"/>
  <c r="D867" i="2"/>
  <c r="D870" i="2"/>
  <c r="D872" i="2"/>
  <c r="D873" i="2"/>
  <c r="D874" i="2"/>
  <c r="D875" i="2"/>
  <c r="D876" i="2"/>
  <c r="D889" i="2"/>
  <c r="D892" i="2"/>
  <c r="D902" i="2"/>
  <c r="D904" i="2"/>
  <c r="D905" i="2"/>
  <c r="D906" i="2"/>
  <c r="D918" i="2"/>
  <c r="D921" i="2"/>
  <c r="D922" i="2"/>
  <c r="D924" i="2"/>
  <c r="D925" i="2"/>
  <c r="D931" i="2"/>
  <c r="D933" i="2"/>
  <c r="D934" i="2"/>
  <c r="D936" i="2"/>
  <c r="D950" i="2"/>
  <c r="D952" i="2"/>
  <c r="D953" i="2"/>
  <c r="D954" i="2"/>
  <c r="D955" i="2"/>
  <c r="D956" i="2"/>
  <c r="D957" i="2"/>
  <c r="D968" i="2"/>
  <c r="D970" i="2"/>
  <c r="D971" i="2"/>
  <c r="D976" i="2"/>
  <c r="D978" i="2"/>
  <c r="D979" i="2"/>
  <c r="D981" i="2"/>
  <c r="D982" i="2"/>
  <c r="D988" i="2"/>
  <c r="D998" i="2"/>
  <c r="D999" i="2"/>
  <c r="D1000" i="2"/>
  <c r="D1001" i="2"/>
  <c r="D1002" i="2"/>
  <c r="D1014" i="2"/>
  <c r="D1015" i="2"/>
  <c r="D1017" i="2"/>
  <c r="D1018" i="2"/>
  <c r="D1019" i="2"/>
  <c r="D1020" i="2"/>
  <c r="D1021" i="2"/>
  <c r="D1024" i="2"/>
  <c r="D1032" i="2"/>
  <c r="D1034" i="2"/>
  <c r="D1035" i="2"/>
  <c r="D1040" i="2"/>
  <c r="D1043" i="2"/>
  <c r="D1046" i="2"/>
  <c r="D1052" i="2"/>
  <c r="D1062" i="2"/>
  <c r="D1063" i="2"/>
  <c r="D1064" i="2"/>
  <c r="D1065" i="2"/>
  <c r="D1066" i="2"/>
  <c r="D1078" i="2"/>
  <c r="D1080" i="2"/>
  <c r="D1081" i="2"/>
  <c r="D1082" i="2"/>
  <c r="D1083" i="2"/>
  <c r="D1084" i="2"/>
  <c r="D1085" i="2"/>
  <c r="D1095" i="2"/>
  <c r="D1096" i="2"/>
  <c r="D1098" i="2"/>
  <c r="D1099" i="2"/>
  <c r="D1100" i="2"/>
  <c r="D1101" i="2"/>
  <c r="D1103" i="2"/>
  <c r="D1111" i="2"/>
  <c r="D1112" i="2"/>
  <c r="D1114" i="2"/>
  <c r="D1115" i="2"/>
  <c r="D1116" i="2"/>
  <c r="D1117" i="2"/>
  <c r="D1119" i="2"/>
  <c r="D1127" i="2"/>
  <c r="D1128" i="2"/>
  <c r="D1130" i="2"/>
  <c r="D1131" i="2"/>
  <c r="D1132" i="2"/>
  <c r="D1133" i="2"/>
  <c r="D1135" i="2"/>
  <c r="D1143" i="2"/>
  <c r="D1144" i="2"/>
  <c r="D1146" i="2"/>
  <c r="D1147" i="2"/>
  <c r="D1148" i="2"/>
  <c r="D1149" i="2"/>
  <c r="D1151" i="2"/>
  <c r="D1159" i="2"/>
  <c r="D1160" i="2"/>
  <c r="D1162" i="2"/>
  <c r="D1163" i="2"/>
  <c r="D1164" i="2"/>
  <c r="D1165" i="2"/>
  <c r="D1167" i="2"/>
  <c r="D1175" i="2"/>
  <c r="D1176" i="2"/>
  <c r="D1178" i="2"/>
  <c r="D1179" i="2"/>
  <c r="D1180" i="2"/>
  <c r="D1181" i="2"/>
  <c r="D1183" i="2"/>
  <c r="D1191" i="2"/>
  <c r="D1192" i="2"/>
  <c r="D1194" i="2"/>
  <c r="D1195" i="2"/>
  <c r="D1196" i="2"/>
  <c r="D1197" i="2"/>
  <c r="D1199" i="2"/>
  <c r="D1207" i="2"/>
  <c r="D1208" i="2"/>
  <c r="D1210" i="2"/>
  <c r="D1211" i="2"/>
  <c r="D1212" i="2"/>
  <c r="D1213" i="2"/>
  <c r="D1215" i="2"/>
  <c r="D1223" i="2"/>
  <c r="D1224" i="2"/>
  <c r="D1226" i="2"/>
  <c r="D1227" i="2"/>
  <c r="D1228" i="2"/>
  <c r="D1229" i="2"/>
  <c r="D1231" i="2"/>
  <c r="D1239" i="2"/>
  <c r="D1240" i="2"/>
  <c r="D1242" i="2"/>
  <c r="D1243" i="2"/>
  <c r="D1244" i="2"/>
  <c r="D1245" i="2"/>
  <c r="D1247" i="2"/>
  <c r="D1255" i="2"/>
  <c r="D1256" i="2"/>
  <c r="D1258" i="2"/>
  <c r="D1259" i="2"/>
  <c r="D1260" i="2"/>
  <c r="D1261" i="2"/>
  <c r="D1263" i="2"/>
  <c r="D1271" i="2"/>
  <c r="D1272" i="2"/>
  <c r="D1274" i="2"/>
  <c r="D1275" i="2"/>
  <c r="D1276" i="2"/>
  <c r="D1277" i="2"/>
  <c r="D1279" i="2"/>
  <c r="D1287" i="2"/>
  <c r="D1288" i="2"/>
  <c r="D1290" i="2"/>
  <c r="D1291" i="2"/>
  <c r="D1292" i="2"/>
  <c r="D1293" i="2"/>
  <c r="D1295" i="2"/>
  <c r="D1303" i="2"/>
  <c r="D1304" i="2"/>
  <c r="D1306" i="2"/>
  <c r="D1307" i="2"/>
  <c r="D1308" i="2"/>
  <c r="D1309" i="2"/>
  <c r="D1311" i="2"/>
  <c r="D1319" i="2"/>
  <c r="D1320" i="2"/>
  <c r="D1322" i="2"/>
  <c r="D1323" i="2"/>
  <c r="D1324" i="2"/>
  <c r="D1325" i="2"/>
  <c r="D1327" i="2"/>
  <c r="D1335" i="2"/>
  <c r="D1336" i="2"/>
  <c r="D1338" i="2"/>
  <c r="D1339" i="2"/>
  <c r="D1340" i="2"/>
  <c r="D1341" i="2"/>
  <c r="D1343" i="2"/>
  <c r="D1351" i="2"/>
  <c r="D1352" i="2"/>
  <c r="D1354" i="2"/>
  <c r="D1355" i="2"/>
  <c r="D1356" i="2"/>
  <c r="D1357" i="2"/>
  <c r="D1359" i="2"/>
  <c r="D1367" i="2"/>
  <c r="D1368" i="2"/>
  <c r="D1370" i="2"/>
  <c r="D1371" i="2"/>
  <c r="D1372" i="2"/>
  <c r="D1373" i="2"/>
  <c r="D1375" i="2"/>
  <c r="D1383" i="2"/>
  <c r="D1384" i="2"/>
  <c r="D1386" i="2"/>
  <c r="D1387" i="2"/>
  <c r="D1388" i="2"/>
  <c r="D1389" i="2"/>
  <c r="D1391" i="2"/>
  <c r="D1399" i="2"/>
  <c r="D1400" i="2"/>
  <c r="D1402" i="2"/>
  <c r="D1403" i="2"/>
  <c r="D1404" i="2"/>
  <c r="D1405" i="2"/>
  <c r="D1407" i="2"/>
  <c r="D1415" i="2"/>
  <c r="D1416" i="2"/>
  <c r="D1418" i="2"/>
  <c r="D1419" i="2"/>
  <c r="D1420" i="2"/>
  <c r="D1421" i="2"/>
  <c r="D1423" i="2"/>
  <c r="D1431" i="2"/>
  <c r="D1432" i="2"/>
  <c r="D1434" i="2"/>
  <c r="D1435" i="2"/>
  <c r="D1436" i="2"/>
  <c r="D1437" i="2"/>
  <c r="D1439" i="2"/>
  <c r="D1447" i="2"/>
  <c r="D1448" i="2"/>
  <c r="D1450" i="2"/>
  <c r="D1451" i="2"/>
  <c r="D1452" i="2"/>
  <c r="D1453" i="2"/>
  <c r="D1455" i="2"/>
  <c r="D1463" i="2"/>
  <c r="D1464" i="2"/>
  <c r="D1466" i="2"/>
  <c r="D1467" i="2"/>
  <c r="D1468" i="2"/>
  <c r="D1469" i="2"/>
  <c r="D1471" i="2"/>
  <c r="D1479" i="2"/>
  <c r="D1480" i="2"/>
  <c r="D1482" i="2"/>
  <c r="D1483" i="2"/>
  <c r="D1484" i="2"/>
  <c r="D1485" i="2"/>
  <c r="D1487" i="2"/>
  <c r="D1495" i="2"/>
  <c r="D1496" i="2"/>
  <c r="D1498" i="2"/>
  <c r="D1499" i="2"/>
  <c r="D1500" i="2"/>
  <c r="D1501" i="2"/>
  <c r="D1503" i="2"/>
  <c r="D1511" i="2"/>
  <c r="D1512" i="2"/>
  <c r="D1514" i="2"/>
  <c r="D1515" i="2"/>
  <c r="D1516" i="2"/>
  <c r="D1517" i="2"/>
  <c r="D1519" i="2"/>
  <c r="D1527" i="2"/>
  <c r="D1528" i="2"/>
  <c r="D1530" i="2"/>
  <c r="D1" i="2"/>
  <c r="C2" i="2"/>
  <c r="D2" i="2" s="1"/>
  <c r="C3" i="2"/>
  <c r="D3" i="2" s="1"/>
  <c r="C4" i="2"/>
  <c r="D4" i="2" s="1"/>
  <c r="C5" i="2"/>
  <c r="D5" i="2" s="1"/>
  <c r="C6" i="2"/>
  <c r="D6" i="2" s="1"/>
  <c r="C7" i="2"/>
  <c r="D7" i="2" s="1"/>
  <c r="C8" i="2"/>
  <c r="C9" i="2"/>
  <c r="D9" i="2" s="1"/>
  <c r="C10" i="2"/>
  <c r="D10" i="2" s="1"/>
  <c r="C11" i="2"/>
  <c r="D11" i="2" s="1"/>
  <c r="C12" i="2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C27" i="2"/>
  <c r="D27" i="2" s="1"/>
  <c r="C28" i="2"/>
  <c r="C29" i="2"/>
  <c r="C30" i="2"/>
  <c r="D30" i="2" s="1"/>
  <c r="C31" i="2"/>
  <c r="D31" i="2" s="1"/>
  <c r="C32" i="2"/>
  <c r="D32" i="2" s="1"/>
  <c r="C33" i="2"/>
  <c r="D33" i="2" s="1"/>
  <c r="C34" i="2"/>
  <c r="C35" i="2"/>
  <c r="D35" i="2" s="1"/>
  <c r="C36" i="2"/>
  <c r="D36" i="2" s="1"/>
  <c r="C37" i="2"/>
  <c r="C38" i="2"/>
  <c r="D38" i="2" s="1"/>
  <c r="C39" i="2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C72" i="2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C88" i="2"/>
  <c r="C89" i="2"/>
  <c r="D89" i="2" s="1"/>
  <c r="C90" i="2"/>
  <c r="D90" i="2" s="1"/>
  <c r="C91" i="2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C121" i="2"/>
  <c r="D121" i="2" s="1"/>
  <c r="C122" i="2"/>
  <c r="D122" i="2" s="1"/>
  <c r="C123" i="2"/>
  <c r="D123" i="2" s="1"/>
  <c r="C124" i="2"/>
  <c r="C125" i="2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C140" i="2"/>
  <c r="D140" i="2" s="1"/>
  <c r="C141" i="2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C169" i="2"/>
  <c r="D169" i="2" s="1"/>
  <c r="C170" i="2"/>
  <c r="D170" i="2" s="1"/>
  <c r="C171" i="2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C184" i="2"/>
  <c r="C185" i="2"/>
  <c r="D185" i="2" s="1"/>
  <c r="C186" i="2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C232" i="2"/>
  <c r="D232" i="2" s="1"/>
  <c r="C233" i="2"/>
  <c r="C234" i="2"/>
  <c r="C235" i="2"/>
  <c r="C236" i="2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 s="1"/>
  <c r="C263" i="2"/>
  <c r="C264" i="2"/>
  <c r="C265" i="2"/>
  <c r="D265" i="2" s="1"/>
  <c r="C266" i="2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D274" i="2" s="1"/>
  <c r="C275" i="2"/>
  <c r="C276" i="2"/>
  <c r="D276" i="2" s="1"/>
  <c r="C277" i="2"/>
  <c r="C278" i="2"/>
  <c r="C279" i="2"/>
  <c r="D279" i="2" s="1"/>
  <c r="C280" i="2"/>
  <c r="C281" i="2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C297" i="2"/>
  <c r="C298" i="2"/>
  <c r="D298" i="2" s="1"/>
  <c r="C299" i="2"/>
  <c r="D299" i="2" s="1"/>
  <c r="C300" i="2"/>
  <c r="C301" i="2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C308" i="2"/>
  <c r="D308" i="2" s="1"/>
  <c r="C309" i="2"/>
  <c r="C310" i="2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C327" i="2"/>
  <c r="D327" i="2" s="1"/>
  <c r="C328" i="2"/>
  <c r="D328" i="2" s="1"/>
  <c r="C329" i="2"/>
  <c r="C330" i="2"/>
  <c r="C331" i="2"/>
  <c r="C332" i="2"/>
  <c r="C333" i="2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D350" i="2" s="1"/>
  <c r="C351" i="2"/>
  <c r="D351" i="2" s="1"/>
  <c r="C352" i="2"/>
  <c r="D352" i="2" s="1"/>
  <c r="C353" i="2"/>
  <c r="D353" i="2" s="1"/>
  <c r="C354" i="2"/>
  <c r="D354" i="2" s="1"/>
  <c r="C355" i="2"/>
  <c r="C356" i="2"/>
  <c r="D356" i="2" s="1"/>
  <c r="C357" i="2"/>
  <c r="D357" i="2" s="1"/>
  <c r="C358" i="2"/>
  <c r="C359" i="2"/>
  <c r="D359" i="2" s="1"/>
  <c r="C360" i="2"/>
  <c r="C361" i="2"/>
  <c r="C362" i="2"/>
  <c r="C363" i="2"/>
  <c r="C364" i="2"/>
  <c r="C365" i="2"/>
  <c r="D365" i="2" s="1"/>
  <c r="C366" i="2"/>
  <c r="D366" i="2" s="1"/>
  <c r="C367" i="2"/>
  <c r="D367" i="2" s="1"/>
  <c r="C368" i="2"/>
  <c r="D368" i="2" s="1"/>
  <c r="C369" i="2"/>
  <c r="D369" i="2" s="1"/>
  <c r="C370" i="2"/>
  <c r="D370" i="2" s="1"/>
  <c r="C371" i="2"/>
  <c r="D371" i="2" s="1"/>
  <c r="C372" i="2"/>
  <c r="D372" i="2" s="1"/>
  <c r="C373" i="2"/>
  <c r="D373" i="2" s="1"/>
  <c r="C374" i="2"/>
  <c r="D374" i="2" s="1"/>
  <c r="C375" i="2"/>
  <c r="D375" i="2" s="1"/>
  <c r="C376" i="2"/>
  <c r="D376" i="2" s="1"/>
  <c r="C377" i="2"/>
  <c r="C378" i="2"/>
  <c r="D378" i="2" s="1"/>
  <c r="C379" i="2"/>
  <c r="D379" i="2" s="1"/>
  <c r="C380" i="2"/>
  <c r="C381" i="2"/>
  <c r="D381" i="2" s="1"/>
  <c r="C382" i="2"/>
  <c r="D382" i="2" s="1"/>
  <c r="C383" i="2"/>
  <c r="D383" i="2" s="1"/>
  <c r="C384" i="2"/>
  <c r="D384" i="2" s="1"/>
  <c r="C385" i="2"/>
  <c r="D385" i="2" s="1"/>
  <c r="C386" i="2"/>
  <c r="D386" i="2" s="1"/>
  <c r="C387" i="2"/>
  <c r="D387" i="2" s="1"/>
  <c r="C388" i="2"/>
  <c r="D388" i="2" s="1"/>
  <c r="C389" i="2"/>
  <c r="C390" i="2"/>
  <c r="C391" i="2"/>
  <c r="D391" i="2" s="1"/>
  <c r="C392" i="2"/>
  <c r="C393" i="2"/>
  <c r="C394" i="2"/>
  <c r="C395" i="2"/>
  <c r="D395" i="2" s="1"/>
  <c r="C396" i="2"/>
  <c r="D396" i="2" s="1"/>
  <c r="C397" i="2"/>
  <c r="D397" i="2" s="1"/>
  <c r="C398" i="2"/>
  <c r="D398" i="2" s="1"/>
  <c r="C399" i="2"/>
  <c r="D399" i="2" s="1"/>
  <c r="C400" i="2"/>
  <c r="D400" i="2" s="1"/>
  <c r="C401" i="2"/>
  <c r="D401" i="2" s="1"/>
  <c r="C402" i="2"/>
  <c r="D402" i="2" s="1"/>
  <c r="C403" i="2"/>
  <c r="D403" i="2" s="1"/>
  <c r="C404" i="2"/>
  <c r="D404" i="2" s="1"/>
  <c r="C405" i="2"/>
  <c r="D405" i="2" s="1"/>
  <c r="C406" i="2"/>
  <c r="C407" i="2"/>
  <c r="D407" i="2" s="1"/>
  <c r="C408" i="2"/>
  <c r="D408" i="2" s="1"/>
  <c r="C409" i="2"/>
  <c r="C410" i="2"/>
  <c r="C411" i="2"/>
  <c r="D411" i="2" s="1"/>
  <c r="C412" i="2"/>
  <c r="C413" i="2"/>
  <c r="C414" i="2"/>
  <c r="D414" i="2" s="1"/>
  <c r="C415" i="2"/>
  <c r="D415" i="2" s="1"/>
  <c r="C416" i="2"/>
  <c r="D416" i="2" s="1"/>
  <c r="C417" i="2"/>
  <c r="D417" i="2" s="1"/>
  <c r="C418" i="2"/>
  <c r="D418" i="2" s="1"/>
  <c r="C419" i="2"/>
  <c r="D419" i="2" s="1"/>
  <c r="C420" i="2"/>
  <c r="D420" i="2" s="1"/>
  <c r="C421" i="2"/>
  <c r="D421" i="2" s="1"/>
  <c r="C422" i="2"/>
  <c r="C423" i="2"/>
  <c r="D423" i="2" s="1"/>
  <c r="C424" i="2"/>
  <c r="C425" i="2"/>
  <c r="D425" i="2" s="1"/>
  <c r="C426" i="2"/>
  <c r="D426" i="2" s="1"/>
  <c r="C427" i="2"/>
  <c r="D427" i="2" s="1"/>
  <c r="C428" i="2"/>
  <c r="D428" i="2" s="1"/>
  <c r="C429" i="2"/>
  <c r="D429" i="2" s="1"/>
  <c r="C430" i="2"/>
  <c r="D430" i="2" s="1"/>
  <c r="C431" i="2"/>
  <c r="D431" i="2" s="1"/>
  <c r="C432" i="2"/>
  <c r="D432" i="2" s="1"/>
  <c r="C433" i="2"/>
  <c r="D433" i="2" s="1"/>
  <c r="C434" i="2"/>
  <c r="D434" i="2" s="1"/>
  <c r="C435" i="2"/>
  <c r="D435" i="2" s="1"/>
  <c r="C436" i="2"/>
  <c r="D436" i="2" s="1"/>
  <c r="C437" i="2"/>
  <c r="D437" i="2" s="1"/>
  <c r="C438" i="2"/>
  <c r="C439" i="2"/>
  <c r="D439" i="2" s="1"/>
  <c r="C440" i="2"/>
  <c r="C441" i="2"/>
  <c r="D441" i="2" s="1"/>
  <c r="C442" i="2"/>
  <c r="C443" i="2"/>
  <c r="C444" i="2"/>
  <c r="C445" i="2"/>
  <c r="C446" i="2"/>
  <c r="D446" i="2" s="1"/>
  <c r="C447" i="2"/>
  <c r="D447" i="2" s="1"/>
  <c r="C448" i="2"/>
  <c r="D448" i="2" s="1"/>
  <c r="C449" i="2"/>
  <c r="D449" i="2" s="1"/>
  <c r="C450" i="2"/>
  <c r="D450" i="2" s="1"/>
  <c r="C451" i="2"/>
  <c r="C452" i="2"/>
  <c r="D452" i="2" s="1"/>
  <c r="C453" i="2"/>
  <c r="C454" i="2"/>
  <c r="D454" i="2" s="1"/>
  <c r="C455" i="2"/>
  <c r="D455" i="2" s="1"/>
  <c r="C456" i="2"/>
  <c r="D456" i="2" s="1"/>
  <c r="C457" i="2"/>
  <c r="D457" i="2" s="1"/>
  <c r="C458" i="2"/>
  <c r="D458" i="2" s="1"/>
  <c r="C459" i="2"/>
  <c r="D459" i="2" s="1"/>
  <c r="C460" i="2"/>
  <c r="C461" i="2"/>
  <c r="D461" i="2" s="1"/>
  <c r="C462" i="2"/>
  <c r="D462" i="2" s="1"/>
  <c r="C463" i="2"/>
  <c r="D463" i="2" s="1"/>
  <c r="C464" i="2"/>
  <c r="D464" i="2" s="1"/>
  <c r="C465" i="2"/>
  <c r="D465" i="2" s="1"/>
  <c r="C466" i="2"/>
  <c r="D466" i="2" s="1"/>
  <c r="C467" i="2"/>
  <c r="D467" i="2" s="1"/>
  <c r="C468" i="2"/>
  <c r="D468" i="2" s="1"/>
  <c r="C469" i="2"/>
  <c r="D469" i="2" s="1"/>
  <c r="C470" i="2"/>
  <c r="D470" i="2" s="1"/>
  <c r="C471" i="2"/>
  <c r="D471" i="2" s="1"/>
  <c r="C472" i="2"/>
  <c r="C473" i="2"/>
  <c r="C474" i="2"/>
  <c r="C475" i="2"/>
  <c r="C476" i="2"/>
  <c r="C477" i="2"/>
  <c r="C478" i="2"/>
  <c r="D478" i="2" s="1"/>
  <c r="C479" i="2"/>
  <c r="D479" i="2" s="1"/>
  <c r="C480" i="2"/>
  <c r="D480" i="2" s="1"/>
  <c r="C481" i="2"/>
  <c r="D481" i="2" s="1"/>
  <c r="C482" i="2"/>
  <c r="D482" i="2" s="1"/>
  <c r="C483" i="2"/>
  <c r="D483" i="2" s="1"/>
  <c r="C484" i="2"/>
  <c r="D484" i="2" s="1"/>
  <c r="C485" i="2"/>
  <c r="D485" i="2" s="1"/>
  <c r="C486" i="2"/>
  <c r="D486" i="2" s="1"/>
  <c r="C487" i="2"/>
  <c r="D487" i="2" s="1"/>
  <c r="C488" i="2"/>
  <c r="D488" i="2" s="1"/>
  <c r="C489" i="2"/>
  <c r="D489" i="2" s="1"/>
  <c r="C490" i="2"/>
  <c r="C491" i="2"/>
  <c r="D491" i="2" s="1"/>
  <c r="C492" i="2"/>
  <c r="C493" i="2"/>
  <c r="C494" i="2"/>
  <c r="D494" i="2" s="1"/>
  <c r="C495" i="2"/>
  <c r="D495" i="2" s="1"/>
  <c r="C496" i="2"/>
  <c r="D496" i="2" s="1"/>
  <c r="C497" i="2"/>
  <c r="D497" i="2" s="1"/>
  <c r="C498" i="2"/>
  <c r="D498" i="2" s="1"/>
  <c r="C499" i="2"/>
  <c r="D499" i="2" s="1"/>
  <c r="C500" i="2"/>
  <c r="D500" i="2" s="1"/>
  <c r="C501" i="2"/>
  <c r="D501" i="2" s="1"/>
  <c r="C502" i="2"/>
  <c r="C503" i="2"/>
  <c r="D503" i="2" s="1"/>
  <c r="C504" i="2"/>
  <c r="C505" i="2"/>
  <c r="C506" i="2"/>
  <c r="C507" i="2"/>
  <c r="C508" i="2"/>
  <c r="D508" i="2" s="1"/>
  <c r="C509" i="2"/>
  <c r="D509" i="2" s="1"/>
  <c r="C510" i="2"/>
  <c r="D510" i="2" s="1"/>
  <c r="C511" i="2"/>
  <c r="D511" i="2" s="1"/>
  <c r="C512" i="2"/>
  <c r="D512" i="2" s="1"/>
  <c r="C513" i="2"/>
  <c r="D513" i="2" s="1"/>
  <c r="C514" i="2"/>
  <c r="D514" i="2" s="1"/>
  <c r="C515" i="2"/>
  <c r="D515" i="2" s="1"/>
  <c r="C516" i="2"/>
  <c r="D516" i="2" s="1"/>
  <c r="C517" i="2"/>
  <c r="D517" i="2" s="1"/>
  <c r="C518" i="2"/>
  <c r="D518" i="2" s="1"/>
  <c r="C519" i="2"/>
  <c r="D519" i="2" s="1"/>
  <c r="C520" i="2"/>
  <c r="C521" i="2"/>
  <c r="D521" i="2" s="1"/>
  <c r="C522" i="2"/>
  <c r="C523" i="2"/>
  <c r="C524" i="2"/>
  <c r="D524" i="2" s="1"/>
  <c r="C525" i="2"/>
  <c r="D525" i="2" s="1"/>
  <c r="C526" i="2"/>
  <c r="D526" i="2" s="1"/>
  <c r="C527" i="2"/>
  <c r="D527" i="2" s="1"/>
  <c r="C528" i="2"/>
  <c r="D528" i="2" s="1"/>
  <c r="C529" i="2"/>
  <c r="D529" i="2" s="1"/>
  <c r="C530" i="2"/>
  <c r="D530" i="2" s="1"/>
  <c r="C531" i="2"/>
  <c r="D531" i="2" s="1"/>
  <c r="C532" i="2"/>
  <c r="D532" i="2" s="1"/>
  <c r="C533" i="2"/>
  <c r="D533" i="2" s="1"/>
  <c r="C534" i="2"/>
  <c r="C535" i="2"/>
  <c r="D535" i="2" s="1"/>
  <c r="C536" i="2"/>
  <c r="C537" i="2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46" i="2"/>
  <c r="D546" i="2" s="1"/>
  <c r="C547" i="2"/>
  <c r="D547" i="2" s="1"/>
  <c r="C548" i="2"/>
  <c r="D548" i="2" s="1"/>
  <c r="C549" i="2"/>
  <c r="D549" i="2" s="1"/>
  <c r="C550" i="2"/>
  <c r="D550" i="2" s="1"/>
  <c r="C551" i="2"/>
  <c r="D551" i="2" s="1"/>
  <c r="C552" i="2"/>
  <c r="C553" i="2"/>
  <c r="C554" i="2"/>
  <c r="D554" i="2" s="1"/>
  <c r="C555" i="2"/>
  <c r="D555" i="2" s="1"/>
  <c r="C556" i="2"/>
  <c r="C557" i="2"/>
  <c r="C558" i="2"/>
  <c r="D558" i="2" s="1"/>
  <c r="C559" i="2"/>
  <c r="D559" i="2" s="1"/>
  <c r="C560" i="2"/>
  <c r="D560" i="2" s="1"/>
  <c r="C561" i="2"/>
  <c r="D561" i="2" s="1"/>
  <c r="C562" i="2"/>
  <c r="D562" i="2" s="1"/>
  <c r="C563" i="2"/>
  <c r="C564" i="2"/>
  <c r="D564" i="2" s="1"/>
  <c r="C565" i="2"/>
  <c r="C566" i="2"/>
  <c r="C567" i="2"/>
  <c r="D567" i="2" s="1"/>
  <c r="C568" i="2"/>
  <c r="D568" i="2" s="1"/>
  <c r="C569" i="2"/>
  <c r="D569" i="2" s="1"/>
  <c r="C570" i="2"/>
  <c r="D570" i="2" s="1"/>
  <c r="C571" i="2"/>
  <c r="D571" i="2" s="1"/>
  <c r="C572" i="2"/>
  <c r="D572" i="2" s="1"/>
  <c r="C573" i="2"/>
  <c r="D573" i="2" s="1"/>
  <c r="C574" i="2"/>
  <c r="D574" i="2" s="1"/>
  <c r="C575" i="2"/>
  <c r="D575" i="2" s="1"/>
  <c r="C576" i="2"/>
  <c r="D576" i="2" s="1"/>
  <c r="C577" i="2"/>
  <c r="D577" i="2" s="1"/>
  <c r="C578" i="2"/>
  <c r="D578" i="2" s="1"/>
  <c r="C579" i="2"/>
  <c r="D579" i="2" s="1"/>
  <c r="C580" i="2"/>
  <c r="D580" i="2" s="1"/>
  <c r="C581" i="2"/>
  <c r="D581" i="2" s="1"/>
  <c r="C582" i="2"/>
  <c r="C583" i="2"/>
  <c r="D583" i="2" s="1"/>
  <c r="C584" i="2"/>
  <c r="D584" i="2" s="1"/>
  <c r="C585" i="2"/>
  <c r="C586" i="2"/>
  <c r="C587" i="2"/>
  <c r="C588" i="2"/>
  <c r="C589" i="2"/>
  <c r="C590" i="2"/>
  <c r="D590" i="2" s="1"/>
  <c r="C591" i="2"/>
  <c r="D591" i="2" s="1"/>
  <c r="C592" i="2"/>
  <c r="D592" i="2" s="1"/>
  <c r="C593" i="2"/>
  <c r="D593" i="2" s="1"/>
  <c r="C594" i="2"/>
  <c r="D594" i="2" s="1"/>
  <c r="C595" i="2"/>
  <c r="C596" i="2"/>
  <c r="D596" i="2" s="1"/>
  <c r="C597" i="2"/>
  <c r="D597" i="2" s="1"/>
  <c r="C598" i="2"/>
  <c r="D598" i="2" s="1"/>
  <c r="C599" i="2"/>
  <c r="D599" i="2" s="1"/>
  <c r="C600" i="2"/>
  <c r="D600" i="2" s="1"/>
  <c r="C601" i="2"/>
  <c r="D601" i="2" s="1"/>
  <c r="C602" i="2"/>
  <c r="D602" i="2" s="1"/>
  <c r="C603" i="2"/>
  <c r="D603" i="2" s="1"/>
  <c r="C604" i="2"/>
  <c r="D604" i="2" s="1"/>
  <c r="C605" i="2"/>
  <c r="D605" i="2" s="1"/>
  <c r="C606" i="2"/>
  <c r="D606" i="2" s="1"/>
  <c r="C607" i="2"/>
  <c r="D607" i="2" s="1"/>
  <c r="C608" i="2"/>
  <c r="D608" i="2" s="1"/>
  <c r="C609" i="2"/>
  <c r="D609" i="2" s="1"/>
  <c r="C610" i="2"/>
  <c r="D610" i="2" s="1"/>
  <c r="C611" i="2"/>
  <c r="D611" i="2" s="1"/>
  <c r="C612" i="2"/>
  <c r="D612" i="2" s="1"/>
  <c r="C613" i="2"/>
  <c r="D613" i="2" s="1"/>
  <c r="C614" i="2"/>
  <c r="C615" i="2"/>
  <c r="D615" i="2" s="1"/>
  <c r="C616" i="2"/>
  <c r="C617" i="2"/>
  <c r="C618" i="2"/>
  <c r="C619" i="2"/>
  <c r="C620" i="2"/>
  <c r="C621" i="2"/>
  <c r="D621" i="2" s="1"/>
  <c r="C622" i="2"/>
  <c r="D622" i="2" s="1"/>
  <c r="C623" i="2"/>
  <c r="D623" i="2" s="1"/>
  <c r="C624" i="2"/>
  <c r="D624" i="2" s="1"/>
  <c r="C625" i="2"/>
  <c r="D625" i="2" s="1"/>
  <c r="C626" i="2"/>
  <c r="D626" i="2" s="1"/>
  <c r="C627" i="2"/>
  <c r="D627" i="2" s="1"/>
  <c r="C628" i="2"/>
  <c r="D628" i="2" s="1"/>
  <c r="C629" i="2"/>
  <c r="D629" i="2" s="1"/>
  <c r="C630" i="2"/>
  <c r="D630" i="2" s="1"/>
  <c r="C631" i="2"/>
  <c r="D631" i="2" s="1"/>
  <c r="C632" i="2"/>
  <c r="D632" i="2" s="1"/>
  <c r="C633" i="2"/>
  <c r="C634" i="2"/>
  <c r="D634" i="2" s="1"/>
  <c r="C635" i="2"/>
  <c r="D635" i="2" s="1"/>
  <c r="C636" i="2"/>
  <c r="C637" i="2"/>
  <c r="D637" i="2" s="1"/>
  <c r="C638" i="2"/>
  <c r="D638" i="2" s="1"/>
  <c r="C639" i="2"/>
  <c r="D639" i="2" s="1"/>
  <c r="C640" i="2"/>
  <c r="D640" i="2" s="1"/>
  <c r="C641" i="2"/>
  <c r="D641" i="2" s="1"/>
  <c r="C642" i="2"/>
  <c r="D642" i="2" s="1"/>
  <c r="C643" i="2"/>
  <c r="D643" i="2" s="1"/>
  <c r="C644" i="2"/>
  <c r="D644" i="2" s="1"/>
  <c r="C645" i="2"/>
  <c r="C646" i="2"/>
  <c r="C647" i="2"/>
  <c r="D647" i="2" s="1"/>
  <c r="C648" i="2"/>
  <c r="C649" i="2"/>
  <c r="C650" i="2"/>
  <c r="C651" i="2"/>
  <c r="D651" i="2" s="1"/>
  <c r="C652" i="2"/>
  <c r="D652" i="2" s="1"/>
  <c r="C653" i="2"/>
  <c r="D653" i="2" s="1"/>
  <c r="C654" i="2"/>
  <c r="D654" i="2" s="1"/>
  <c r="C655" i="2"/>
  <c r="D655" i="2" s="1"/>
  <c r="C656" i="2"/>
  <c r="D656" i="2" s="1"/>
  <c r="C657" i="2"/>
  <c r="D657" i="2" s="1"/>
  <c r="C658" i="2"/>
  <c r="D658" i="2" s="1"/>
  <c r="C659" i="2"/>
  <c r="D659" i="2" s="1"/>
  <c r="C660" i="2"/>
  <c r="D660" i="2" s="1"/>
  <c r="C661" i="2"/>
  <c r="D661" i="2" s="1"/>
  <c r="C662" i="2"/>
  <c r="C663" i="2"/>
  <c r="D663" i="2" s="1"/>
  <c r="C664" i="2"/>
  <c r="D664" i="2" s="1"/>
  <c r="C665" i="2"/>
  <c r="C666" i="2"/>
  <c r="C667" i="2"/>
  <c r="D667" i="2" s="1"/>
  <c r="C668" i="2"/>
  <c r="C669" i="2"/>
  <c r="C670" i="2"/>
  <c r="D670" i="2" s="1"/>
  <c r="C671" i="2"/>
  <c r="D671" i="2" s="1"/>
  <c r="C672" i="2"/>
  <c r="D672" i="2" s="1"/>
  <c r="C673" i="2"/>
  <c r="D673" i="2" s="1"/>
  <c r="C674" i="2"/>
  <c r="D674" i="2" s="1"/>
  <c r="C675" i="2"/>
  <c r="D675" i="2" s="1"/>
  <c r="C676" i="2"/>
  <c r="D676" i="2" s="1"/>
  <c r="C677" i="2"/>
  <c r="C678" i="2"/>
  <c r="C679" i="2"/>
  <c r="D679" i="2" s="1"/>
  <c r="C680" i="2"/>
  <c r="C681" i="2"/>
  <c r="D681" i="2" s="1"/>
  <c r="C682" i="2"/>
  <c r="D682" i="2" s="1"/>
  <c r="C683" i="2"/>
  <c r="D683" i="2" s="1"/>
  <c r="C684" i="2"/>
  <c r="D684" i="2" s="1"/>
  <c r="C685" i="2"/>
  <c r="D685" i="2" s="1"/>
  <c r="C686" i="2"/>
  <c r="D686" i="2" s="1"/>
  <c r="C687" i="2"/>
  <c r="D687" i="2" s="1"/>
  <c r="C688" i="2"/>
  <c r="D688" i="2" s="1"/>
  <c r="C689" i="2"/>
  <c r="D689" i="2" s="1"/>
  <c r="C690" i="2"/>
  <c r="D690" i="2" s="1"/>
  <c r="C691" i="2"/>
  <c r="D691" i="2" s="1"/>
  <c r="C692" i="2"/>
  <c r="D692" i="2" s="1"/>
  <c r="C693" i="2"/>
  <c r="D693" i="2" s="1"/>
  <c r="C694" i="2"/>
  <c r="C695" i="2"/>
  <c r="D695" i="2" s="1"/>
  <c r="C696" i="2"/>
  <c r="C697" i="2"/>
  <c r="D697" i="2" s="1"/>
  <c r="C698" i="2"/>
  <c r="C699" i="2"/>
  <c r="C700" i="2"/>
  <c r="C701" i="2"/>
  <c r="C702" i="2"/>
  <c r="D702" i="2" s="1"/>
  <c r="C703" i="2"/>
  <c r="D703" i="2" s="1"/>
  <c r="C704" i="2"/>
  <c r="D704" i="2" s="1"/>
  <c r="C705" i="2"/>
  <c r="D705" i="2" s="1"/>
  <c r="C706" i="2"/>
  <c r="D706" i="2" s="1"/>
  <c r="C707" i="2"/>
  <c r="D707" i="2" s="1"/>
  <c r="C708" i="2"/>
  <c r="D708" i="2" s="1"/>
  <c r="C709" i="2"/>
  <c r="D709" i="2" s="1"/>
  <c r="C710" i="2"/>
  <c r="D710" i="2" s="1"/>
  <c r="C711" i="2"/>
  <c r="D711" i="2" s="1"/>
  <c r="C712" i="2"/>
  <c r="D712" i="2" s="1"/>
  <c r="C713" i="2"/>
  <c r="D713" i="2" s="1"/>
  <c r="C714" i="2"/>
  <c r="D714" i="2" s="1"/>
  <c r="C715" i="2"/>
  <c r="D715" i="2" s="1"/>
  <c r="C716" i="2"/>
  <c r="C717" i="2"/>
  <c r="D717" i="2" s="1"/>
  <c r="C718" i="2"/>
  <c r="D718" i="2" s="1"/>
  <c r="C719" i="2"/>
  <c r="D719" i="2" s="1"/>
  <c r="C720" i="2"/>
  <c r="D720" i="2" s="1"/>
  <c r="C721" i="2"/>
  <c r="D721" i="2" s="1"/>
  <c r="C722" i="2"/>
  <c r="D722" i="2" s="1"/>
  <c r="C723" i="2"/>
  <c r="D723" i="2" s="1"/>
  <c r="C724" i="2"/>
  <c r="D724" i="2" s="1"/>
  <c r="C725" i="2"/>
  <c r="D725" i="2" s="1"/>
  <c r="C726" i="2"/>
  <c r="D726" i="2" s="1"/>
  <c r="C727" i="2"/>
  <c r="D727" i="2" s="1"/>
  <c r="C728" i="2"/>
  <c r="C729" i="2"/>
  <c r="C730" i="2"/>
  <c r="C731" i="2"/>
  <c r="C732" i="2"/>
  <c r="C733" i="2"/>
  <c r="C734" i="2"/>
  <c r="D734" i="2" s="1"/>
  <c r="C735" i="2"/>
  <c r="D735" i="2" s="1"/>
  <c r="C736" i="2"/>
  <c r="D736" i="2" s="1"/>
  <c r="C737" i="2"/>
  <c r="D737" i="2" s="1"/>
  <c r="C738" i="2"/>
  <c r="D738" i="2" s="1"/>
  <c r="C739" i="2"/>
  <c r="D739" i="2" s="1"/>
  <c r="C740" i="2"/>
  <c r="D740" i="2" s="1"/>
  <c r="C741" i="2"/>
  <c r="D741" i="2" s="1"/>
  <c r="C742" i="2"/>
  <c r="D742" i="2" s="1"/>
  <c r="C743" i="2"/>
  <c r="D743" i="2" s="1"/>
  <c r="C744" i="2"/>
  <c r="D744" i="2" s="1"/>
  <c r="C745" i="2"/>
  <c r="D745" i="2" s="1"/>
  <c r="C746" i="2"/>
  <c r="C747" i="2"/>
  <c r="D747" i="2" s="1"/>
  <c r="C748" i="2"/>
  <c r="C749" i="2"/>
  <c r="C750" i="2"/>
  <c r="D750" i="2" s="1"/>
  <c r="C751" i="2"/>
  <c r="D751" i="2" s="1"/>
  <c r="C752" i="2"/>
  <c r="D752" i="2" s="1"/>
  <c r="C753" i="2"/>
  <c r="D753" i="2" s="1"/>
  <c r="C754" i="2"/>
  <c r="D754" i="2" s="1"/>
  <c r="C755" i="2"/>
  <c r="D755" i="2" s="1"/>
  <c r="C756" i="2"/>
  <c r="D756" i="2" s="1"/>
  <c r="C757" i="2"/>
  <c r="D757" i="2" s="1"/>
  <c r="C758" i="2"/>
  <c r="C759" i="2"/>
  <c r="D759" i="2" s="1"/>
  <c r="C760" i="2"/>
  <c r="C761" i="2"/>
  <c r="C762" i="2"/>
  <c r="C763" i="2"/>
  <c r="C764" i="2"/>
  <c r="D764" i="2" s="1"/>
  <c r="C765" i="2"/>
  <c r="D765" i="2" s="1"/>
  <c r="C766" i="2"/>
  <c r="D766" i="2" s="1"/>
  <c r="C767" i="2"/>
  <c r="D767" i="2" s="1"/>
  <c r="C768" i="2"/>
  <c r="D768" i="2" s="1"/>
  <c r="C769" i="2"/>
  <c r="D769" i="2" s="1"/>
  <c r="C770" i="2"/>
  <c r="D770" i="2" s="1"/>
  <c r="C771" i="2"/>
  <c r="D771" i="2" s="1"/>
  <c r="C772" i="2"/>
  <c r="D772" i="2" s="1"/>
  <c r="C773" i="2"/>
  <c r="D773" i="2" s="1"/>
  <c r="C774" i="2"/>
  <c r="D774" i="2" s="1"/>
  <c r="C775" i="2"/>
  <c r="D775" i="2" s="1"/>
  <c r="C776" i="2"/>
  <c r="C777" i="2"/>
  <c r="D777" i="2" s="1"/>
  <c r="C778" i="2"/>
  <c r="C779" i="2"/>
  <c r="C780" i="2"/>
  <c r="D780" i="2" s="1"/>
  <c r="C781" i="2"/>
  <c r="D781" i="2" s="1"/>
  <c r="C782" i="2"/>
  <c r="D782" i="2" s="1"/>
  <c r="C783" i="2"/>
  <c r="D783" i="2" s="1"/>
  <c r="C784" i="2"/>
  <c r="D784" i="2" s="1"/>
  <c r="C785" i="2"/>
  <c r="D785" i="2" s="1"/>
  <c r="C786" i="2"/>
  <c r="D786" i="2" s="1"/>
  <c r="C787" i="2"/>
  <c r="C788" i="2"/>
  <c r="D788" i="2" s="1"/>
  <c r="C789" i="2"/>
  <c r="D789" i="2" s="1"/>
  <c r="C790" i="2"/>
  <c r="C791" i="2"/>
  <c r="D791" i="2" s="1"/>
  <c r="C792" i="2"/>
  <c r="C793" i="2"/>
  <c r="C794" i="2"/>
  <c r="D794" i="2" s="1"/>
  <c r="C795" i="2"/>
  <c r="D795" i="2" s="1"/>
  <c r="C796" i="2"/>
  <c r="D796" i="2" s="1"/>
  <c r="C797" i="2"/>
  <c r="D797" i="2" s="1"/>
  <c r="C798" i="2"/>
  <c r="D798" i="2" s="1"/>
  <c r="C799" i="2"/>
  <c r="D799" i="2" s="1"/>
  <c r="C800" i="2"/>
  <c r="D800" i="2" s="1"/>
  <c r="C801" i="2"/>
  <c r="D801" i="2" s="1"/>
  <c r="C802" i="2"/>
  <c r="D802" i="2" s="1"/>
  <c r="C803" i="2"/>
  <c r="D803" i="2" s="1"/>
  <c r="C804" i="2"/>
  <c r="D804" i="2" s="1"/>
  <c r="C805" i="2"/>
  <c r="D805" i="2" s="1"/>
  <c r="C806" i="2"/>
  <c r="D806" i="2" s="1"/>
  <c r="C807" i="2"/>
  <c r="D807" i="2" s="1"/>
  <c r="C808" i="2"/>
  <c r="C809" i="2"/>
  <c r="C810" i="2"/>
  <c r="D810" i="2" s="1"/>
  <c r="C811" i="2"/>
  <c r="D811" i="2" s="1"/>
  <c r="C812" i="2"/>
  <c r="C813" i="2"/>
  <c r="C814" i="2"/>
  <c r="D814" i="2" s="1"/>
  <c r="C815" i="2"/>
  <c r="D815" i="2" s="1"/>
  <c r="C816" i="2"/>
  <c r="D816" i="2" s="1"/>
  <c r="C817" i="2"/>
  <c r="D817" i="2" s="1"/>
  <c r="C818" i="2"/>
  <c r="D818" i="2" s="1"/>
  <c r="C819" i="2"/>
  <c r="C820" i="2"/>
  <c r="D820" i="2" s="1"/>
  <c r="C821" i="2"/>
  <c r="D821" i="2" s="1"/>
  <c r="C822" i="2"/>
  <c r="C823" i="2"/>
  <c r="D823" i="2" s="1"/>
  <c r="C824" i="2"/>
  <c r="D824" i="2" s="1"/>
  <c r="C825" i="2"/>
  <c r="D825" i="2" s="1"/>
  <c r="C826" i="2"/>
  <c r="D826" i="2" s="1"/>
  <c r="C827" i="2"/>
  <c r="D827" i="2" s="1"/>
  <c r="C828" i="2"/>
  <c r="D828" i="2" s="1"/>
  <c r="C829" i="2"/>
  <c r="D829" i="2" s="1"/>
  <c r="C830" i="2"/>
  <c r="D830" i="2" s="1"/>
  <c r="C831" i="2"/>
  <c r="D831" i="2" s="1"/>
  <c r="C832" i="2"/>
  <c r="D832" i="2" s="1"/>
  <c r="C833" i="2"/>
  <c r="D833" i="2" s="1"/>
  <c r="C834" i="2"/>
  <c r="D834" i="2" s="1"/>
  <c r="C835" i="2"/>
  <c r="D835" i="2" s="1"/>
  <c r="C836" i="2"/>
  <c r="D836" i="2" s="1"/>
  <c r="C837" i="2"/>
  <c r="D837" i="2" s="1"/>
  <c r="C838" i="2"/>
  <c r="C839" i="2"/>
  <c r="D839" i="2" s="1"/>
  <c r="C840" i="2"/>
  <c r="D840" i="2" s="1"/>
  <c r="C841" i="2"/>
  <c r="C842" i="2"/>
  <c r="C843" i="2"/>
  <c r="C844" i="2"/>
  <c r="C845" i="2"/>
  <c r="C846" i="2"/>
  <c r="D846" i="2" s="1"/>
  <c r="C847" i="2"/>
  <c r="D847" i="2" s="1"/>
  <c r="C848" i="2"/>
  <c r="D848" i="2" s="1"/>
  <c r="C849" i="2"/>
  <c r="D849" i="2" s="1"/>
  <c r="C850" i="2"/>
  <c r="D850" i="2" s="1"/>
  <c r="C851" i="2"/>
  <c r="C852" i="2"/>
  <c r="D852" i="2" s="1"/>
  <c r="C853" i="2"/>
  <c r="D853" i="2" s="1"/>
  <c r="C854" i="2"/>
  <c r="D854" i="2" s="1"/>
  <c r="C855" i="2"/>
  <c r="D855" i="2" s="1"/>
  <c r="C856" i="2"/>
  <c r="D856" i="2" s="1"/>
  <c r="C857" i="2"/>
  <c r="D857" i="2" s="1"/>
  <c r="C858" i="2"/>
  <c r="D858" i="2" s="1"/>
  <c r="C859" i="2"/>
  <c r="D859" i="2" s="1"/>
  <c r="C860" i="2"/>
  <c r="D860" i="2" s="1"/>
  <c r="C861" i="2"/>
  <c r="D861" i="2" s="1"/>
  <c r="C862" i="2"/>
  <c r="D862" i="2" s="1"/>
  <c r="C863" i="2"/>
  <c r="D863" i="2" s="1"/>
  <c r="C864" i="2"/>
  <c r="D864" i="2" s="1"/>
  <c r="C865" i="2"/>
  <c r="D865" i="2" s="1"/>
  <c r="C866" i="2"/>
  <c r="D866" i="2" s="1"/>
  <c r="C867" i="2"/>
  <c r="C868" i="2"/>
  <c r="D868" i="2" s="1"/>
  <c r="C869" i="2"/>
  <c r="D869" i="2" s="1"/>
  <c r="C870" i="2"/>
  <c r="C871" i="2"/>
  <c r="D871" i="2" s="1"/>
  <c r="C872" i="2"/>
  <c r="C873" i="2"/>
  <c r="C874" i="2"/>
  <c r="C875" i="2"/>
  <c r="C876" i="2"/>
  <c r="C877" i="2"/>
  <c r="D877" i="2" s="1"/>
  <c r="C878" i="2"/>
  <c r="D878" i="2" s="1"/>
  <c r="C879" i="2"/>
  <c r="D879" i="2" s="1"/>
  <c r="C880" i="2"/>
  <c r="D880" i="2" s="1"/>
  <c r="C881" i="2"/>
  <c r="D881" i="2" s="1"/>
  <c r="C882" i="2"/>
  <c r="D882" i="2" s="1"/>
  <c r="C883" i="2"/>
  <c r="D883" i="2" s="1"/>
  <c r="C884" i="2"/>
  <c r="D884" i="2" s="1"/>
  <c r="C885" i="2"/>
  <c r="D885" i="2" s="1"/>
  <c r="C886" i="2"/>
  <c r="D886" i="2" s="1"/>
  <c r="C887" i="2"/>
  <c r="D887" i="2" s="1"/>
  <c r="C888" i="2"/>
  <c r="D888" i="2" s="1"/>
  <c r="C889" i="2"/>
  <c r="C890" i="2"/>
  <c r="D890" i="2" s="1"/>
  <c r="C891" i="2"/>
  <c r="D891" i="2" s="1"/>
  <c r="C892" i="2"/>
  <c r="C893" i="2"/>
  <c r="D893" i="2" s="1"/>
  <c r="C894" i="2"/>
  <c r="D894" i="2" s="1"/>
  <c r="C895" i="2"/>
  <c r="D895" i="2" s="1"/>
  <c r="C896" i="2"/>
  <c r="D896" i="2" s="1"/>
  <c r="C897" i="2"/>
  <c r="D897" i="2" s="1"/>
  <c r="C898" i="2"/>
  <c r="D898" i="2" s="1"/>
  <c r="C899" i="2"/>
  <c r="D899" i="2" s="1"/>
  <c r="C900" i="2"/>
  <c r="D900" i="2" s="1"/>
  <c r="C901" i="2"/>
  <c r="D901" i="2" s="1"/>
  <c r="C902" i="2"/>
  <c r="C903" i="2"/>
  <c r="D903" i="2" s="1"/>
  <c r="C904" i="2"/>
  <c r="C905" i="2"/>
  <c r="C906" i="2"/>
  <c r="C907" i="2"/>
  <c r="D907" i="2" s="1"/>
  <c r="C908" i="2"/>
  <c r="D908" i="2" s="1"/>
  <c r="C909" i="2"/>
  <c r="D909" i="2" s="1"/>
  <c r="C910" i="2"/>
  <c r="D910" i="2" s="1"/>
  <c r="C911" i="2"/>
  <c r="D911" i="2" s="1"/>
  <c r="C912" i="2"/>
  <c r="D912" i="2" s="1"/>
  <c r="C913" i="2"/>
  <c r="D913" i="2" s="1"/>
  <c r="C914" i="2"/>
  <c r="D914" i="2" s="1"/>
  <c r="C915" i="2"/>
  <c r="D915" i="2" s="1"/>
  <c r="C916" i="2"/>
  <c r="D916" i="2" s="1"/>
  <c r="C917" i="2"/>
  <c r="D917" i="2" s="1"/>
  <c r="C918" i="2"/>
  <c r="C919" i="2"/>
  <c r="D919" i="2" s="1"/>
  <c r="C920" i="2"/>
  <c r="D920" i="2" s="1"/>
  <c r="C921" i="2"/>
  <c r="C922" i="2"/>
  <c r="C923" i="2"/>
  <c r="D923" i="2" s="1"/>
  <c r="C924" i="2"/>
  <c r="C925" i="2"/>
  <c r="C926" i="2"/>
  <c r="D926" i="2" s="1"/>
  <c r="C927" i="2"/>
  <c r="D927" i="2" s="1"/>
  <c r="C928" i="2"/>
  <c r="D928" i="2" s="1"/>
  <c r="C929" i="2"/>
  <c r="D929" i="2" s="1"/>
  <c r="C930" i="2"/>
  <c r="D930" i="2" s="1"/>
  <c r="C931" i="2"/>
  <c r="C932" i="2"/>
  <c r="D932" i="2" s="1"/>
  <c r="C933" i="2"/>
  <c r="C934" i="2"/>
  <c r="C935" i="2"/>
  <c r="D935" i="2" s="1"/>
  <c r="C936" i="2"/>
  <c r="C937" i="2"/>
  <c r="D937" i="2" s="1"/>
  <c r="C938" i="2"/>
  <c r="D938" i="2" s="1"/>
  <c r="C939" i="2"/>
  <c r="D939" i="2" s="1"/>
  <c r="C940" i="2"/>
  <c r="D940" i="2" s="1"/>
  <c r="C941" i="2"/>
  <c r="D941" i="2" s="1"/>
  <c r="C942" i="2"/>
  <c r="D942" i="2" s="1"/>
  <c r="C943" i="2"/>
  <c r="D943" i="2" s="1"/>
  <c r="C944" i="2"/>
  <c r="D944" i="2" s="1"/>
  <c r="C945" i="2"/>
  <c r="D945" i="2" s="1"/>
  <c r="C946" i="2"/>
  <c r="D946" i="2" s="1"/>
  <c r="C947" i="2"/>
  <c r="D947" i="2" s="1"/>
  <c r="C948" i="2"/>
  <c r="D948" i="2" s="1"/>
  <c r="C949" i="2"/>
  <c r="D949" i="2" s="1"/>
  <c r="C950" i="2"/>
  <c r="C951" i="2"/>
  <c r="D951" i="2" s="1"/>
  <c r="C952" i="2"/>
  <c r="C953" i="2"/>
  <c r="C954" i="2"/>
  <c r="C955" i="2"/>
  <c r="C956" i="2"/>
  <c r="C957" i="2"/>
  <c r="C958" i="2"/>
  <c r="D958" i="2" s="1"/>
  <c r="C959" i="2"/>
  <c r="D959" i="2" s="1"/>
  <c r="C960" i="2"/>
  <c r="D960" i="2" s="1"/>
  <c r="C961" i="2"/>
  <c r="D961" i="2" s="1"/>
  <c r="C962" i="2"/>
  <c r="D962" i="2" s="1"/>
  <c r="C963" i="2"/>
  <c r="D963" i="2" s="1"/>
  <c r="C964" i="2"/>
  <c r="D964" i="2" s="1"/>
  <c r="C965" i="2"/>
  <c r="D965" i="2" s="1"/>
  <c r="C966" i="2"/>
  <c r="D966" i="2" s="1"/>
  <c r="C967" i="2"/>
  <c r="D967" i="2" s="1"/>
  <c r="C968" i="2"/>
  <c r="C969" i="2"/>
  <c r="D969" i="2" s="1"/>
  <c r="C970" i="2"/>
  <c r="C971" i="2"/>
  <c r="C972" i="2"/>
  <c r="D972" i="2" s="1"/>
  <c r="C973" i="2"/>
  <c r="D973" i="2" s="1"/>
  <c r="C974" i="2"/>
  <c r="D974" i="2" s="1"/>
  <c r="C975" i="2"/>
  <c r="D975" i="2" s="1"/>
  <c r="C976" i="2"/>
  <c r="C977" i="2"/>
  <c r="D977" i="2" s="1"/>
  <c r="C978" i="2"/>
  <c r="C979" i="2"/>
  <c r="C980" i="2"/>
  <c r="D980" i="2" s="1"/>
  <c r="C981" i="2"/>
  <c r="C982" i="2"/>
  <c r="C983" i="2"/>
  <c r="D983" i="2" s="1"/>
  <c r="C984" i="2"/>
  <c r="D984" i="2" s="1"/>
  <c r="C985" i="2"/>
  <c r="D985" i="2" s="1"/>
  <c r="C986" i="2"/>
  <c r="D986" i="2" s="1"/>
  <c r="C987" i="2"/>
  <c r="D987" i="2" s="1"/>
  <c r="C988" i="2"/>
  <c r="C989" i="2"/>
  <c r="D989" i="2" s="1"/>
  <c r="C990" i="2"/>
  <c r="D990" i="2" s="1"/>
  <c r="C991" i="2"/>
  <c r="D991" i="2" s="1"/>
  <c r="C992" i="2"/>
  <c r="D992" i="2" s="1"/>
  <c r="C993" i="2"/>
  <c r="D993" i="2" s="1"/>
  <c r="C994" i="2"/>
  <c r="D994" i="2" s="1"/>
  <c r="C995" i="2"/>
  <c r="D995" i="2" s="1"/>
  <c r="C996" i="2"/>
  <c r="D996" i="2" s="1"/>
  <c r="C997" i="2"/>
  <c r="D997" i="2" s="1"/>
  <c r="C998" i="2"/>
  <c r="C999" i="2"/>
  <c r="C1000" i="2"/>
  <c r="C1001" i="2"/>
  <c r="C1002" i="2"/>
  <c r="C1003" i="2"/>
  <c r="D1003" i="2" s="1"/>
  <c r="C1004" i="2"/>
  <c r="D1004" i="2" s="1"/>
  <c r="C1005" i="2"/>
  <c r="D1005" i="2" s="1"/>
  <c r="C1006" i="2"/>
  <c r="D1006" i="2" s="1"/>
  <c r="C1007" i="2"/>
  <c r="D1007" i="2" s="1"/>
  <c r="C1008" i="2"/>
  <c r="D1008" i="2" s="1"/>
  <c r="C1009" i="2"/>
  <c r="D1009" i="2" s="1"/>
  <c r="C1010" i="2"/>
  <c r="D1010" i="2" s="1"/>
  <c r="C1011" i="2"/>
  <c r="D1011" i="2" s="1"/>
  <c r="C1012" i="2"/>
  <c r="D1012" i="2" s="1"/>
  <c r="C1013" i="2"/>
  <c r="D1013" i="2" s="1"/>
  <c r="C1014" i="2"/>
  <c r="C1015" i="2"/>
  <c r="C1016" i="2"/>
  <c r="D1016" i="2" s="1"/>
  <c r="C1017" i="2"/>
  <c r="C1018" i="2"/>
  <c r="C1019" i="2"/>
  <c r="C1020" i="2"/>
  <c r="C1021" i="2"/>
  <c r="C1022" i="2"/>
  <c r="D1022" i="2" s="1"/>
  <c r="C1023" i="2"/>
  <c r="D1023" i="2" s="1"/>
  <c r="C1024" i="2"/>
  <c r="C1025" i="2"/>
  <c r="D1025" i="2" s="1"/>
  <c r="C1026" i="2"/>
  <c r="D1026" i="2" s="1"/>
  <c r="C1027" i="2"/>
  <c r="D1027" i="2" s="1"/>
  <c r="C1028" i="2"/>
  <c r="D1028" i="2" s="1"/>
  <c r="C1029" i="2"/>
  <c r="D1029" i="2" s="1"/>
  <c r="C1030" i="2"/>
  <c r="D1030" i="2" s="1"/>
  <c r="C1031" i="2"/>
  <c r="D1031" i="2" s="1"/>
  <c r="C1032" i="2"/>
  <c r="C1033" i="2"/>
  <c r="D1033" i="2" s="1"/>
  <c r="C1034" i="2"/>
  <c r="C1035" i="2"/>
  <c r="C1036" i="2"/>
  <c r="D1036" i="2" s="1"/>
  <c r="C1037" i="2"/>
  <c r="D1037" i="2" s="1"/>
  <c r="C1038" i="2"/>
  <c r="D1038" i="2" s="1"/>
  <c r="C1039" i="2"/>
  <c r="D1039" i="2" s="1"/>
  <c r="C1040" i="2"/>
  <c r="C1041" i="2"/>
  <c r="D1041" i="2" s="1"/>
  <c r="C1042" i="2"/>
  <c r="D1042" i="2" s="1"/>
  <c r="C1043" i="2"/>
  <c r="C1044" i="2"/>
  <c r="D1044" i="2" s="1"/>
  <c r="C1045" i="2"/>
  <c r="D1045" i="2" s="1"/>
  <c r="C1046" i="2"/>
  <c r="C1047" i="2"/>
  <c r="D1047" i="2" s="1"/>
  <c r="C1048" i="2"/>
  <c r="D1048" i="2" s="1"/>
  <c r="C1049" i="2"/>
  <c r="D1049" i="2" s="1"/>
  <c r="C1050" i="2"/>
  <c r="D1050" i="2" s="1"/>
  <c r="C1051" i="2"/>
  <c r="D1051" i="2" s="1"/>
  <c r="C1052" i="2"/>
  <c r="C1053" i="2"/>
  <c r="D1053" i="2" s="1"/>
  <c r="C1054" i="2"/>
  <c r="D1054" i="2" s="1"/>
  <c r="C1055" i="2"/>
  <c r="D1055" i="2" s="1"/>
  <c r="C1056" i="2"/>
  <c r="D1056" i="2" s="1"/>
  <c r="C1057" i="2"/>
  <c r="D1057" i="2" s="1"/>
  <c r="C1058" i="2"/>
  <c r="D1058" i="2" s="1"/>
  <c r="C1059" i="2"/>
  <c r="D1059" i="2" s="1"/>
  <c r="C1060" i="2"/>
  <c r="D1060" i="2" s="1"/>
  <c r="C1061" i="2"/>
  <c r="D1061" i="2" s="1"/>
  <c r="C1062" i="2"/>
  <c r="C1063" i="2"/>
  <c r="C1064" i="2"/>
  <c r="C1065" i="2"/>
  <c r="C1066" i="2"/>
  <c r="C1067" i="2"/>
  <c r="D1067" i="2" s="1"/>
  <c r="C1068" i="2"/>
  <c r="D1068" i="2" s="1"/>
  <c r="C1069" i="2"/>
  <c r="D1069" i="2" s="1"/>
  <c r="C1070" i="2"/>
  <c r="D1070" i="2" s="1"/>
  <c r="C1071" i="2"/>
  <c r="D1071" i="2" s="1"/>
  <c r="C1072" i="2"/>
  <c r="D1072" i="2" s="1"/>
  <c r="C1073" i="2"/>
  <c r="D1073" i="2" s="1"/>
  <c r="C1074" i="2"/>
  <c r="D1074" i="2" s="1"/>
  <c r="C1075" i="2"/>
  <c r="D1075" i="2" s="1"/>
  <c r="C1076" i="2"/>
  <c r="D1076" i="2" s="1"/>
  <c r="C1077" i="2"/>
  <c r="D1077" i="2" s="1"/>
  <c r="C1078" i="2"/>
  <c r="C1079" i="2"/>
  <c r="D1079" i="2" s="1"/>
  <c r="C1080" i="2"/>
  <c r="C1081" i="2"/>
  <c r="C1082" i="2"/>
  <c r="C1083" i="2"/>
  <c r="C1084" i="2"/>
  <c r="C1085" i="2"/>
  <c r="C1086" i="2"/>
  <c r="D1086" i="2" s="1"/>
  <c r="C1087" i="2"/>
  <c r="D1087" i="2" s="1"/>
  <c r="C1088" i="2"/>
  <c r="D1088" i="2" s="1"/>
  <c r="C1089" i="2"/>
  <c r="D1089" i="2" s="1"/>
  <c r="C1090" i="2"/>
  <c r="D1090" i="2" s="1"/>
  <c r="C1091" i="2"/>
  <c r="D1091" i="2" s="1"/>
  <c r="C1092" i="2"/>
  <c r="D1092" i="2" s="1"/>
  <c r="C1093" i="2"/>
  <c r="D1093" i="2" s="1"/>
  <c r="C1094" i="2"/>
  <c r="D1094" i="2" s="1"/>
  <c r="C1095" i="2"/>
  <c r="C1096" i="2"/>
  <c r="C1097" i="2"/>
  <c r="D1097" i="2" s="1"/>
  <c r="C1098" i="2"/>
  <c r="C1099" i="2"/>
  <c r="C1100" i="2"/>
  <c r="C1101" i="2"/>
  <c r="C1102" i="2"/>
  <c r="D1102" i="2" s="1"/>
  <c r="C1103" i="2"/>
  <c r="C1104" i="2"/>
  <c r="D1104" i="2" s="1"/>
  <c r="C1105" i="2"/>
  <c r="D1105" i="2" s="1"/>
  <c r="C1106" i="2"/>
  <c r="D1106" i="2" s="1"/>
  <c r="C1107" i="2"/>
  <c r="D1107" i="2" s="1"/>
  <c r="C1108" i="2"/>
  <c r="D1108" i="2" s="1"/>
  <c r="C1109" i="2"/>
  <c r="D1109" i="2" s="1"/>
  <c r="C1110" i="2"/>
  <c r="D1110" i="2" s="1"/>
  <c r="C1111" i="2"/>
  <c r="C1112" i="2"/>
  <c r="C1113" i="2"/>
  <c r="D1113" i="2" s="1"/>
  <c r="C1114" i="2"/>
  <c r="C1115" i="2"/>
  <c r="C1116" i="2"/>
  <c r="C1117" i="2"/>
  <c r="C1118" i="2"/>
  <c r="D1118" i="2" s="1"/>
  <c r="C1119" i="2"/>
  <c r="C1120" i="2"/>
  <c r="D1120" i="2" s="1"/>
  <c r="C1121" i="2"/>
  <c r="D1121" i="2" s="1"/>
  <c r="C1122" i="2"/>
  <c r="D1122" i="2" s="1"/>
  <c r="C1123" i="2"/>
  <c r="D1123" i="2" s="1"/>
  <c r="C1124" i="2"/>
  <c r="D1124" i="2" s="1"/>
  <c r="C1125" i="2"/>
  <c r="D1125" i="2" s="1"/>
  <c r="C1126" i="2"/>
  <c r="D1126" i="2" s="1"/>
  <c r="C1127" i="2"/>
  <c r="C1128" i="2"/>
  <c r="C1129" i="2"/>
  <c r="D1129" i="2" s="1"/>
  <c r="C1130" i="2"/>
  <c r="C1131" i="2"/>
  <c r="C1132" i="2"/>
  <c r="C1133" i="2"/>
  <c r="C1134" i="2"/>
  <c r="D1134" i="2" s="1"/>
  <c r="C1135" i="2"/>
  <c r="C1136" i="2"/>
  <c r="D1136" i="2" s="1"/>
  <c r="C1137" i="2"/>
  <c r="D1137" i="2" s="1"/>
  <c r="C1138" i="2"/>
  <c r="D1138" i="2" s="1"/>
  <c r="C1139" i="2"/>
  <c r="D1139" i="2" s="1"/>
  <c r="C1140" i="2"/>
  <c r="D1140" i="2" s="1"/>
  <c r="C1141" i="2"/>
  <c r="D1141" i="2" s="1"/>
  <c r="C1142" i="2"/>
  <c r="D1142" i="2" s="1"/>
  <c r="C1143" i="2"/>
  <c r="C1144" i="2"/>
  <c r="C1145" i="2"/>
  <c r="D1145" i="2" s="1"/>
  <c r="C1146" i="2"/>
  <c r="C1147" i="2"/>
  <c r="C1148" i="2"/>
  <c r="C1149" i="2"/>
  <c r="C1150" i="2"/>
  <c r="D1150" i="2" s="1"/>
  <c r="C1151" i="2"/>
  <c r="C1152" i="2"/>
  <c r="D1152" i="2" s="1"/>
  <c r="C1153" i="2"/>
  <c r="D1153" i="2" s="1"/>
  <c r="C1154" i="2"/>
  <c r="D1154" i="2" s="1"/>
  <c r="C1155" i="2"/>
  <c r="D1155" i="2" s="1"/>
  <c r="C1156" i="2"/>
  <c r="D1156" i="2" s="1"/>
  <c r="C1157" i="2"/>
  <c r="D1157" i="2" s="1"/>
  <c r="C1158" i="2"/>
  <c r="D1158" i="2" s="1"/>
  <c r="C1159" i="2"/>
  <c r="C1160" i="2"/>
  <c r="C1161" i="2"/>
  <c r="D1161" i="2" s="1"/>
  <c r="C1162" i="2"/>
  <c r="C1163" i="2"/>
  <c r="C1164" i="2"/>
  <c r="C1165" i="2"/>
  <c r="C1166" i="2"/>
  <c r="D1166" i="2" s="1"/>
  <c r="C1167" i="2"/>
  <c r="C1168" i="2"/>
  <c r="D1168" i="2" s="1"/>
  <c r="C1169" i="2"/>
  <c r="D1169" i="2" s="1"/>
  <c r="C1170" i="2"/>
  <c r="D1170" i="2" s="1"/>
  <c r="C1171" i="2"/>
  <c r="D1171" i="2" s="1"/>
  <c r="C1172" i="2"/>
  <c r="D1172" i="2" s="1"/>
  <c r="C1173" i="2"/>
  <c r="D1173" i="2" s="1"/>
  <c r="C1174" i="2"/>
  <c r="D1174" i="2" s="1"/>
  <c r="C1175" i="2"/>
  <c r="C1176" i="2"/>
  <c r="C1177" i="2"/>
  <c r="D1177" i="2" s="1"/>
  <c r="C1178" i="2"/>
  <c r="C1179" i="2"/>
  <c r="C1180" i="2"/>
  <c r="C1181" i="2"/>
  <c r="C1182" i="2"/>
  <c r="D1182" i="2" s="1"/>
  <c r="C1183" i="2"/>
  <c r="C1184" i="2"/>
  <c r="D1184" i="2" s="1"/>
  <c r="C1185" i="2"/>
  <c r="D1185" i="2" s="1"/>
  <c r="C1186" i="2"/>
  <c r="D1186" i="2" s="1"/>
  <c r="C1187" i="2"/>
  <c r="D1187" i="2" s="1"/>
  <c r="C1188" i="2"/>
  <c r="D1188" i="2" s="1"/>
  <c r="C1189" i="2"/>
  <c r="D1189" i="2" s="1"/>
  <c r="C1190" i="2"/>
  <c r="D1190" i="2" s="1"/>
  <c r="C1191" i="2"/>
  <c r="C1192" i="2"/>
  <c r="C1193" i="2"/>
  <c r="D1193" i="2" s="1"/>
  <c r="C1194" i="2"/>
  <c r="C1195" i="2"/>
  <c r="C1196" i="2"/>
  <c r="C1197" i="2"/>
  <c r="C1198" i="2"/>
  <c r="D1198" i="2" s="1"/>
  <c r="C1199" i="2"/>
  <c r="C1200" i="2"/>
  <c r="D1200" i="2" s="1"/>
  <c r="C1201" i="2"/>
  <c r="D1201" i="2" s="1"/>
  <c r="C1202" i="2"/>
  <c r="D1202" i="2" s="1"/>
  <c r="C1203" i="2"/>
  <c r="D1203" i="2" s="1"/>
  <c r="C1204" i="2"/>
  <c r="D1204" i="2" s="1"/>
  <c r="C1205" i="2"/>
  <c r="D1205" i="2" s="1"/>
  <c r="C1206" i="2"/>
  <c r="D1206" i="2" s="1"/>
  <c r="C1207" i="2"/>
  <c r="C1208" i="2"/>
  <c r="C1209" i="2"/>
  <c r="D1209" i="2" s="1"/>
  <c r="C1210" i="2"/>
  <c r="C1211" i="2"/>
  <c r="C1212" i="2"/>
  <c r="C1213" i="2"/>
  <c r="C1214" i="2"/>
  <c r="D1214" i="2" s="1"/>
  <c r="C1215" i="2"/>
  <c r="C1216" i="2"/>
  <c r="D1216" i="2" s="1"/>
  <c r="C1217" i="2"/>
  <c r="D1217" i="2" s="1"/>
  <c r="C1218" i="2"/>
  <c r="D1218" i="2" s="1"/>
  <c r="C1219" i="2"/>
  <c r="D1219" i="2" s="1"/>
  <c r="C1220" i="2"/>
  <c r="D1220" i="2" s="1"/>
  <c r="C1221" i="2"/>
  <c r="D1221" i="2" s="1"/>
  <c r="C1222" i="2"/>
  <c r="D1222" i="2" s="1"/>
  <c r="C1223" i="2"/>
  <c r="C1224" i="2"/>
  <c r="C1225" i="2"/>
  <c r="D1225" i="2" s="1"/>
  <c r="C1226" i="2"/>
  <c r="C1227" i="2"/>
  <c r="C1228" i="2"/>
  <c r="C1229" i="2"/>
  <c r="C1230" i="2"/>
  <c r="D1230" i="2" s="1"/>
  <c r="C1231" i="2"/>
  <c r="C1232" i="2"/>
  <c r="D1232" i="2" s="1"/>
  <c r="C1233" i="2"/>
  <c r="D1233" i="2" s="1"/>
  <c r="C1234" i="2"/>
  <c r="D1234" i="2" s="1"/>
  <c r="C1235" i="2"/>
  <c r="D1235" i="2" s="1"/>
  <c r="C1236" i="2"/>
  <c r="D1236" i="2" s="1"/>
  <c r="C1237" i="2"/>
  <c r="D1237" i="2" s="1"/>
  <c r="C1238" i="2"/>
  <c r="D1238" i="2" s="1"/>
  <c r="C1239" i="2"/>
  <c r="C1240" i="2"/>
  <c r="C1241" i="2"/>
  <c r="D1241" i="2" s="1"/>
  <c r="C1242" i="2"/>
  <c r="C1243" i="2"/>
  <c r="C1244" i="2"/>
  <c r="C1245" i="2"/>
  <c r="C1246" i="2"/>
  <c r="D1246" i="2" s="1"/>
  <c r="C1247" i="2"/>
  <c r="C1248" i="2"/>
  <c r="D1248" i="2" s="1"/>
  <c r="C1249" i="2"/>
  <c r="D1249" i="2" s="1"/>
  <c r="C1250" i="2"/>
  <c r="D1250" i="2" s="1"/>
  <c r="C1251" i="2"/>
  <c r="D1251" i="2" s="1"/>
  <c r="C1252" i="2"/>
  <c r="D1252" i="2" s="1"/>
  <c r="C1253" i="2"/>
  <c r="D1253" i="2" s="1"/>
  <c r="C1254" i="2"/>
  <c r="D1254" i="2" s="1"/>
  <c r="C1255" i="2"/>
  <c r="C1256" i="2"/>
  <c r="C1257" i="2"/>
  <c r="D1257" i="2" s="1"/>
  <c r="C1258" i="2"/>
  <c r="C1259" i="2"/>
  <c r="C1260" i="2"/>
  <c r="C1261" i="2"/>
  <c r="C1262" i="2"/>
  <c r="D1262" i="2" s="1"/>
  <c r="C1263" i="2"/>
  <c r="C1264" i="2"/>
  <c r="D1264" i="2" s="1"/>
  <c r="C1265" i="2"/>
  <c r="D1265" i="2" s="1"/>
  <c r="C1266" i="2"/>
  <c r="D1266" i="2" s="1"/>
  <c r="C1267" i="2"/>
  <c r="D1267" i="2" s="1"/>
  <c r="C1268" i="2"/>
  <c r="D1268" i="2" s="1"/>
  <c r="C1269" i="2"/>
  <c r="D1269" i="2" s="1"/>
  <c r="C1270" i="2"/>
  <c r="D1270" i="2" s="1"/>
  <c r="C1271" i="2"/>
  <c r="C1272" i="2"/>
  <c r="C1273" i="2"/>
  <c r="D1273" i="2" s="1"/>
  <c r="C1274" i="2"/>
  <c r="C1275" i="2"/>
  <c r="C1276" i="2"/>
  <c r="C1277" i="2"/>
  <c r="C1278" i="2"/>
  <c r="D1278" i="2" s="1"/>
  <c r="C1279" i="2"/>
  <c r="C1280" i="2"/>
  <c r="D1280" i="2" s="1"/>
  <c r="C1281" i="2"/>
  <c r="D1281" i="2" s="1"/>
  <c r="C1282" i="2"/>
  <c r="D1282" i="2" s="1"/>
  <c r="C1283" i="2"/>
  <c r="D1283" i="2" s="1"/>
  <c r="C1284" i="2"/>
  <c r="D1284" i="2" s="1"/>
  <c r="C1285" i="2"/>
  <c r="D1285" i="2" s="1"/>
  <c r="C1286" i="2"/>
  <c r="D1286" i="2" s="1"/>
  <c r="C1287" i="2"/>
  <c r="C1288" i="2"/>
  <c r="C1289" i="2"/>
  <c r="D1289" i="2" s="1"/>
  <c r="C1290" i="2"/>
  <c r="C1291" i="2"/>
  <c r="C1292" i="2"/>
  <c r="C1293" i="2"/>
  <c r="C1294" i="2"/>
  <c r="D1294" i="2" s="1"/>
  <c r="C1295" i="2"/>
  <c r="C1296" i="2"/>
  <c r="D1296" i="2" s="1"/>
  <c r="C1297" i="2"/>
  <c r="D1297" i="2" s="1"/>
  <c r="C1298" i="2"/>
  <c r="D1298" i="2" s="1"/>
  <c r="C1299" i="2"/>
  <c r="D1299" i="2" s="1"/>
  <c r="C1300" i="2"/>
  <c r="D1300" i="2" s="1"/>
  <c r="C1301" i="2"/>
  <c r="D1301" i="2" s="1"/>
  <c r="C1302" i="2"/>
  <c r="D1302" i="2" s="1"/>
  <c r="C1303" i="2"/>
  <c r="C1304" i="2"/>
  <c r="C1305" i="2"/>
  <c r="D1305" i="2" s="1"/>
  <c r="C1306" i="2"/>
  <c r="C1307" i="2"/>
  <c r="C1308" i="2"/>
  <c r="C1309" i="2"/>
  <c r="C1310" i="2"/>
  <c r="D1310" i="2" s="1"/>
  <c r="C1311" i="2"/>
  <c r="C1312" i="2"/>
  <c r="D1312" i="2" s="1"/>
  <c r="C1313" i="2"/>
  <c r="D1313" i="2" s="1"/>
  <c r="C1314" i="2"/>
  <c r="D1314" i="2" s="1"/>
  <c r="C1315" i="2"/>
  <c r="D1315" i="2" s="1"/>
  <c r="C1316" i="2"/>
  <c r="D1316" i="2" s="1"/>
  <c r="C1317" i="2"/>
  <c r="D1317" i="2" s="1"/>
  <c r="C1318" i="2"/>
  <c r="D1318" i="2" s="1"/>
  <c r="C1319" i="2"/>
  <c r="C1320" i="2"/>
  <c r="C1321" i="2"/>
  <c r="D1321" i="2" s="1"/>
  <c r="C1322" i="2"/>
  <c r="C1323" i="2"/>
  <c r="C1324" i="2"/>
  <c r="C1325" i="2"/>
  <c r="C1326" i="2"/>
  <c r="D1326" i="2" s="1"/>
  <c r="C1327" i="2"/>
  <c r="C1328" i="2"/>
  <c r="D1328" i="2" s="1"/>
  <c r="C1329" i="2"/>
  <c r="D1329" i="2" s="1"/>
  <c r="C1330" i="2"/>
  <c r="D1330" i="2" s="1"/>
  <c r="C1331" i="2"/>
  <c r="D1331" i="2" s="1"/>
  <c r="C1332" i="2"/>
  <c r="D1332" i="2" s="1"/>
  <c r="C1333" i="2"/>
  <c r="D1333" i="2" s="1"/>
  <c r="C1334" i="2"/>
  <c r="D1334" i="2" s="1"/>
  <c r="C1335" i="2"/>
  <c r="C1336" i="2"/>
  <c r="C1337" i="2"/>
  <c r="D1337" i="2" s="1"/>
  <c r="C1338" i="2"/>
  <c r="C1339" i="2"/>
  <c r="C1340" i="2"/>
  <c r="C1341" i="2"/>
  <c r="C1342" i="2"/>
  <c r="D1342" i="2" s="1"/>
  <c r="C1343" i="2"/>
  <c r="C1344" i="2"/>
  <c r="D1344" i="2" s="1"/>
  <c r="C1345" i="2"/>
  <c r="D1345" i="2" s="1"/>
  <c r="C1346" i="2"/>
  <c r="D1346" i="2" s="1"/>
  <c r="C1347" i="2"/>
  <c r="D1347" i="2" s="1"/>
  <c r="C1348" i="2"/>
  <c r="D1348" i="2" s="1"/>
  <c r="C1349" i="2"/>
  <c r="D1349" i="2" s="1"/>
  <c r="C1350" i="2"/>
  <c r="D1350" i="2" s="1"/>
  <c r="C1351" i="2"/>
  <c r="C1352" i="2"/>
  <c r="C1353" i="2"/>
  <c r="D1353" i="2" s="1"/>
  <c r="C1354" i="2"/>
  <c r="C1355" i="2"/>
  <c r="C1356" i="2"/>
  <c r="C1357" i="2"/>
  <c r="C1358" i="2"/>
  <c r="D1358" i="2" s="1"/>
  <c r="C1359" i="2"/>
  <c r="C1360" i="2"/>
  <c r="D1360" i="2" s="1"/>
  <c r="C1361" i="2"/>
  <c r="D1361" i="2" s="1"/>
  <c r="C1362" i="2"/>
  <c r="D1362" i="2" s="1"/>
  <c r="C1363" i="2"/>
  <c r="D1363" i="2" s="1"/>
  <c r="C1364" i="2"/>
  <c r="D1364" i="2" s="1"/>
  <c r="C1365" i="2"/>
  <c r="D1365" i="2" s="1"/>
  <c r="C1366" i="2"/>
  <c r="D1366" i="2" s="1"/>
  <c r="C1367" i="2"/>
  <c r="C1368" i="2"/>
  <c r="C1369" i="2"/>
  <c r="D1369" i="2" s="1"/>
  <c r="C1370" i="2"/>
  <c r="C1371" i="2"/>
  <c r="C1372" i="2"/>
  <c r="C1373" i="2"/>
  <c r="C1374" i="2"/>
  <c r="D1374" i="2" s="1"/>
  <c r="C1375" i="2"/>
  <c r="C1376" i="2"/>
  <c r="D1376" i="2" s="1"/>
  <c r="C1377" i="2"/>
  <c r="D1377" i="2" s="1"/>
  <c r="C1378" i="2"/>
  <c r="D1378" i="2" s="1"/>
  <c r="C1379" i="2"/>
  <c r="D1379" i="2" s="1"/>
  <c r="C1380" i="2"/>
  <c r="D1380" i="2" s="1"/>
  <c r="C1381" i="2"/>
  <c r="D1381" i="2" s="1"/>
  <c r="C1382" i="2"/>
  <c r="D1382" i="2" s="1"/>
  <c r="C1383" i="2"/>
  <c r="C1384" i="2"/>
  <c r="C1385" i="2"/>
  <c r="D1385" i="2" s="1"/>
  <c r="C1386" i="2"/>
  <c r="C1387" i="2"/>
  <c r="C1388" i="2"/>
  <c r="C1389" i="2"/>
  <c r="C1390" i="2"/>
  <c r="D1390" i="2" s="1"/>
  <c r="C1391" i="2"/>
  <c r="C1392" i="2"/>
  <c r="D1392" i="2" s="1"/>
  <c r="C1393" i="2"/>
  <c r="D1393" i="2" s="1"/>
  <c r="C1394" i="2"/>
  <c r="D1394" i="2" s="1"/>
  <c r="C1395" i="2"/>
  <c r="D1395" i="2" s="1"/>
  <c r="C1396" i="2"/>
  <c r="D1396" i="2" s="1"/>
  <c r="C1397" i="2"/>
  <c r="D1397" i="2" s="1"/>
  <c r="C1398" i="2"/>
  <c r="D1398" i="2" s="1"/>
  <c r="C1399" i="2"/>
  <c r="C1400" i="2"/>
  <c r="C1401" i="2"/>
  <c r="D1401" i="2" s="1"/>
  <c r="C1402" i="2"/>
  <c r="C1403" i="2"/>
  <c r="C1404" i="2"/>
  <c r="C1405" i="2"/>
  <c r="C1406" i="2"/>
  <c r="D1406" i="2" s="1"/>
  <c r="C1407" i="2"/>
  <c r="C1408" i="2"/>
  <c r="D1408" i="2" s="1"/>
  <c r="C1409" i="2"/>
  <c r="D1409" i="2" s="1"/>
  <c r="C1410" i="2"/>
  <c r="D1410" i="2" s="1"/>
  <c r="C1411" i="2"/>
  <c r="D1411" i="2" s="1"/>
  <c r="C1412" i="2"/>
  <c r="D1412" i="2" s="1"/>
  <c r="C1413" i="2"/>
  <c r="D1413" i="2" s="1"/>
  <c r="C1414" i="2"/>
  <c r="D1414" i="2" s="1"/>
  <c r="C1415" i="2"/>
  <c r="C1416" i="2"/>
  <c r="C1417" i="2"/>
  <c r="D1417" i="2" s="1"/>
  <c r="C1418" i="2"/>
  <c r="C1419" i="2"/>
  <c r="C1420" i="2"/>
  <c r="C1421" i="2"/>
  <c r="C1422" i="2"/>
  <c r="D1422" i="2" s="1"/>
  <c r="C1423" i="2"/>
  <c r="C1424" i="2"/>
  <c r="D1424" i="2" s="1"/>
  <c r="C1425" i="2"/>
  <c r="D1425" i="2" s="1"/>
  <c r="C1426" i="2"/>
  <c r="D1426" i="2" s="1"/>
  <c r="C1427" i="2"/>
  <c r="D1427" i="2" s="1"/>
  <c r="C1428" i="2"/>
  <c r="D1428" i="2" s="1"/>
  <c r="C1429" i="2"/>
  <c r="D1429" i="2" s="1"/>
  <c r="C1430" i="2"/>
  <c r="D1430" i="2" s="1"/>
  <c r="C1431" i="2"/>
  <c r="C1432" i="2"/>
  <c r="C1433" i="2"/>
  <c r="D1433" i="2" s="1"/>
  <c r="C1434" i="2"/>
  <c r="C1435" i="2"/>
  <c r="C1436" i="2"/>
  <c r="C1437" i="2"/>
  <c r="C1438" i="2"/>
  <c r="D1438" i="2" s="1"/>
  <c r="C1439" i="2"/>
  <c r="C1440" i="2"/>
  <c r="D1440" i="2" s="1"/>
  <c r="C1441" i="2"/>
  <c r="D1441" i="2" s="1"/>
  <c r="C1442" i="2"/>
  <c r="D1442" i="2" s="1"/>
  <c r="C1443" i="2"/>
  <c r="D1443" i="2" s="1"/>
  <c r="C1444" i="2"/>
  <c r="D1444" i="2" s="1"/>
  <c r="C1445" i="2"/>
  <c r="D1445" i="2" s="1"/>
  <c r="C1446" i="2"/>
  <c r="D1446" i="2" s="1"/>
  <c r="C1447" i="2"/>
  <c r="C1448" i="2"/>
  <c r="C1449" i="2"/>
  <c r="D1449" i="2" s="1"/>
  <c r="C1450" i="2"/>
  <c r="C1451" i="2"/>
  <c r="C1452" i="2"/>
  <c r="C1453" i="2"/>
  <c r="C1454" i="2"/>
  <c r="D1454" i="2" s="1"/>
  <c r="C1455" i="2"/>
  <c r="C1456" i="2"/>
  <c r="D1456" i="2" s="1"/>
  <c r="C1457" i="2"/>
  <c r="D1457" i="2" s="1"/>
  <c r="C1458" i="2"/>
  <c r="D1458" i="2" s="1"/>
  <c r="C1459" i="2"/>
  <c r="D1459" i="2" s="1"/>
  <c r="C1460" i="2"/>
  <c r="D1460" i="2" s="1"/>
  <c r="C1461" i="2"/>
  <c r="D1461" i="2" s="1"/>
  <c r="C1462" i="2"/>
  <c r="D1462" i="2" s="1"/>
  <c r="C1463" i="2"/>
  <c r="C1464" i="2"/>
  <c r="C1465" i="2"/>
  <c r="D1465" i="2" s="1"/>
  <c r="C1466" i="2"/>
  <c r="C1467" i="2"/>
  <c r="C1468" i="2"/>
  <c r="C1469" i="2"/>
  <c r="C1470" i="2"/>
  <c r="D1470" i="2" s="1"/>
  <c r="C1471" i="2"/>
  <c r="C1472" i="2"/>
  <c r="D1472" i="2" s="1"/>
  <c r="C1473" i="2"/>
  <c r="D1473" i="2" s="1"/>
  <c r="C1474" i="2"/>
  <c r="D1474" i="2" s="1"/>
  <c r="C1475" i="2"/>
  <c r="D1475" i="2" s="1"/>
  <c r="C1476" i="2"/>
  <c r="D1476" i="2" s="1"/>
  <c r="C1477" i="2"/>
  <c r="D1477" i="2" s="1"/>
  <c r="C1478" i="2"/>
  <c r="D1478" i="2" s="1"/>
  <c r="C1479" i="2"/>
  <c r="C1480" i="2"/>
  <c r="C1481" i="2"/>
  <c r="D1481" i="2" s="1"/>
  <c r="C1482" i="2"/>
  <c r="C1483" i="2"/>
  <c r="C1484" i="2"/>
  <c r="C1485" i="2"/>
  <c r="C1486" i="2"/>
  <c r="D1486" i="2" s="1"/>
  <c r="C1487" i="2"/>
  <c r="C1488" i="2"/>
  <c r="D1488" i="2" s="1"/>
  <c r="C1489" i="2"/>
  <c r="D1489" i="2" s="1"/>
  <c r="C1490" i="2"/>
  <c r="D1490" i="2" s="1"/>
  <c r="C1491" i="2"/>
  <c r="D1491" i="2" s="1"/>
  <c r="C1492" i="2"/>
  <c r="D1492" i="2" s="1"/>
  <c r="C1493" i="2"/>
  <c r="D1493" i="2" s="1"/>
  <c r="C1494" i="2"/>
  <c r="D1494" i="2" s="1"/>
  <c r="C1495" i="2"/>
  <c r="C1496" i="2"/>
  <c r="C1497" i="2"/>
  <c r="D1497" i="2" s="1"/>
  <c r="C1498" i="2"/>
  <c r="C1499" i="2"/>
  <c r="C1500" i="2"/>
  <c r="C1501" i="2"/>
  <c r="C1502" i="2"/>
  <c r="D1502" i="2" s="1"/>
  <c r="C1503" i="2"/>
  <c r="C1504" i="2"/>
  <c r="D1504" i="2" s="1"/>
  <c r="C1505" i="2"/>
  <c r="D1505" i="2" s="1"/>
  <c r="C1506" i="2"/>
  <c r="D1506" i="2" s="1"/>
  <c r="C1507" i="2"/>
  <c r="D1507" i="2" s="1"/>
  <c r="C1508" i="2"/>
  <c r="D1508" i="2" s="1"/>
  <c r="C1509" i="2"/>
  <c r="D1509" i="2" s="1"/>
  <c r="C1510" i="2"/>
  <c r="D1510" i="2" s="1"/>
  <c r="C1511" i="2"/>
  <c r="C1512" i="2"/>
  <c r="C1513" i="2"/>
  <c r="D1513" i="2" s="1"/>
  <c r="C1514" i="2"/>
  <c r="C1515" i="2"/>
  <c r="C1516" i="2"/>
  <c r="C1517" i="2"/>
  <c r="C1518" i="2"/>
  <c r="D1518" i="2" s="1"/>
  <c r="C1519" i="2"/>
  <c r="C1520" i="2"/>
  <c r="D1520" i="2" s="1"/>
  <c r="C1521" i="2"/>
  <c r="D1521" i="2" s="1"/>
  <c r="C1522" i="2"/>
  <c r="D1522" i="2" s="1"/>
  <c r="C1523" i="2"/>
  <c r="D1523" i="2" s="1"/>
  <c r="C1524" i="2"/>
  <c r="D1524" i="2" s="1"/>
  <c r="C1525" i="2"/>
  <c r="D1525" i="2" s="1"/>
  <c r="C1526" i="2"/>
  <c r="D1526" i="2" s="1"/>
  <c r="C1527" i="2"/>
  <c r="C1528" i="2"/>
  <c r="C1529" i="2"/>
  <c r="D1529" i="2" s="1"/>
  <c r="C1530" i="2"/>
  <c r="C1" i="2"/>
  <c r="J773" i="1" l="1"/>
  <c r="J772" i="1"/>
  <c r="U767" i="1" s="1"/>
  <c r="J771" i="1"/>
  <c r="S767" i="1" s="1"/>
  <c r="N769" i="1"/>
  <c r="P769" i="1" s="1"/>
  <c r="R767" i="1" s="1"/>
  <c r="V7" i="1"/>
  <c r="W7" i="1" s="1"/>
  <c r="X7" i="1" s="1"/>
  <c r="V8" i="1"/>
  <c r="V9" i="1"/>
  <c r="V10" i="1"/>
  <c r="V11" i="1"/>
  <c r="V12" i="1"/>
  <c r="W12" i="1" s="1"/>
  <c r="X12" i="1" s="1"/>
  <c r="V13" i="1"/>
  <c r="V14" i="1"/>
  <c r="V15" i="1"/>
  <c r="W15" i="1" s="1"/>
  <c r="X15" i="1" s="1"/>
  <c r="V16" i="1"/>
  <c r="V17" i="1"/>
  <c r="V18" i="1"/>
  <c r="V19" i="1"/>
  <c r="V20" i="1"/>
  <c r="W20" i="1" s="1"/>
  <c r="X20" i="1" s="1"/>
  <c r="V21" i="1"/>
  <c r="W21" i="1" s="1"/>
  <c r="X21" i="1" s="1"/>
  <c r="V22" i="1"/>
  <c r="W22" i="1" s="1"/>
  <c r="X22" i="1" s="1"/>
  <c r="V23" i="1"/>
  <c r="W23" i="1" s="1"/>
  <c r="X23" i="1" s="1"/>
  <c r="V24" i="1"/>
  <c r="W24" i="1" s="1"/>
  <c r="X24" i="1" s="1"/>
  <c r="V25" i="1"/>
  <c r="V26" i="1"/>
  <c r="V27" i="1"/>
  <c r="W27" i="1" s="1"/>
  <c r="X27" i="1" s="1"/>
  <c r="V28" i="1"/>
  <c r="V29" i="1"/>
  <c r="V30" i="1"/>
  <c r="V31" i="1"/>
  <c r="W31" i="1" s="1"/>
  <c r="X31" i="1" s="1"/>
  <c r="V32" i="1"/>
  <c r="V33" i="1"/>
  <c r="V34" i="1"/>
  <c r="V35" i="1"/>
  <c r="W35" i="1" s="1"/>
  <c r="X35" i="1" s="1"/>
  <c r="V36" i="1"/>
  <c r="W36" i="1" s="1"/>
  <c r="X36" i="1" s="1"/>
  <c r="V6" i="1"/>
  <c r="L773" i="1" l="1"/>
  <c r="N773" i="1" s="1"/>
  <c r="T767" i="1" s="1"/>
  <c r="W29" i="1"/>
  <c r="X29" i="1" s="1"/>
  <c r="W13" i="1"/>
  <c r="X13" i="1" s="1"/>
  <c r="W34" i="1"/>
  <c r="X34" i="1" s="1"/>
  <c r="W26" i="1"/>
  <c r="X26" i="1" s="1"/>
  <c r="W18" i="1"/>
  <c r="X18" i="1" s="1"/>
  <c r="W10" i="1"/>
  <c r="X10" i="1" s="1"/>
  <c r="W32" i="1"/>
  <c r="X32" i="1" s="1"/>
  <c r="W6" i="1"/>
  <c r="X6" i="1" s="1"/>
  <c r="W33" i="1"/>
  <c r="X33" i="1" s="1"/>
  <c r="W25" i="1"/>
  <c r="X25" i="1" s="1"/>
  <c r="W17" i="1"/>
  <c r="X17" i="1" s="1"/>
  <c r="W9" i="1"/>
  <c r="X9" i="1" s="1"/>
  <c r="W16" i="1"/>
  <c r="X16" i="1" s="1"/>
  <c r="W8" i="1"/>
  <c r="X8" i="1" s="1"/>
  <c r="W30" i="1"/>
  <c r="X30" i="1" s="1"/>
  <c r="W14" i="1"/>
  <c r="X14" i="1" s="1"/>
  <c r="W28" i="1"/>
  <c r="X28" i="1" s="1"/>
  <c r="W19" i="1"/>
  <c r="X19" i="1" s="1"/>
  <c r="W11" i="1"/>
  <c r="X11" i="1" s="1"/>
  <c r="C2" i="1"/>
  <c r="D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D1228" i="1" s="1"/>
  <c r="C1229" i="1"/>
  <c r="D1229" i="1" s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D1241" i="1" s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" i="1"/>
  <c r="D1" i="1" s="1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10" i="2"/>
  <c r="AD22" i="2" l="1"/>
  <c r="AE22" i="2"/>
  <c r="AD21" i="2"/>
  <c r="AE21" i="2"/>
  <c r="AD18" i="2"/>
  <c r="AE18" i="2" s="1"/>
  <c r="AD24" i="2"/>
  <c r="AE24" i="2"/>
  <c r="AD20" i="2"/>
  <c r="AE20" i="2"/>
  <c r="AE19" i="2"/>
  <c r="AD19" i="2"/>
  <c r="AD17" i="2"/>
  <c r="AE17" i="2" s="1"/>
  <c r="AD16" i="2"/>
  <c r="AE16" i="2" s="1"/>
  <c r="AD15" i="2"/>
  <c r="AE15" i="2"/>
  <c r="AD30" i="2"/>
  <c r="AE30" i="2"/>
  <c r="AD14" i="2"/>
  <c r="AE14" i="2"/>
  <c r="AD11" i="2"/>
  <c r="AE11" i="2" s="1"/>
  <c r="AD25" i="2"/>
  <c r="AE25" i="2" s="1"/>
  <c r="AA6" i="1"/>
  <c r="AD23" i="2"/>
  <c r="AE23" i="2" s="1"/>
  <c r="AD10" i="2"/>
  <c r="AE10" i="2"/>
  <c r="AD29" i="2"/>
  <c r="AE29" i="2"/>
  <c r="AD13" i="2"/>
  <c r="AE13" i="2"/>
  <c r="AD27" i="2"/>
  <c r="AE27" i="2"/>
  <c r="AD26" i="2"/>
  <c r="AE26" i="2" s="1"/>
  <c r="AD28" i="2"/>
  <c r="AE28" i="2"/>
  <c r="AD12" i="2"/>
  <c r="AE12" i="2" s="1"/>
  <c r="AA7" i="1"/>
  <c r="AA8" i="1" s="1"/>
  <c r="O36" i="2"/>
  <c r="N36" i="2"/>
  <c r="T11" i="2"/>
  <c r="U11" i="2" s="1"/>
  <c r="T12" i="2"/>
  <c r="T13" i="2"/>
  <c r="U13" i="2" s="1"/>
  <c r="T14" i="2"/>
  <c r="U14" i="2" s="1"/>
  <c r="T15" i="2"/>
  <c r="T16" i="2"/>
  <c r="U16" i="2" s="1"/>
  <c r="T17" i="2"/>
  <c r="U17" i="2" s="1"/>
  <c r="T18" i="2"/>
  <c r="U18" i="2" s="1"/>
  <c r="T19" i="2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T29" i="2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10" i="2"/>
  <c r="U10" i="2" s="1"/>
  <c r="U19" i="2"/>
  <c r="AG16" i="2" l="1"/>
  <c r="AH16" i="2" s="1"/>
  <c r="AJ16" i="2"/>
  <c r="AK16" i="2" s="1"/>
  <c r="AG17" i="2"/>
  <c r="AH17" i="2" s="1"/>
  <c r="AJ17" i="2"/>
  <c r="AK17" i="2" s="1"/>
  <c r="AG23" i="2"/>
  <c r="AH23" i="2" s="1"/>
  <c r="AJ23" i="2"/>
  <c r="AK23" i="2" s="1"/>
  <c r="AG25" i="2"/>
  <c r="AH25" i="2" s="1"/>
  <c r="AJ25" i="2"/>
  <c r="AK25" i="2" s="1"/>
  <c r="AJ18" i="2"/>
  <c r="AK18" i="2" s="1"/>
  <c r="AG18" i="2"/>
  <c r="AH18" i="2" s="1"/>
  <c r="AJ11" i="2"/>
  <c r="AK11" i="2" s="1"/>
  <c r="AG11" i="2"/>
  <c r="AH11" i="2" s="1"/>
  <c r="AG26" i="2"/>
  <c r="AH26" i="2" s="1"/>
  <c r="AJ26" i="2"/>
  <c r="AK26" i="2" s="1"/>
  <c r="AJ12" i="2"/>
  <c r="AK12" i="2" s="1"/>
  <c r="AG12" i="2"/>
  <c r="AH12" i="2" s="1"/>
  <c r="AJ29" i="2"/>
  <c r="AK29" i="2" s="1"/>
  <c r="AG29" i="2"/>
  <c r="AH29" i="2" s="1"/>
  <c r="AG14" i="2"/>
  <c r="AH14" i="2" s="1"/>
  <c r="AJ14" i="2"/>
  <c r="AK14" i="2" s="1"/>
  <c r="AG19" i="2"/>
  <c r="AH19" i="2" s="1"/>
  <c r="AJ19" i="2"/>
  <c r="AK19" i="2" s="1"/>
  <c r="AJ30" i="2"/>
  <c r="AK30" i="2" s="1"/>
  <c r="AG30" i="2"/>
  <c r="AH30" i="2" s="1"/>
  <c r="AG20" i="2"/>
  <c r="AH20" i="2" s="1"/>
  <c r="AJ20" i="2"/>
  <c r="AK20" i="2" s="1"/>
  <c r="AG24" i="2"/>
  <c r="AH24" i="2" s="1"/>
  <c r="AJ24" i="2"/>
  <c r="AK24" i="2" s="1"/>
  <c r="AJ10" i="2"/>
  <c r="AK10" i="2" s="1"/>
  <c r="AG10" i="2"/>
  <c r="AH10" i="2" s="1"/>
  <c r="AJ28" i="2"/>
  <c r="AK28" i="2" s="1"/>
  <c r="AG28" i="2"/>
  <c r="AH28" i="2" s="1"/>
  <c r="AJ27" i="2"/>
  <c r="AK27" i="2" s="1"/>
  <c r="AG27" i="2"/>
  <c r="AH27" i="2" s="1"/>
  <c r="AG13" i="2"/>
  <c r="AH13" i="2" s="1"/>
  <c r="AJ13" i="2"/>
  <c r="AK13" i="2" s="1"/>
  <c r="AG15" i="2"/>
  <c r="AH15" i="2" s="1"/>
  <c r="AJ15" i="2"/>
  <c r="AK15" i="2" s="1"/>
  <c r="AJ21" i="2"/>
  <c r="AK21" i="2" s="1"/>
  <c r="AG21" i="2"/>
  <c r="AH21" i="2" s="1"/>
  <c r="AG22" i="2"/>
  <c r="AH22" i="2" s="1"/>
  <c r="AJ22" i="2"/>
  <c r="AK22" i="2" s="1"/>
  <c r="O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Oostra Vannoppen</author>
  </authors>
  <commentList>
    <comment ref="N34" authorId="0" shapeId="0" xr:uid="{B938E8C4-0C58-4C12-B1C8-45C695D96CB0}">
      <text>
        <r>
          <rPr>
            <b/>
            <sz val="9"/>
            <color indexed="81"/>
            <rFont val="Tahoma"/>
            <charset val="1"/>
          </rPr>
          <t>intensidad 650</t>
        </r>
      </text>
    </comment>
    <comment ref="O34" authorId="0" shapeId="0" xr:uid="{A2E9B16F-BFEA-4847-8433-6CECBAA9169B}">
      <text>
        <r>
          <rPr>
            <b/>
            <sz val="9"/>
            <color indexed="81"/>
            <rFont val="Tahoma"/>
            <charset val="1"/>
          </rPr>
          <t>intensidad 460</t>
        </r>
      </text>
    </comment>
  </commentList>
</comments>
</file>

<file path=xl/sharedStrings.xml><?xml version="1.0" encoding="utf-8"?>
<sst xmlns="http://schemas.openxmlformats.org/spreadsheetml/2006/main" count="208" uniqueCount="117">
  <si>
    <t>desfase entre fibras:</t>
  </si>
  <si>
    <t>2,87-0,0003x</t>
  </si>
  <si>
    <t>Th1</t>
  </si>
  <si>
    <t>Ar1</t>
  </si>
  <si>
    <t>Th2</t>
  </si>
  <si>
    <t>Th3</t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</si>
  <si>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natural</t>
    </r>
  </si>
  <si>
    <t>saturada</t>
  </si>
  <si>
    <t>no identif</t>
  </si>
  <si>
    <t>Ar 1</t>
  </si>
  <si>
    <t>?</t>
  </si>
  <si>
    <t>mezcla: dos de Th 1</t>
  </si>
  <si>
    <t>promedio:</t>
  </si>
  <si>
    <t>pix aprox</t>
  </si>
  <si>
    <r>
      <t>-0,0049x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- 0,1178x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- 0,0207x + 7,5327</t>
    </r>
  </si>
  <si>
    <r>
      <t>-0,0075x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- 0,1075x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+ 0,0494x + 7,0494</t>
    </r>
  </si>
  <si>
    <r>
      <t>-0,0071x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- 0,0962x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+ 0,0779x + 7,3226</t>
    </r>
  </si>
  <si>
    <r>
      <t>-0,0001x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- 0,1322x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- 0,0199x + 7,5049</t>
    </r>
  </si>
  <si>
    <r>
      <t>-0,006x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- 0,1488x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+ 0,075x + 7,8364</t>
    </r>
  </si>
  <si>
    <r>
      <t>0,0017x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- 0,1724x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- 0,0271x + 9,0911</t>
    </r>
  </si>
  <si>
    <r>
      <t>-0,0051x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- 0,1071x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+ 0,0091x + 7,0182</t>
    </r>
  </si>
  <si>
    <r>
      <t>0,0015x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- 0,1288x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- 0,053x + 7,7283</t>
    </r>
  </si>
  <si>
    <r>
      <t>0,0033x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- 0,2077x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- 0,1155x + 9,3043</t>
    </r>
  </si>
  <si>
    <r>
      <t>-0,0081x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- 0,1389x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+ 0,0313x + 7,4069</t>
    </r>
  </si>
  <si>
    <r>
      <t>0,0062x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- 0,227x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- 0,0913x + 9,5643</t>
    </r>
  </si>
  <si>
    <r>
      <t>0,0133x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- 0,1515x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- 0,0522x + 7,8826</t>
    </r>
  </si>
  <si>
    <r>
      <t>0,0005x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- 0,1507x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- 0,0447x + 7,2698</t>
    </r>
  </si>
  <si>
    <r>
      <t>0,0138x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- 0,1632x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- 0,139x + 6,965</t>
    </r>
  </si>
  <si>
    <r>
      <t>0,013x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- 0,2197x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- 0,0284x + 9,5759</t>
    </r>
  </si>
  <si>
    <r>
      <t>0,0106x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- 0,257x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+ 0,031x + 10,024</t>
    </r>
  </si>
  <si>
    <r>
      <t>0,0113x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- 0,229x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- 0,0318x + 7,3412</t>
    </r>
  </si>
  <si>
    <r>
      <t>0,0162x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- 0,2587x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- 0,0047x + 9,3424</t>
    </r>
  </si>
  <si>
    <r>
      <t>0,0051x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- 0,2547x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+ 0,1009x + 7,5395</t>
    </r>
  </si>
  <si>
    <r>
      <t>0,012x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- 0,279x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+ 0,0872x + 7,9844</t>
    </r>
  </si>
  <si>
    <r>
      <t>0,0054x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- 0,2109x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+ 0,0019x + 6,926</t>
    </r>
  </si>
  <si>
    <t>pixel ref</t>
  </si>
  <si>
    <t>kubik</t>
  </si>
  <si>
    <t>lineal</t>
  </si>
  <si>
    <t>pix correkt</t>
  </si>
  <si>
    <t>pix exakt</t>
  </si>
  <si>
    <t>konstant</t>
  </si>
  <si>
    <t>quadrat</t>
  </si>
  <si>
    <t>modelo 6</t>
  </si>
  <si>
    <t>residuos 6</t>
  </si>
  <si>
    <t>modelo 4</t>
  </si>
  <si>
    <t>residuos 4</t>
  </si>
  <si>
    <t>Ca</t>
  </si>
  <si>
    <t>Fe</t>
  </si>
  <si>
    <t>5 de Ba</t>
  </si>
  <si>
    <t>promedio</t>
  </si>
  <si>
    <t>Cr</t>
  </si>
  <si>
    <t>V</t>
  </si>
  <si>
    <t>Ti</t>
  </si>
  <si>
    <t>Ni</t>
  </si>
  <si>
    <t>Fe + Ti</t>
  </si>
  <si>
    <t>Fe + Fe</t>
  </si>
  <si>
    <t>Ca + Cr</t>
  </si>
  <si>
    <t>Zr</t>
  </si>
  <si>
    <t>mezcla?</t>
  </si>
  <si>
    <t>Sc</t>
  </si>
  <si>
    <r>
      <t>0,0066x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- 0,084x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- 0,0426x - 1,3369</t>
    </r>
  </si>
  <si>
    <r>
      <t>0,0001x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- 0,0353x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- 0,0111x - 0,7561</t>
    </r>
  </si>
  <si>
    <r>
      <t>0,0005x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- 0,034x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+ 0,0177x - 0,5902</t>
    </r>
  </si>
  <si>
    <r>
      <t>0,0024x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- 0,0509x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- 0,0131x - 0,8371</t>
    </r>
  </si>
  <si>
    <r>
      <t>0,0028x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- 0,0509x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+ 0,0022x - 1,6549</t>
    </r>
  </si>
  <si>
    <r>
      <t>-0,0004x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- 0,0982x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+ 0,0389x - 1,7018</t>
    </r>
  </si>
  <si>
    <r>
      <t>0,0029x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- 0,0786x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+ 0,0492x - 1,2937</t>
    </r>
  </si>
  <si>
    <r>
      <t>0,0125x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- 0,0719x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+ 0,0006x - 1,2755</t>
    </r>
  </si>
  <si>
    <r>
      <t>0,003x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- 0,0718x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- 0,0147x - 1,5177</t>
    </r>
  </si>
  <si>
    <r>
      <t>-0,0001x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- 0,1307x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- 0,0187x - 1,4425</t>
    </r>
  </si>
  <si>
    <r>
      <t>0,0057x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- 0,0752x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+ 0,0011x - 1,1872</t>
    </r>
  </si>
  <si>
    <r>
      <t>-0,0014x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- 0,0777x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- 0,0148x - 0,811</t>
    </r>
  </si>
  <si>
    <r>
      <t>0,0009x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- 0,0563x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+ 0,0166x - 0,9918</t>
    </r>
  </si>
  <si>
    <r>
      <t>0,001x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- 0,0864x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+ 0,0044x - 0,9315</t>
    </r>
  </si>
  <si>
    <r>
      <t>-0,0016x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- 0,0724x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+ 0,0362x - 0,6938</t>
    </r>
  </si>
  <si>
    <r>
      <t>-0,0107x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- 0,0784x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+ 0,0089x - 1,7854</t>
    </r>
  </si>
  <si>
    <r>
      <t>-0,009x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- 0,0657x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+ 0,0758x - 1,8046</t>
    </r>
  </si>
  <si>
    <r>
      <t>-0,0029x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- 0,0627x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+ 0,0071x - 1,363</t>
    </r>
  </si>
  <si>
    <r>
      <t>0,002x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- 0,0665x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- 0,0304x - 0,6491</t>
    </r>
  </si>
  <si>
    <r>
      <t>0,0039x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- 0,0889x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- 0,0279x - 0,671</t>
    </r>
  </si>
  <si>
    <r>
      <t>-0,0083x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- 0,079x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+ 0,0126x - 1,7309</t>
    </r>
  </si>
  <si>
    <r>
      <t>0,0045x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- 0,0899x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+ 0,092x - 1,8663</t>
    </r>
  </si>
  <si>
    <r>
      <t>-0,0031x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- 0,051x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+ 0,0223x - 0,9045</t>
    </r>
  </si>
  <si>
    <r>
      <t>-0,0045x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- 0,0792x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+ 0,0519x - 1,2439</t>
    </r>
  </si>
  <si>
    <r>
      <t>0,0025x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- 0,0506x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+ 0,0142x - 0,8225</t>
    </r>
  </si>
  <si>
    <r>
      <t>0,0033x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- 0,0586x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- 0,0354x - 0,827</t>
    </r>
  </si>
  <si>
    <r>
      <t>-0,0008x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- 0,0641x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- 0,0315x - 0,7409</t>
    </r>
  </si>
  <si>
    <r>
      <t>0,002x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- 0,0905x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+ 0,0642x - 1,4169</t>
    </r>
  </si>
  <si>
    <r>
      <t>-0,0003x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- 0,082x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+ 0,0292x - 1,2464</t>
    </r>
  </si>
  <si>
    <r>
      <t>-0,0024x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- 0,0712x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- 0,0146x - 1,1464</t>
    </r>
  </si>
  <si>
    <r>
      <t>-0,002x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- 0,0694x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+ 0,0315x - 0,9213</t>
    </r>
  </si>
  <si>
    <r>
      <t>0,0052x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- 0,1417x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- 0,0836x - 1,2891</t>
    </r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</si>
  <si>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observ</t>
    </r>
  </si>
  <si>
    <t>V (km/s)</t>
  </si>
  <si>
    <t>Dispersión:</t>
  </si>
  <si>
    <t>incertidumbre:</t>
  </si>
  <si>
    <t>Resultado:</t>
  </si>
  <si>
    <t>Problema: V depende del color</t>
  </si>
  <si>
    <r>
      <t xml:space="preserve">V = 28,3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0,4 km/s</t>
    </r>
  </si>
  <si>
    <t>corrección</t>
  </si>
  <si>
    <r>
      <t>f'(x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</si>
  <si>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r>
      <t>centro x</t>
    </r>
    <r>
      <rPr>
        <vertAlign val="subscript"/>
        <sz val="11"/>
        <color theme="1"/>
        <rFont val="Calibri"/>
        <family val="2"/>
        <scheme val="minor"/>
      </rPr>
      <t>0</t>
    </r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</si>
  <si>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central =</t>
    </r>
  </si>
  <si>
    <t>V =</t>
  </si>
  <si>
    <r>
      <t>f(x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</si>
  <si>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r>
      <t>= F/F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  </t>
    </r>
  </si>
  <si>
    <r>
      <t>f''(x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</si>
  <si>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t>= Curvatura</t>
  </si>
  <si>
    <r>
      <t>f'''(x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</si>
  <si>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t>Pendiente =</t>
  </si>
  <si>
    <t>en km/s es:</t>
  </si>
  <si>
    <r>
      <t xml:space="preserve">l </t>
    </r>
    <r>
      <rPr>
        <sz val="11"/>
        <color theme="1"/>
        <rFont val="Calibri"/>
        <family val="2"/>
        <scheme val="minor"/>
      </rPr>
      <t>natural</t>
    </r>
  </si>
  <si>
    <t>F/Fc</t>
  </si>
  <si>
    <t>P (km/s)</t>
  </si>
  <si>
    <t>C</t>
  </si>
  <si>
    <t>N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</si>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</sst>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b/>
      <sz val="9"/>
      <color indexed="81"/>
      <name val="Tahoma"/>
      <charset val="1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19" fillId="0" borderId="0" xfId="0" applyFont="1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0" fillId="35" borderId="0" xfId="0" applyFill="1"/>
    <xf numFmtId="0" fontId="19" fillId="0" borderId="0" xfId="0" applyFont="1" applyAlignment="1">
      <alignment horizontal="center"/>
    </xf>
    <xf numFmtId="11" fontId="0" fillId="0" borderId="0" xfId="0" applyNumberFormat="1"/>
    <xf numFmtId="0" fontId="0" fillId="34" borderId="0" xfId="0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6" borderId="0" xfId="0" quotePrefix="1" applyFill="1"/>
    <xf numFmtId="0" fontId="0" fillId="37" borderId="0" xfId="0" applyFill="1"/>
    <xf numFmtId="0" fontId="0" fillId="37" borderId="0" xfId="0" applyFill="1" applyAlignment="1">
      <alignment horizontal="right"/>
    </xf>
    <xf numFmtId="0" fontId="18" fillId="36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'thor orden1'!$A$1:$A$1530</c:f>
              <c:numCache>
                <c:formatCode>General</c:formatCode>
                <c:ptCount val="15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</c:numCache>
            </c:numRef>
          </c:xVal>
          <c:yVal>
            <c:numRef>
              <c:f>'thor orden1'!$D$1:$D$1530</c:f>
              <c:numCache>
                <c:formatCode>General</c:formatCode>
                <c:ptCount val="1530"/>
                <c:pt idx="0">
                  <c:v>-17</c:v>
                </c:pt>
                <c:pt idx="1">
                  <c:v>-19.232180134400011</c:v>
                </c:pt>
                <c:pt idx="2">
                  <c:v>-13.463935537600008</c:v>
                </c:pt>
                <c:pt idx="3">
                  <c:v>-16.695266209599993</c:v>
                </c:pt>
                <c:pt idx="4">
                  <c:v>10.073827849600008</c:v>
                </c:pt>
                <c:pt idx="5">
                  <c:v>29.843346639999993</c:v>
                </c:pt>
                <c:pt idx="6">
                  <c:v>119.61329016159999</c:v>
                </c:pt>
                <c:pt idx="7">
                  <c:v>437.38365841439997</c:v>
                </c:pt>
                <c:pt idx="8">
                  <c:v>871.15445139839994</c:v>
                </c:pt>
                <c:pt idx="9">
                  <c:v>1327.9256691136</c:v>
                </c:pt>
                <c:pt idx="10">
                  <c:v>1689.6973115599999</c:v>
                </c:pt>
                <c:pt idx="11">
                  <c:v>1681.4693787376</c:v>
                </c:pt>
                <c:pt idx="12">
                  <c:v>1181.2418706464</c:v>
                </c:pt>
                <c:pt idx="13">
                  <c:v>640.01478728639995</c:v>
                </c:pt>
                <c:pt idx="14">
                  <c:v>266.7881286576</c:v>
                </c:pt>
                <c:pt idx="15">
                  <c:v>246.56189476</c:v>
                </c:pt>
                <c:pt idx="16">
                  <c:v>434.33608559359999</c:v>
                </c:pt>
                <c:pt idx="17">
                  <c:v>693.11070115839993</c:v>
                </c:pt>
                <c:pt idx="18">
                  <c:v>956.88574145439998</c:v>
                </c:pt>
                <c:pt idx="19">
                  <c:v>1000.6612064815999</c:v>
                </c:pt>
                <c:pt idx="20">
                  <c:v>783.43709623999996</c:v>
                </c:pt>
                <c:pt idx="21">
                  <c:v>440.21341072960001</c:v>
                </c:pt>
                <c:pt idx="22">
                  <c:v>162.9901499504</c:v>
                </c:pt>
                <c:pt idx="23">
                  <c:v>21.767313902399991</c:v>
                </c:pt>
                <c:pt idx="24">
                  <c:v>-33.455097414400001</c:v>
                </c:pt>
                <c:pt idx="25">
                  <c:v>-54.677084000000008</c:v>
                </c:pt>
                <c:pt idx="26">
                  <c:v>-56.898645854400002</c:v>
                </c:pt>
                <c:pt idx="27">
                  <c:v>-57.119782977600011</c:v>
                </c:pt>
                <c:pt idx="28">
                  <c:v>-51.340495369600006</c:v>
                </c:pt>
                <c:pt idx="29">
                  <c:v>-21.560783030399989</c:v>
                </c:pt>
                <c:pt idx="30">
                  <c:v>2.2193540400000131</c:v>
                </c:pt>
                <c:pt idx="31">
                  <c:v>49.9999158416</c:v>
                </c:pt>
                <c:pt idx="32">
                  <c:v>113.7809023744</c:v>
                </c:pt>
                <c:pt idx="33">
                  <c:v>121.56231363840001</c:v>
                </c:pt>
                <c:pt idx="34">
                  <c:v>77.344149633600011</c:v>
                </c:pt>
                <c:pt idx="35">
                  <c:v>29.126410359999994</c:v>
                </c:pt>
                <c:pt idx="36">
                  <c:v>-6.0909041824000099</c:v>
                </c:pt>
                <c:pt idx="37">
                  <c:v>7.6922060063999993</c:v>
                </c:pt>
                <c:pt idx="38">
                  <c:v>54.475740926399993</c:v>
                </c:pt>
                <c:pt idx="39">
                  <c:v>114.2597005776</c:v>
                </c:pt>
                <c:pt idx="40">
                  <c:v>185.04408495999999</c:v>
                </c:pt>
                <c:pt idx="41">
                  <c:v>195.8288940736</c:v>
                </c:pt>
                <c:pt idx="42">
                  <c:v>154.61412791840002</c:v>
                </c:pt>
                <c:pt idx="43">
                  <c:v>83.39978649439999</c:v>
                </c:pt>
                <c:pt idx="44">
                  <c:v>39.185869801600006</c:v>
                </c:pt>
                <c:pt idx="45">
                  <c:v>-2.0276221599999928</c:v>
                </c:pt>
                <c:pt idx="46">
                  <c:v>-9.2406893904000071</c:v>
                </c:pt>
                <c:pt idx="47">
                  <c:v>-19.453331889600008</c:v>
                </c:pt>
                <c:pt idx="48">
                  <c:v>-18.665549657599996</c:v>
                </c:pt>
                <c:pt idx="49">
                  <c:v>-12.877342694399999</c:v>
                </c:pt>
                <c:pt idx="50">
                  <c:v>8.9112890000000107</c:v>
                </c:pt>
                <c:pt idx="51">
                  <c:v>18.700345425600005</c:v>
                </c:pt>
                <c:pt idx="52">
                  <c:v>19.489826582399985</c:v>
                </c:pt>
                <c:pt idx="53">
                  <c:v>41.279732470400006</c:v>
                </c:pt>
                <c:pt idx="54">
                  <c:v>63.070063089600012</c:v>
                </c:pt>
                <c:pt idx="55">
                  <c:v>103.86081844</c:v>
                </c:pt>
                <c:pt idx="56">
                  <c:v>159.65199852160001</c:v>
                </c:pt>
                <c:pt idx="57">
                  <c:v>158.4436033344</c:v>
                </c:pt>
                <c:pt idx="58">
                  <c:v>125.2356328784</c:v>
                </c:pt>
                <c:pt idx="59">
                  <c:v>68.028087153600012</c:v>
                </c:pt>
                <c:pt idx="60">
                  <c:v>11.820966160000012</c:v>
                </c:pt>
                <c:pt idx="61">
                  <c:v>-11.385730102400004</c:v>
                </c:pt>
                <c:pt idx="62">
                  <c:v>-7.592001633600006</c:v>
                </c:pt>
                <c:pt idx="63">
                  <c:v>4.2021515664000049</c:v>
                </c:pt>
                <c:pt idx="64">
                  <c:v>7.9967294976000005</c:v>
                </c:pt>
                <c:pt idx="65">
                  <c:v>23.791732160000009</c:v>
                </c:pt>
                <c:pt idx="66">
                  <c:v>22.587159553600003</c:v>
                </c:pt>
                <c:pt idx="67">
                  <c:v>33.38301167840001</c:v>
                </c:pt>
                <c:pt idx="68">
                  <c:v>61.179288534400001</c:v>
                </c:pt>
                <c:pt idx="69">
                  <c:v>102.97599012160001</c:v>
                </c:pt>
                <c:pt idx="70">
                  <c:v>154.77311644</c:v>
                </c:pt>
                <c:pt idx="71">
                  <c:v>279.5706674896</c:v>
                </c:pt>
                <c:pt idx="72">
                  <c:v>467.36864327040001</c:v>
                </c:pt>
                <c:pt idx="73">
                  <c:v>665.16704378240001</c:v>
                </c:pt>
                <c:pt idx="74">
                  <c:v>783.9658690256</c:v>
                </c:pt>
                <c:pt idx="75">
                  <c:v>696.76511900000003</c:v>
                </c:pt>
                <c:pt idx="76">
                  <c:v>479.56479370559998</c:v>
                </c:pt>
                <c:pt idx="77">
                  <c:v>268.36489314239998</c:v>
                </c:pt>
                <c:pt idx="78">
                  <c:v>124.16541731039999</c:v>
                </c:pt>
                <c:pt idx="79">
                  <c:v>105.96636620960001</c:v>
                </c:pt>
                <c:pt idx="80">
                  <c:v>134.76773983999999</c:v>
                </c:pt>
                <c:pt idx="81">
                  <c:v>216.56953820160001</c:v>
                </c:pt>
                <c:pt idx="82">
                  <c:v>345.37176129440002</c:v>
                </c:pt>
                <c:pt idx="83">
                  <c:v>493.17440911840004</c:v>
                </c:pt>
                <c:pt idx="84">
                  <c:v>565.97748167359998</c:v>
                </c:pt>
                <c:pt idx="85">
                  <c:v>620.78097895999997</c:v>
                </c:pt>
                <c:pt idx="86">
                  <c:v>589.5849009776</c:v>
                </c:pt>
                <c:pt idx="87">
                  <c:v>512.38924772640007</c:v>
                </c:pt>
                <c:pt idx="88">
                  <c:v>426.19401920640001</c:v>
                </c:pt>
                <c:pt idx="89">
                  <c:v>390.9992154176</c:v>
                </c:pt>
                <c:pt idx="90">
                  <c:v>363.80483635999997</c:v>
                </c:pt>
                <c:pt idx="91">
                  <c:v>354.61088203359998</c:v>
                </c:pt>
                <c:pt idx="92">
                  <c:v>282.41735243840003</c:v>
                </c:pt>
                <c:pt idx="93">
                  <c:v>218.22424757440001</c:v>
                </c:pt>
                <c:pt idx="94">
                  <c:v>183.0315674416</c:v>
                </c:pt>
                <c:pt idx="95">
                  <c:v>197.83931204000001</c:v>
                </c:pt>
                <c:pt idx="96">
                  <c:v>281.64748136959997</c:v>
                </c:pt>
                <c:pt idx="97">
                  <c:v>375.45607543040001</c:v>
                </c:pt>
                <c:pt idx="98">
                  <c:v>452.26509422239997</c:v>
                </c:pt>
                <c:pt idx="99">
                  <c:v>474.07453774559997</c:v>
                </c:pt>
                <c:pt idx="100">
                  <c:v>433.88440600000001</c:v>
                </c:pt>
                <c:pt idx="101">
                  <c:v>398.69469898559998</c:v>
                </c:pt>
                <c:pt idx="102">
                  <c:v>532.5054167024</c:v>
                </c:pt>
                <c:pt idx="103">
                  <c:v>760.31655915040005</c:v>
                </c:pt>
                <c:pt idx="104">
                  <c:v>1115.1281263296</c:v>
                </c:pt>
                <c:pt idx="105">
                  <c:v>1331.9401182399999</c:v>
                </c:pt>
                <c:pt idx="106">
                  <c:v>1310.7525348816</c:v>
                </c:pt>
                <c:pt idx="107">
                  <c:v>964.56537625440001</c:v>
                </c:pt>
                <c:pt idx="108">
                  <c:v>645.37864235839993</c:v>
                </c:pt>
                <c:pt idx="109">
                  <c:v>338.19233319360001</c:v>
                </c:pt>
                <c:pt idx="110">
                  <c:v>182.00644876000001</c:v>
                </c:pt>
                <c:pt idx="111">
                  <c:v>91.820989057600002</c:v>
                </c:pt>
                <c:pt idx="112">
                  <c:v>47.635954086400005</c:v>
                </c:pt>
                <c:pt idx="113">
                  <c:v>20.451343846399993</c:v>
                </c:pt>
                <c:pt idx="114">
                  <c:v>-0.73284166240000559</c:v>
                </c:pt>
                <c:pt idx="115">
                  <c:v>-6.9166024399999912</c:v>
                </c:pt>
                <c:pt idx="116">
                  <c:v>-2.0999384863999921</c:v>
                </c:pt>
                <c:pt idx="117">
                  <c:v>3.7171501983999917</c:v>
                </c:pt>
                <c:pt idx="118">
                  <c:v>82.534663614399989</c:v>
                </c:pt>
                <c:pt idx="119">
                  <c:v>215.3526017616</c:v>
                </c:pt>
                <c:pt idx="120">
                  <c:v>393.17096463999997</c:v>
                </c:pt>
                <c:pt idx="121">
                  <c:v>550.98975224959997</c:v>
                </c:pt>
                <c:pt idx="122">
                  <c:v>566.80896459040002</c:v>
                </c:pt>
                <c:pt idx="123">
                  <c:v>379.6286016624</c:v>
                </c:pt>
                <c:pt idx="124">
                  <c:v>177.44866346559999</c:v>
                </c:pt>
                <c:pt idx="125">
                  <c:v>68.269149999999996</c:v>
                </c:pt>
                <c:pt idx="126">
                  <c:v>22.090061265600013</c:v>
                </c:pt>
                <c:pt idx="127">
                  <c:v>17.911397262399987</c:v>
                </c:pt>
                <c:pt idx="128">
                  <c:v>18.733157990400002</c:v>
                </c:pt>
                <c:pt idx="129">
                  <c:v>27.555343449600002</c:v>
                </c:pt>
                <c:pt idx="130">
                  <c:v>23.377953639999987</c:v>
                </c:pt>
                <c:pt idx="131">
                  <c:v>16.200988561600013</c:v>
                </c:pt>
                <c:pt idx="132">
                  <c:v>-0.975551785600004</c:v>
                </c:pt>
                <c:pt idx="133">
                  <c:v>3.8483325983999919</c:v>
                </c:pt>
                <c:pt idx="134">
                  <c:v>6.6726417136000009</c:v>
                </c:pt>
                <c:pt idx="135">
                  <c:v>46.497375559999995</c:v>
                </c:pt>
                <c:pt idx="136">
                  <c:v>95.322534137600002</c:v>
                </c:pt>
                <c:pt idx="137">
                  <c:v>148.14811744639999</c:v>
                </c:pt>
                <c:pt idx="138">
                  <c:v>175.9741254864</c:v>
                </c:pt>
                <c:pt idx="139">
                  <c:v>186.80055825760002</c:v>
                </c:pt>
                <c:pt idx="140">
                  <c:v>209.62741575999999</c:v>
                </c:pt>
                <c:pt idx="141">
                  <c:v>239.45469799360001</c:v>
                </c:pt>
                <c:pt idx="142">
                  <c:v>279.28240495839998</c:v>
                </c:pt>
                <c:pt idx="143">
                  <c:v>332.11053665439999</c:v>
                </c:pt>
                <c:pt idx="144">
                  <c:v>364.93909308159999</c:v>
                </c:pt>
                <c:pt idx="145">
                  <c:v>360.76807424000003</c:v>
                </c:pt>
                <c:pt idx="146">
                  <c:v>341.5974801296</c:v>
                </c:pt>
                <c:pt idx="147">
                  <c:v>332.42731075040001</c:v>
                </c:pt>
                <c:pt idx="148">
                  <c:v>342.25756610240001</c:v>
                </c:pt>
                <c:pt idx="149">
                  <c:v>355.08824618559998</c:v>
                </c:pt>
                <c:pt idx="150">
                  <c:v>368.91935100000001</c:v>
                </c:pt>
                <c:pt idx="151">
                  <c:v>343.75088054560001</c:v>
                </c:pt>
                <c:pt idx="152">
                  <c:v>306.5828348224</c:v>
                </c:pt>
                <c:pt idx="153">
                  <c:v>282.41521383040003</c:v>
                </c:pt>
                <c:pt idx="154">
                  <c:v>265.24801756959999</c:v>
                </c:pt>
                <c:pt idx="155">
                  <c:v>309.08124604</c:v>
                </c:pt>
                <c:pt idx="156">
                  <c:v>569.91489924159998</c:v>
                </c:pt>
                <c:pt idx="157">
                  <c:v>932.74897717440001</c:v>
                </c:pt>
                <c:pt idx="158">
                  <c:v>1450.5834798384001</c:v>
                </c:pt>
                <c:pt idx="159">
                  <c:v>1622.4184072336</c:v>
                </c:pt>
                <c:pt idx="160">
                  <c:v>1386.25375936</c:v>
                </c:pt>
                <c:pt idx="161">
                  <c:v>845.08953621759997</c:v>
                </c:pt>
                <c:pt idx="162">
                  <c:v>473.92573780639998</c:v>
                </c:pt>
                <c:pt idx="163">
                  <c:v>259.76236412640003</c:v>
                </c:pt>
                <c:pt idx="164">
                  <c:v>228.59941517760001</c:v>
                </c:pt>
                <c:pt idx="165">
                  <c:v>229.43689096</c:v>
                </c:pt>
                <c:pt idx="166">
                  <c:v>229.2747914736</c:v>
                </c:pt>
                <c:pt idx="167">
                  <c:v>215.11311671839999</c:v>
                </c:pt>
                <c:pt idx="168">
                  <c:v>252.9518666944</c:v>
                </c:pt>
                <c:pt idx="169">
                  <c:v>424.79104140160001</c:v>
                </c:pt>
                <c:pt idx="170">
                  <c:v>654.63064084000007</c:v>
                </c:pt>
                <c:pt idx="171">
                  <c:v>1020.4706650096</c:v>
                </c:pt>
                <c:pt idx="172">
                  <c:v>1220.3111139104001</c:v>
                </c:pt>
                <c:pt idx="173">
                  <c:v>1267.1519875424001</c:v>
                </c:pt>
                <c:pt idx="174">
                  <c:v>1036.9932859056</c:v>
                </c:pt>
                <c:pt idx="175">
                  <c:v>733.83500900000001</c:v>
                </c:pt>
                <c:pt idx="176">
                  <c:v>434.67715682560004</c:v>
                </c:pt>
                <c:pt idx="177">
                  <c:v>324.51972938239999</c:v>
                </c:pt>
                <c:pt idx="178">
                  <c:v>560.36272667039998</c:v>
                </c:pt>
                <c:pt idx="179">
                  <c:v>1076.2061486896</c:v>
                </c:pt>
                <c:pt idx="180">
                  <c:v>1852.04999544</c:v>
                </c:pt>
                <c:pt idx="181">
                  <c:v>2343.8942669215999</c:v>
                </c:pt>
                <c:pt idx="182">
                  <c:v>2152.7389631343999</c:v>
                </c:pt>
                <c:pt idx="183">
                  <c:v>1359.5840840783999</c:v>
                </c:pt>
                <c:pt idx="184">
                  <c:v>694.42962975360001</c:v>
                </c:pt>
                <c:pt idx="185">
                  <c:v>282.27560016000001</c:v>
                </c:pt>
                <c:pt idx="186">
                  <c:v>134.12199529759999</c:v>
                </c:pt>
                <c:pt idx="187">
                  <c:v>86.968815166399992</c:v>
                </c:pt>
                <c:pt idx="188">
                  <c:v>75.816059766400002</c:v>
                </c:pt>
                <c:pt idx="189">
                  <c:v>60.663729097599997</c:v>
                </c:pt>
                <c:pt idx="190">
                  <c:v>55.511823160000006</c:v>
                </c:pt>
                <c:pt idx="191">
                  <c:v>64.360341953599999</c:v>
                </c:pt>
                <c:pt idx="192">
                  <c:v>66.209285478400005</c:v>
                </c:pt>
                <c:pt idx="193">
                  <c:v>61.058653734399996</c:v>
                </c:pt>
                <c:pt idx="194">
                  <c:v>76.908446721600001</c:v>
                </c:pt>
                <c:pt idx="195">
                  <c:v>68.75866443999999</c:v>
                </c:pt>
                <c:pt idx="196">
                  <c:v>93.609306889599992</c:v>
                </c:pt>
                <c:pt idx="197">
                  <c:v>100.46037407040001</c:v>
                </c:pt>
                <c:pt idx="198">
                  <c:v>135.31186598240001</c:v>
                </c:pt>
                <c:pt idx="199">
                  <c:v>194.16378262559999</c:v>
                </c:pt>
                <c:pt idx="200">
                  <c:v>277.01612399999999</c:v>
                </c:pt>
                <c:pt idx="201">
                  <c:v>403.86889010560003</c:v>
                </c:pt>
                <c:pt idx="202">
                  <c:v>534.7220809424</c:v>
                </c:pt>
                <c:pt idx="203">
                  <c:v>608.57569651040001</c:v>
                </c:pt>
                <c:pt idx="204">
                  <c:v>684.42973680959994</c:v>
                </c:pt>
                <c:pt idx="205">
                  <c:v>738.28420184000004</c:v>
                </c:pt>
                <c:pt idx="206">
                  <c:v>751.13909160160006</c:v>
                </c:pt>
                <c:pt idx="207">
                  <c:v>634.99440609440001</c:v>
                </c:pt>
                <c:pt idx="208">
                  <c:v>506.8501453184</c:v>
                </c:pt>
                <c:pt idx="209">
                  <c:v>417.70630927360003</c:v>
                </c:pt>
                <c:pt idx="210">
                  <c:v>407.56289795999999</c:v>
                </c:pt>
                <c:pt idx="211">
                  <c:v>452.41991137759999</c:v>
                </c:pt>
                <c:pt idx="212">
                  <c:v>528.27734952640003</c:v>
                </c:pt>
                <c:pt idx="213">
                  <c:v>863.1352124064</c:v>
                </c:pt>
                <c:pt idx="214">
                  <c:v>2252.9935000176001</c:v>
                </c:pt>
                <c:pt idx="215">
                  <c:v>4439.8522123599996</c:v>
                </c:pt>
                <c:pt idx="216">
                  <c:v>7529.7113494335999</c:v>
                </c:pt>
                <c:pt idx="217">
                  <c:v>8587.5709112383993</c:v>
                </c:pt>
                <c:pt idx="218">
                  <c:v>7146.4308977744004</c:v>
                </c:pt>
                <c:pt idx="219">
                  <c:v>4077.2913090416</c:v>
                </c:pt>
                <c:pt idx="220">
                  <c:v>1899.1521450400001</c:v>
                </c:pt>
                <c:pt idx="221">
                  <c:v>750.01340576960001</c:v>
                </c:pt>
                <c:pt idx="222">
                  <c:v>428.87509123040002</c:v>
                </c:pt>
                <c:pt idx="223">
                  <c:v>332.73720142240001</c:v>
                </c:pt>
                <c:pt idx="224">
                  <c:v>336.59973634560004</c:v>
                </c:pt>
                <c:pt idx="225">
                  <c:v>319.46269599999999</c:v>
                </c:pt>
                <c:pt idx="226">
                  <c:v>294.32608038559999</c:v>
                </c:pt>
                <c:pt idx="227">
                  <c:v>273.18988950239998</c:v>
                </c:pt>
                <c:pt idx="228">
                  <c:v>267.0541233504</c:v>
                </c:pt>
                <c:pt idx="229">
                  <c:v>283.91878192960002</c:v>
                </c:pt>
                <c:pt idx="230">
                  <c:v>401.78386524000001</c:v>
                </c:pt>
                <c:pt idx="231">
                  <c:v>551.64937328159999</c:v>
                </c:pt>
                <c:pt idx="232">
                  <c:v>808.51530605440007</c:v>
                </c:pt>
                <c:pt idx="233">
                  <c:v>921.38166355839996</c:v>
                </c:pt>
                <c:pt idx="234">
                  <c:v>816.24844579360001</c:v>
                </c:pt>
                <c:pt idx="235">
                  <c:v>518.11565275999999</c:v>
                </c:pt>
                <c:pt idx="236">
                  <c:v>323.98328445760001</c:v>
                </c:pt>
                <c:pt idx="237">
                  <c:v>199.85134088640001</c:v>
                </c:pt>
                <c:pt idx="238">
                  <c:v>184.7198220464</c:v>
                </c:pt>
                <c:pt idx="239">
                  <c:v>188.5887279376</c:v>
                </c:pt>
                <c:pt idx="240">
                  <c:v>177.45805855999998</c:v>
                </c:pt>
                <c:pt idx="241">
                  <c:v>173.32781391359998</c:v>
                </c:pt>
                <c:pt idx="242">
                  <c:v>191.19799399839999</c:v>
                </c:pt>
                <c:pt idx="243">
                  <c:v>220.06859881439999</c:v>
                </c:pt>
                <c:pt idx="244">
                  <c:v>227.9396283616</c:v>
                </c:pt>
                <c:pt idx="245">
                  <c:v>211.81108264</c:v>
                </c:pt>
                <c:pt idx="246">
                  <c:v>171.6829616496</c:v>
                </c:pt>
                <c:pt idx="247">
                  <c:v>166.5552653904</c:v>
                </c:pt>
                <c:pt idx="248">
                  <c:v>171.4279938624</c:v>
                </c:pt>
                <c:pt idx="249">
                  <c:v>182.30114706559999</c:v>
                </c:pt>
                <c:pt idx="250">
                  <c:v>158.174725</c:v>
                </c:pt>
                <c:pt idx="251">
                  <c:v>136.04872766559998</c:v>
                </c:pt>
                <c:pt idx="252">
                  <c:v>139.92315506239999</c:v>
                </c:pt>
                <c:pt idx="253">
                  <c:v>173.7980071904</c:v>
                </c:pt>
                <c:pt idx="254">
                  <c:v>201.6732840496</c:v>
                </c:pt>
                <c:pt idx="255">
                  <c:v>193.54898564000001</c:v>
                </c:pt>
                <c:pt idx="256">
                  <c:v>179.42511196160001</c:v>
                </c:pt>
                <c:pt idx="257">
                  <c:v>173.30166301439999</c:v>
                </c:pt>
                <c:pt idx="258">
                  <c:v>176.17863879840002</c:v>
                </c:pt>
                <c:pt idx="259">
                  <c:v>180.0560393136</c:v>
                </c:pt>
                <c:pt idx="260">
                  <c:v>129.93386456000002</c:v>
                </c:pt>
                <c:pt idx="261">
                  <c:v>111.8121145376</c:v>
                </c:pt>
                <c:pt idx="262">
                  <c:v>107.69078924640002</c:v>
                </c:pt>
                <c:pt idx="263">
                  <c:v>109.56988868639999</c:v>
                </c:pt>
                <c:pt idx="264">
                  <c:v>111.44941285760001</c:v>
                </c:pt>
                <c:pt idx="265">
                  <c:v>96.329361759999983</c:v>
                </c:pt>
                <c:pt idx="266">
                  <c:v>82.209735393599999</c:v>
                </c:pt>
                <c:pt idx="267">
                  <c:v>66.090533758399999</c:v>
                </c:pt>
                <c:pt idx="268">
                  <c:v>103.97175685439998</c:v>
                </c:pt>
                <c:pt idx="269">
                  <c:v>119.85340468160001</c:v>
                </c:pt>
                <c:pt idx="270">
                  <c:v>107.73547723999999</c:v>
                </c:pt>
                <c:pt idx="271">
                  <c:v>102.61797452960002</c:v>
                </c:pt>
                <c:pt idx="272">
                  <c:v>95.5008965504</c:v>
                </c:pt>
                <c:pt idx="273">
                  <c:v>129.38424330239999</c:v>
                </c:pt>
                <c:pt idx="274">
                  <c:v>146.2680147856</c:v>
                </c:pt>
                <c:pt idx="275">
                  <c:v>154.15221099999999</c:v>
                </c:pt>
                <c:pt idx="276">
                  <c:v>122.0368319456</c:v>
                </c:pt>
                <c:pt idx="277">
                  <c:v>113.92187762240002</c:v>
                </c:pt>
                <c:pt idx="278">
                  <c:v>112.80734803039999</c:v>
                </c:pt>
                <c:pt idx="279">
                  <c:v>143.69324316960001</c:v>
                </c:pt>
                <c:pt idx="280">
                  <c:v>172.57956303999998</c:v>
                </c:pt>
                <c:pt idx="281">
                  <c:v>182.4663076416</c:v>
                </c:pt>
                <c:pt idx="282">
                  <c:v>199.3534769744</c:v>
                </c:pt>
                <c:pt idx="283">
                  <c:v>180.24107103839998</c:v>
                </c:pt>
                <c:pt idx="284">
                  <c:v>177.12908983360001</c:v>
                </c:pt>
                <c:pt idx="285">
                  <c:v>168.01753335999999</c:v>
                </c:pt>
                <c:pt idx="286">
                  <c:v>125.90640161760001</c:v>
                </c:pt>
                <c:pt idx="287">
                  <c:v>106.79569460639999</c:v>
                </c:pt>
                <c:pt idx="288">
                  <c:v>103.68541232640001</c:v>
                </c:pt>
                <c:pt idx="289">
                  <c:v>105.57555477759999</c:v>
                </c:pt>
                <c:pt idx="290">
                  <c:v>117.46612196000001</c:v>
                </c:pt>
                <c:pt idx="291">
                  <c:v>103.35711387359999</c:v>
                </c:pt>
                <c:pt idx="292">
                  <c:v>77.248530518400003</c:v>
                </c:pt>
                <c:pt idx="293">
                  <c:v>58.140371894400005</c:v>
                </c:pt>
                <c:pt idx="294">
                  <c:v>67.032638001599992</c:v>
                </c:pt>
                <c:pt idx="295">
                  <c:v>72.92532884000002</c:v>
                </c:pt>
                <c:pt idx="296">
                  <c:v>83.818444409600005</c:v>
                </c:pt>
                <c:pt idx="297">
                  <c:v>81.711984710400003</c:v>
                </c:pt>
                <c:pt idx="298">
                  <c:v>69.605949742400014</c:v>
                </c:pt>
                <c:pt idx="299">
                  <c:v>57.500339505599982</c:v>
                </c:pt>
                <c:pt idx="300">
                  <c:v>60.395153999999991</c:v>
                </c:pt>
                <c:pt idx="301">
                  <c:v>62.290393225599985</c:v>
                </c:pt>
                <c:pt idx="302">
                  <c:v>61.186057182399992</c:v>
                </c:pt>
                <c:pt idx="303">
                  <c:v>65.082145870399984</c:v>
                </c:pt>
                <c:pt idx="304">
                  <c:v>52.978659289599989</c:v>
                </c:pt>
                <c:pt idx="305">
                  <c:v>47.875597440000007</c:v>
                </c:pt>
                <c:pt idx="306">
                  <c:v>51.77296032160001</c:v>
                </c:pt>
                <c:pt idx="307">
                  <c:v>46.670747934399998</c:v>
                </c:pt>
                <c:pt idx="308">
                  <c:v>54.568960278399999</c:v>
                </c:pt>
                <c:pt idx="309">
                  <c:v>64.467597353600013</c:v>
                </c:pt>
                <c:pt idx="310">
                  <c:v>64.366659159999983</c:v>
                </c:pt>
                <c:pt idx="311">
                  <c:v>63.266145697599995</c:v>
                </c:pt>
                <c:pt idx="312">
                  <c:v>56.166056966399992</c:v>
                </c:pt>
                <c:pt idx="313">
                  <c:v>86.066392966399974</c:v>
                </c:pt>
                <c:pt idx="314">
                  <c:v>173.9671536976</c:v>
                </c:pt>
                <c:pt idx="315">
                  <c:v>316.86833916</c:v>
                </c:pt>
                <c:pt idx="316">
                  <c:v>443.7699493536</c:v>
                </c:pt>
                <c:pt idx="317">
                  <c:v>508.67198427839998</c:v>
                </c:pt>
                <c:pt idx="318">
                  <c:v>603.57444393440005</c:v>
                </c:pt>
                <c:pt idx="319">
                  <c:v>946.4773283216</c:v>
                </c:pt>
                <c:pt idx="320">
                  <c:v>1551.3806374400001</c:v>
                </c:pt>
                <c:pt idx="321">
                  <c:v>2120.2843712896001</c:v>
                </c:pt>
                <c:pt idx="322">
                  <c:v>2005.1885298704001</c:v>
                </c:pt>
                <c:pt idx="323">
                  <c:v>1307.0931131824</c:v>
                </c:pt>
                <c:pt idx="324">
                  <c:v>720.99812122560002</c:v>
                </c:pt>
                <c:pt idx="325">
                  <c:v>450.90355399999999</c:v>
                </c:pt>
                <c:pt idx="326">
                  <c:v>431.8094115056</c:v>
                </c:pt>
                <c:pt idx="327">
                  <c:v>396.71569374239999</c:v>
                </c:pt>
                <c:pt idx="328">
                  <c:v>258.62240071040003</c:v>
                </c:pt>
                <c:pt idx="329">
                  <c:v>162.52953240959999</c:v>
                </c:pt>
                <c:pt idx="330">
                  <c:v>114.43708884</c:v>
                </c:pt>
                <c:pt idx="331">
                  <c:v>135.34507000159999</c:v>
                </c:pt>
                <c:pt idx="332">
                  <c:v>142.2534758944</c:v>
                </c:pt>
                <c:pt idx="333">
                  <c:v>113.16230651839999</c:v>
                </c:pt>
                <c:pt idx="334">
                  <c:v>77.07156187359999</c:v>
                </c:pt>
                <c:pt idx="335">
                  <c:v>65.981241959999977</c:v>
                </c:pt>
                <c:pt idx="336">
                  <c:v>82.891346777600006</c:v>
                </c:pt>
                <c:pt idx="337">
                  <c:v>97.80187632640002</c:v>
                </c:pt>
                <c:pt idx="338">
                  <c:v>100.71283060640002</c:v>
                </c:pt>
                <c:pt idx="339">
                  <c:v>104.6242096176</c:v>
                </c:pt>
                <c:pt idx="340">
                  <c:v>85.536013359999998</c:v>
                </c:pt>
                <c:pt idx="341">
                  <c:v>78.448241833600008</c:v>
                </c:pt>
                <c:pt idx="342">
                  <c:v>62.360895038400002</c:v>
                </c:pt>
                <c:pt idx="343">
                  <c:v>44.27397297440001</c:v>
                </c:pt>
                <c:pt idx="344">
                  <c:v>60.187475641600003</c:v>
                </c:pt>
                <c:pt idx="345">
                  <c:v>43.10140303999998</c:v>
                </c:pt>
                <c:pt idx="346">
                  <c:v>73.015755169599998</c:v>
                </c:pt>
                <c:pt idx="347">
                  <c:v>84.930532030400002</c:v>
                </c:pt>
                <c:pt idx="348">
                  <c:v>86.84573362239999</c:v>
                </c:pt>
                <c:pt idx="349">
                  <c:v>62.761359945599992</c:v>
                </c:pt>
                <c:pt idx="350">
                  <c:v>27.677411000000006</c:v>
                </c:pt>
                <c:pt idx="351">
                  <c:v>32.593886785600006</c:v>
                </c:pt>
                <c:pt idx="352">
                  <c:v>15.51078730239999</c:v>
                </c:pt>
                <c:pt idx="353">
                  <c:v>-6.5718874496000126</c:v>
                </c:pt>
                <c:pt idx="354">
                  <c:v>-17.654137470400002</c:v>
                </c:pt>
                <c:pt idx="355">
                  <c:v>-12.735962760000007</c:v>
                </c:pt>
                <c:pt idx="356">
                  <c:v>1.1826366816000018</c:v>
                </c:pt>
                <c:pt idx="357">
                  <c:v>32.101660854399995</c:v>
                </c:pt>
                <c:pt idx="358">
                  <c:v>75.021109758400002</c:v>
                </c:pt>
                <c:pt idx="359">
                  <c:v>100.94098339359999</c:v>
                </c:pt>
                <c:pt idx="360">
                  <c:v>103.86128176</c:v>
                </c:pt>
                <c:pt idx="361">
                  <c:v>117.78200485759999</c:v>
                </c:pt>
                <c:pt idx="362">
                  <c:v>194.70315268639999</c:v>
                </c:pt>
                <c:pt idx="363">
                  <c:v>355.62472524639998</c:v>
                </c:pt>
                <c:pt idx="364">
                  <c:v>509.54672253759998</c:v>
                </c:pt>
                <c:pt idx="365">
                  <c:v>589.46914456000002</c:v>
                </c:pt>
                <c:pt idx="366">
                  <c:v>536.39199131359999</c:v>
                </c:pt>
                <c:pt idx="367">
                  <c:v>455.3152627984</c:v>
                </c:pt>
                <c:pt idx="368">
                  <c:v>401.2389590144</c:v>
                </c:pt>
                <c:pt idx="369">
                  <c:v>387.16307996160003</c:v>
                </c:pt>
                <c:pt idx="370">
                  <c:v>377.08762564</c:v>
                </c:pt>
                <c:pt idx="371">
                  <c:v>360.01259604960001</c:v>
                </c:pt>
                <c:pt idx="372">
                  <c:v>329.9379911904</c:v>
                </c:pt>
                <c:pt idx="373">
                  <c:v>339.86381106240003</c:v>
                </c:pt>
                <c:pt idx="374">
                  <c:v>323.79005566559999</c:v>
                </c:pt>
                <c:pt idx="375">
                  <c:v>309.716725</c:v>
                </c:pt>
                <c:pt idx="376">
                  <c:v>263.64381906559998</c:v>
                </c:pt>
                <c:pt idx="377">
                  <c:v>235.57133786239999</c:v>
                </c:pt>
                <c:pt idx="378">
                  <c:v>228.4992813904</c:v>
                </c:pt>
                <c:pt idx="379">
                  <c:v>226.4276496496</c:v>
                </c:pt>
                <c:pt idx="380">
                  <c:v>201.35644264000001</c:v>
                </c:pt>
                <c:pt idx="381">
                  <c:v>183.28566036159998</c:v>
                </c:pt>
                <c:pt idx="382">
                  <c:v>167.21530281439999</c:v>
                </c:pt>
                <c:pt idx="383">
                  <c:v>163.14536999839999</c:v>
                </c:pt>
                <c:pt idx="384">
                  <c:v>166.07586191359999</c:v>
                </c:pt>
                <c:pt idx="385">
                  <c:v>166.00677855999999</c:v>
                </c:pt>
                <c:pt idx="386">
                  <c:v>159.93811993759999</c:v>
                </c:pt>
                <c:pt idx="387">
                  <c:v>139.86988604639998</c:v>
                </c:pt>
                <c:pt idx="388">
                  <c:v>110.80207688640002</c:v>
                </c:pt>
                <c:pt idx="389">
                  <c:v>124.7346924576</c:v>
                </c:pt>
                <c:pt idx="390">
                  <c:v>160.66773275999998</c:v>
                </c:pt>
                <c:pt idx="391">
                  <c:v>152.60119779359999</c:v>
                </c:pt>
                <c:pt idx="392">
                  <c:v>142.53508755839999</c:v>
                </c:pt>
                <c:pt idx="393">
                  <c:v>110.46940205440001</c:v>
                </c:pt>
                <c:pt idx="394">
                  <c:v>96.404141281600005</c:v>
                </c:pt>
                <c:pt idx="395">
                  <c:v>95.339305239999987</c:v>
                </c:pt>
                <c:pt idx="396">
                  <c:v>118.27489392960001</c:v>
                </c:pt>
                <c:pt idx="397">
                  <c:v>109.21090735039999</c:v>
                </c:pt>
                <c:pt idx="398">
                  <c:v>98.147345502399986</c:v>
                </c:pt>
                <c:pt idx="399">
                  <c:v>81.084208385599993</c:v>
                </c:pt>
                <c:pt idx="400">
                  <c:v>67.021496000000013</c:v>
                </c:pt>
                <c:pt idx="401">
                  <c:v>89.95920834559999</c:v>
                </c:pt>
                <c:pt idx="402">
                  <c:v>119.89734542240001</c:v>
                </c:pt>
                <c:pt idx="403">
                  <c:v>98.835907230399982</c:v>
                </c:pt>
                <c:pt idx="404">
                  <c:v>114.7748937696</c:v>
                </c:pt>
                <c:pt idx="405">
                  <c:v>143.71430504</c:v>
                </c:pt>
                <c:pt idx="406">
                  <c:v>184.65414104159998</c:v>
                </c:pt>
                <c:pt idx="407">
                  <c:v>227.59440177440001</c:v>
                </c:pt>
                <c:pt idx="408">
                  <c:v>273.53508723840002</c:v>
                </c:pt>
                <c:pt idx="409">
                  <c:v>256.47619743359996</c:v>
                </c:pt>
                <c:pt idx="410">
                  <c:v>196.41773236</c:v>
                </c:pt>
                <c:pt idx="411">
                  <c:v>153.3596920176</c:v>
                </c:pt>
                <c:pt idx="412">
                  <c:v>167.3020764064</c:v>
                </c:pt>
                <c:pt idx="413">
                  <c:v>229.2448855264</c:v>
                </c:pt>
                <c:pt idx="414">
                  <c:v>339.1881193776</c:v>
                </c:pt>
                <c:pt idx="415">
                  <c:v>479.13177796000002</c:v>
                </c:pt>
                <c:pt idx="416">
                  <c:v>605.07586127360003</c:v>
                </c:pt>
                <c:pt idx="417">
                  <c:v>852.02036931839996</c:v>
                </c:pt>
                <c:pt idx="418">
                  <c:v>2212.9653020944002</c:v>
                </c:pt>
                <c:pt idx="419">
                  <c:v>8252.9106596016009</c:v>
                </c:pt>
                <c:pt idx="420">
                  <c:v>21124.856441839998</c:v>
                </c:pt>
                <c:pt idx="421">
                  <c:v>31343.8026488096</c:v>
                </c:pt>
                <c:pt idx="422">
                  <c:v>31774.749280510401</c:v>
                </c:pt>
                <c:pt idx="423">
                  <c:v>28860.696336942401</c:v>
                </c:pt>
                <c:pt idx="424">
                  <c:v>14714.6438181056</c:v>
                </c:pt>
                <c:pt idx="425">
                  <c:v>4720.5917239999999</c:v>
                </c:pt>
                <c:pt idx="426">
                  <c:v>1336.5400546256001</c:v>
                </c:pt>
                <c:pt idx="427">
                  <c:v>525.48880998239997</c:v>
                </c:pt>
                <c:pt idx="428">
                  <c:v>287.43799007040002</c:v>
                </c:pt>
                <c:pt idx="429">
                  <c:v>182.3875948896</c:v>
                </c:pt>
                <c:pt idx="430">
                  <c:v>192.33762444000001</c:v>
                </c:pt>
                <c:pt idx="431">
                  <c:v>191.28807872159999</c:v>
                </c:pt>
                <c:pt idx="432">
                  <c:v>168.2389577344</c:v>
                </c:pt>
                <c:pt idx="433">
                  <c:v>132.1902614784</c:v>
                </c:pt>
                <c:pt idx="434">
                  <c:v>98.141989953599989</c:v>
                </c:pt>
                <c:pt idx="435">
                  <c:v>71.094143159999987</c:v>
                </c:pt>
                <c:pt idx="436">
                  <c:v>29.046721097599999</c:v>
                </c:pt>
                <c:pt idx="437">
                  <c:v>52.999723766399995</c:v>
                </c:pt>
                <c:pt idx="438">
                  <c:v>110.9531511664</c:v>
                </c:pt>
                <c:pt idx="439">
                  <c:v>150.9070032976</c:v>
                </c:pt>
                <c:pt idx="440">
                  <c:v>122.86128015999998</c:v>
                </c:pt>
                <c:pt idx="441">
                  <c:v>77.815981753599999</c:v>
                </c:pt>
                <c:pt idx="442">
                  <c:v>43.771108078400005</c:v>
                </c:pt>
                <c:pt idx="443">
                  <c:v>46.726659134399995</c:v>
                </c:pt>
                <c:pt idx="444">
                  <c:v>92.682634921599998</c:v>
                </c:pt>
                <c:pt idx="445">
                  <c:v>141.63903543999999</c:v>
                </c:pt>
                <c:pt idx="446">
                  <c:v>160.59586068959999</c:v>
                </c:pt>
                <c:pt idx="447">
                  <c:v>141.5531106704</c:v>
                </c:pt>
                <c:pt idx="448">
                  <c:v>140.5107853824</c:v>
                </c:pt>
                <c:pt idx="449">
                  <c:v>102.46888482559999</c:v>
                </c:pt>
                <c:pt idx="450">
                  <c:v>98.427408999999983</c:v>
                </c:pt>
                <c:pt idx="451">
                  <c:v>64.386357905599994</c:v>
                </c:pt>
                <c:pt idx="452">
                  <c:v>59.345731542400017</c:v>
                </c:pt>
                <c:pt idx="453">
                  <c:v>43.305529910399997</c:v>
                </c:pt>
                <c:pt idx="454">
                  <c:v>35.26575300959999</c:v>
                </c:pt>
                <c:pt idx="455">
                  <c:v>74.226400839999997</c:v>
                </c:pt>
                <c:pt idx="456">
                  <c:v>154.18747340160002</c:v>
                </c:pt>
                <c:pt idx="457">
                  <c:v>161.14897069439999</c:v>
                </c:pt>
                <c:pt idx="458">
                  <c:v>106.11089271840001</c:v>
                </c:pt>
                <c:pt idx="459">
                  <c:v>24.073239473599983</c:v>
                </c:pt>
                <c:pt idx="460">
                  <c:v>23.036010959999999</c:v>
                </c:pt>
                <c:pt idx="461">
                  <c:v>10.999207177599999</c:v>
                </c:pt>
                <c:pt idx="462">
                  <c:v>9.9628281263999838</c:v>
                </c:pt>
                <c:pt idx="463">
                  <c:v>2.9268738064000104</c:v>
                </c:pt>
                <c:pt idx="464">
                  <c:v>-1.1086557823999783</c:v>
                </c:pt>
                <c:pt idx="465">
                  <c:v>9.8562393600000178</c:v>
                </c:pt>
                <c:pt idx="466">
                  <c:v>35.821559233599999</c:v>
                </c:pt>
                <c:pt idx="467">
                  <c:v>27.787303838399993</c:v>
                </c:pt>
                <c:pt idx="468">
                  <c:v>16.7534731744</c:v>
                </c:pt>
                <c:pt idx="469">
                  <c:v>-5.2799327583999798</c:v>
                </c:pt>
                <c:pt idx="470">
                  <c:v>2.687086039999997</c:v>
                </c:pt>
                <c:pt idx="471">
                  <c:v>50.654529569599987</c:v>
                </c:pt>
                <c:pt idx="472">
                  <c:v>122.62239783039999</c:v>
                </c:pt>
                <c:pt idx="473">
                  <c:v>179.59069082239998</c:v>
                </c:pt>
                <c:pt idx="474">
                  <c:v>173.55940854560001</c:v>
                </c:pt>
                <c:pt idx="475">
                  <c:v>113.52855099999999</c:v>
                </c:pt>
                <c:pt idx="476">
                  <c:v>51.498118185599992</c:v>
                </c:pt>
                <c:pt idx="477">
                  <c:v>19.468110102399976</c:v>
                </c:pt>
                <c:pt idx="478">
                  <c:v>0.43852675040000122</c:v>
                </c:pt>
                <c:pt idx="479">
                  <c:v>-6.5906318703999887</c:v>
                </c:pt>
                <c:pt idx="480">
                  <c:v>-11.619365759999994</c:v>
                </c:pt>
                <c:pt idx="481">
                  <c:v>-3.6476749184000141</c:v>
                </c:pt>
                <c:pt idx="482">
                  <c:v>7.3244406543999787</c:v>
                </c:pt>
                <c:pt idx="483">
                  <c:v>66.296980958400013</c:v>
                </c:pt>
                <c:pt idx="484">
                  <c:v>158.2699459936</c:v>
                </c:pt>
                <c:pt idx="485">
                  <c:v>201.24333575999998</c:v>
                </c:pt>
                <c:pt idx="486">
                  <c:v>196.2171502576</c:v>
                </c:pt>
                <c:pt idx="487">
                  <c:v>265.1913894864</c:v>
                </c:pt>
                <c:pt idx="488">
                  <c:v>457.16605344639999</c:v>
                </c:pt>
                <c:pt idx="489">
                  <c:v>669.14114213760001</c:v>
                </c:pt>
                <c:pt idx="490">
                  <c:v>784.11665556000003</c:v>
                </c:pt>
                <c:pt idx="491">
                  <c:v>1034.0925937136001</c:v>
                </c:pt>
                <c:pt idx="492">
                  <c:v>2332.0689565983998</c:v>
                </c:pt>
                <c:pt idx="493">
                  <c:v>5662.0457442143997</c:v>
                </c:pt>
                <c:pt idx="494">
                  <c:v>9754.0229565615991</c:v>
                </c:pt>
                <c:pt idx="495">
                  <c:v>10801.000593639999</c:v>
                </c:pt>
                <c:pt idx="496">
                  <c:v>7749.9786554496004</c:v>
                </c:pt>
                <c:pt idx="497">
                  <c:v>3688.9571419904</c:v>
                </c:pt>
                <c:pt idx="498">
                  <c:v>1303.9360532624</c:v>
                </c:pt>
                <c:pt idx="499">
                  <c:v>370.91538926559997</c:v>
                </c:pt>
                <c:pt idx="500">
                  <c:v>124.89515</c:v>
                </c:pt>
                <c:pt idx="501">
                  <c:v>60.875335465600017</c:v>
                </c:pt>
                <c:pt idx="502">
                  <c:v>67.855945662399989</c:v>
                </c:pt>
                <c:pt idx="503">
                  <c:v>53.836980590400003</c:v>
                </c:pt>
                <c:pt idx="504">
                  <c:v>28.818440249600002</c:v>
                </c:pt>
                <c:pt idx="505">
                  <c:v>3.8003246399999853</c:v>
                </c:pt>
                <c:pt idx="506">
                  <c:v>4.7826337616000103</c:v>
                </c:pt>
                <c:pt idx="507">
                  <c:v>-15.234632385600008</c:v>
                </c:pt>
                <c:pt idx="508">
                  <c:v>2.7485261983999862</c:v>
                </c:pt>
                <c:pt idx="509">
                  <c:v>17.732109513599994</c:v>
                </c:pt>
                <c:pt idx="510">
                  <c:v>34.716117559999986</c:v>
                </c:pt>
                <c:pt idx="511">
                  <c:v>17.700550337599992</c:v>
                </c:pt>
                <c:pt idx="512">
                  <c:v>-18.314592153600017</c:v>
                </c:pt>
                <c:pt idx="513">
                  <c:v>-37.329309913600014</c:v>
                </c:pt>
                <c:pt idx="514">
                  <c:v>-34.343602942400025</c:v>
                </c:pt>
                <c:pt idx="515">
                  <c:v>9.6425287600000047</c:v>
                </c:pt>
                <c:pt idx="516">
                  <c:v>40.629085193599991</c:v>
                </c:pt>
                <c:pt idx="517">
                  <c:v>21.616066358399991</c:v>
                </c:pt>
                <c:pt idx="518">
                  <c:v>21.603472254400003</c:v>
                </c:pt>
                <c:pt idx="519">
                  <c:v>63.591302881600001</c:v>
                </c:pt>
                <c:pt idx="520">
                  <c:v>142.57955824000001</c:v>
                </c:pt>
                <c:pt idx="521">
                  <c:v>165.56823832960001</c:v>
                </c:pt>
                <c:pt idx="522">
                  <c:v>102.55734315039999</c:v>
                </c:pt>
                <c:pt idx="523">
                  <c:v>1.5468727023999804</c:v>
                </c:pt>
                <c:pt idx="524">
                  <c:v>-45.463173014400013</c:v>
                </c:pt>
                <c:pt idx="525">
                  <c:v>-28.472793999999993</c:v>
                </c:pt>
                <c:pt idx="526">
                  <c:v>-8.4819902543999888</c:v>
                </c:pt>
                <c:pt idx="527">
                  <c:v>-0.4907617775999995</c:v>
                </c:pt>
                <c:pt idx="528">
                  <c:v>-12.499108569599997</c:v>
                </c:pt>
                <c:pt idx="529">
                  <c:v>-41.507030630399981</c:v>
                </c:pt>
                <c:pt idx="530">
                  <c:v>-50.514527960000009</c:v>
                </c:pt>
                <c:pt idx="531">
                  <c:v>-48.521600558399996</c:v>
                </c:pt>
                <c:pt idx="532">
                  <c:v>-49.528248425599998</c:v>
                </c:pt>
                <c:pt idx="533">
                  <c:v>-43.534471561599986</c:v>
                </c:pt>
                <c:pt idx="534">
                  <c:v>-9.5402699663999897</c:v>
                </c:pt>
                <c:pt idx="535">
                  <c:v>60.454356359999991</c:v>
                </c:pt>
                <c:pt idx="536">
                  <c:v>162.44940741759999</c:v>
                </c:pt>
                <c:pt idx="537">
                  <c:v>255.44488320639999</c:v>
                </c:pt>
                <c:pt idx="538">
                  <c:v>227.44078372640001</c:v>
                </c:pt>
                <c:pt idx="539">
                  <c:v>102.43710897759999</c:v>
                </c:pt>
                <c:pt idx="540">
                  <c:v>40.433858960000009</c:v>
                </c:pt>
                <c:pt idx="541">
                  <c:v>63.431033673599984</c:v>
                </c:pt>
                <c:pt idx="542">
                  <c:v>86.428633118400001</c:v>
                </c:pt>
                <c:pt idx="543">
                  <c:v>48.426657294400002</c:v>
                </c:pt>
                <c:pt idx="544">
                  <c:v>-17.574893798400012</c:v>
                </c:pt>
                <c:pt idx="545">
                  <c:v>-42.576020160000013</c:v>
                </c:pt>
                <c:pt idx="546">
                  <c:v>-50.576721790400001</c:v>
                </c:pt>
                <c:pt idx="547">
                  <c:v>-62.576998689600003</c:v>
                </c:pt>
                <c:pt idx="548">
                  <c:v>-69.576850857599993</c:v>
                </c:pt>
                <c:pt idx="549">
                  <c:v>-79.576278294399998</c:v>
                </c:pt>
                <c:pt idx="550">
                  <c:v>-64.575281000000018</c:v>
                </c:pt>
                <c:pt idx="551">
                  <c:v>-45.573858974400025</c:v>
                </c:pt>
                <c:pt idx="552">
                  <c:v>-49.57201221759999</c:v>
                </c:pt>
                <c:pt idx="553">
                  <c:v>-62.569740729600028</c:v>
                </c:pt>
                <c:pt idx="554">
                  <c:v>-74.567044510399995</c:v>
                </c:pt>
                <c:pt idx="555">
                  <c:v>-72.563923559999978</c:v>
                </c:pt>
                <c:pt idx="556">
                  <c:v>-57.560377878400004</c:v>
                </c:pt>
                <c:pt idx="557">
                  <c:v>-59.556407465599989</c:v>
                </c:pt>
                <c:pt idx="558">
                  <c:v>-73.552012321599989</c:v>
                </c:pt>
                <c:pt idx="559">
                  <c:v>-67.547192446400004</c:v>
                </c:pt>
                <c:pt idx="560">
                  <c:v>-75.541947840000034</c:v>
                </c:pt>
                <c:pt idx="561">
                  <c:v>-75.536278502400023</c:v>
                </c:pt>
                <c:pt idx="562">
                  <c:v>-50.530184433600027</c:v>
                </c:pt>
                <c:pt idx="563">
                  <c:v>-50.52366563359999</c:v>
                </c:pt>
                <c:pt idx="564">
                  <c:v>-43.516722102399996</c:v>
                </c:pt>
                <c:pt idx="565">
                  <c:v>-51.509353840000017</c:v>
                </c:pt>
                <c:pt idx="566">
                  <c:v>-50.501560846400025</c:v>
                </c:pt>
                <c:pt idx="567">
                  <c:v>1.5066568784000083</c:v>
                </c:pt>
                <c:pt idx="568">
                  <c:v>115.51529933439997</c:v>
                </c:pt>
                <c:pt idx="569">
                  <c:v>367.52436652159997</c:v>
                </c:pt>
                <c:pt idx="570">
                  <c:v>710.53385844000002</c:v>
                </c:pt>
                <c:pt idx="571">
                  <c:v>920.54377508959999</c:v>
                </c:pt>
                <c:pt idx="572">
                  <c:v>786.5541164704</c:v>
                </c:pt>
                <c:pt idx="573">
                  <c:v>532.56488258240006</c:v>
                </c:pt>
                <c:pt idx="574">
                  <c:v>322.57607342559999</c:v>
                </c:pt>
                <c:pt idx="575">
                  <c:v>270.58768900000001</c:v>
                </c:pt>
                <c:pt idx="576">
                  <c:v>409.59972930560002</c:v>
                </c:pt>
                <c:pt idx="577">
                  <c:v>515.61219434240002</c:v>
                </c:pt>
                <c:pt idx="578">
                  <c:v>429.6250841104</c:v>
                </c:pt>
                <c:pt idx="579">
                  <c:v>245.63839860959999</c:v>
                </c:pt>
                <c:pt idx="580">
                  <c:v>148.65213783999997</c:v>
                </c:pt>
                <c:pt idx="581">
                  <c:v>120.66630180160001</c:v>
                </c:pt>
                <c:pt idx="582">
                  <c:v>89.680890494399989</c:v>
                </c:pt>
                <c:pt idx="583">
                  <c:v>64.695903918400006</c:v>
                </c:pt>
                <c:pt idx="584">
                  <c:v>80.711342073600008</c:v>
                </c:pt>
                <c:pt idx="585">
                  <c:v>68.727204959999995</c:v>
                </c:pt>
                <c:pt idx="586">
                  <c:v>70.743492577599994</c:v>
                </c:pt>
                <c:pt idx="587">
                  <c:v>42.760204926399979</c:v>
                </c:pt>
                <c:pt idx="588">
                  <c:v>19.777342006399977</c:v>
                </c:pt>
                <c:pt idx="589">
                  <c:v>6.7949038175999874</c:v>
                </c:pt>
                <c:pt idx="590">
                  <c:v>11.812890360000011</c:v>
                </c:pt>
                <c:pt idx="591">
                  <c:v>6.8313016335999919</c:v>
                </c:pt>
                <c:pt idx="592">
                  <c:v>11.850137638400014</c:v>
                </c:pt>
                <c:pt idx="593">
                  <c:v>39.869398374400021</c:v>
                </c:pt>
                <c:pt idx="594">
                  <c:v>86.889083841599984</c:v>
                </c:pt>
                <c:pt idx="595">
                  <c:v>112.90919403999999</c:v>
                </c:pt>
                <c:pt idx="596">
                  <c:v>99.929728969599978</c:v>
                </c:pt>
                <c:pt idx="597">
                  <c:v>79.950688630399981</c:v>
                </c:pt>
                <c:pt idx="598">
                  <c:v>106.97207302239997</c:v>
                </c:pt>
                <c:pt idx="599">
                  <c:v>283.99388214560003</c:v>
                </c:pt>
                <c:pt idx="600">
                  <c:v>468.01611600000001</c:v>
                </c:pt>
                <c:pt idx="601">
                  <c:v>594.03877458559998</c:v>
                </c:pt>
                <c:pt idx="602">
                  <c:v>568.06185790239999</c:v>
                </c:pt>
                <c:pt idx="603">
                  <c:v>463.08536595039999</c:v>
                </c:pt>
                <c:pt idx="604">
                  <c:v>350.10929872959997</c:v>
                </c:pt>
                <c:pt idx="605">
                  <c:v>259.13365623999999</c:v>
                </c:pt>
                <c:pt idx="606">
                  <c:v>202.1584384816</c:v>
                </c:pt>
                <c:pt idx="607">
                  <c:v>189.18364545439999</c:v>
                </c:pt>
                <c:pt idx="608">
                  <c:v>211.20927715839997</c:v>
                </c:pt>
                <c:pt idx="609">
                  <c:v>199.23533359359999</c:v>
                </c:pt>
                <c:pt idx="610">
                  <c:v>167.26181475999999</c:v>
                </c:pt>
                <c:pt idx="611">
                  <c:v>122.28872065759998</c:v>
                </c:pt>
                <c:pt idx="612">
                  <c:v>101.31605128640001</c:v>
                </c:pt>
                <c:pt idx="613">
                  <c:v>125.3438066464</c:v>
                </c:pt>
                <c:pt idx="614">
                  <c:v>209.37198673759997</c:v>
                </c:pt>
                <c:pt idx="615">
                  <c:v>394.40059156000001</c:v>
                </c:pt>
                <c:pt idx="616">
                  <c:v>568.42962111359998</c:v>
                </c:pt>
                <c:pt idx="617">
                  <c:v>639.45907539840005</c:v>
                </c:pt>
                <c:pt idx="618">
                  <c:v>542.48895441440004</c:v>
                </c:pt>
                <c:pt idx="619">
                  <c:v>446.51925816160002</c:v>
                </c:pt>
                <c:pt idx="620">
                  <c:v>362.54998663999999</c:v>
                </c:pt>
                <c:pt idx="621">
                  <c:v>321.58113984959999</c:v>
                </c:pt>
                <c:pt idx="622">
                  <c:v>287.61271779039998</c:v>
                </c:pt>
                <c:pt idx="623">
                  <c:v>290.64472046239996</c:v>
                </c:pt>
                <c:pt idx="624">
                  <c:v>376.67714786559998</c:v>
                </c:pt>
                <c:pt idx="625">
                  <c:v>469.71</c:v>
                </c:pt>
                <c:pt idx="626">
                  <c:v>455.74327686559997</c:v>
                </c:pt>
                <c:pt idx="627">
                  <c:v>367.7769784624</c:v>
                </c:pt>
                <c:pt idx="628">
                  <c:v>372.81110479040001</c:v>
                </c:pt>
                <c:pt idx="629">
                  <c:v>355.84565584960001</c:v>
                </c:pt>
                <c:pt idx="630">
                  <c:v>312.88063163999999</c:v>
                </c:pt>
                <c:pt idx="631">
                  <c:v>231.91603216160001</c:v>
                </c:pt>
                <c:pt idx="632">
                  <c:v>153.95185741439997</c:v>
                </c:pt>
                <c:pt idx="633">
                  <c:v>138.98810739839999</c:v>
                </c:pt>
                <c:pt idx="634">
                  <c:v>147.0247821136</c:v>
                </c:pt>
                <c:pt idx="635">
                  <c:v>134.06188155999999</c:v>
                </c:pt>
                <c:pt idx="636">
                  <c:v>129.09940573760002</c:v>
                </c:pt>
                <c:pt idx="637">
                  <c:v>157.13735464640001</c:v>
                </c:pt>
                <c:pt idx="638">
                  <c:v>282.17572828639999</c:v>
                </c:pt>
                <c:pt idx="639">
                  <c:v>521.2145266576</c:v>
                </c:pt>
                <c:pt idx="640">
                  <c:v>938.25374976000001</c:v>
                </c:pt>
                <c:pt idx="641">
                  <c:v>1379.2933975936</c:v>
                </c:pt>
                <c:pt idx="642">
                  <c:v>1445.3334701583999</c:v>
                </c:pt>
                <c:pt idx="643">
                  <c:v>977.37396745439992</c:v>
                </c:pt>
                <c:pt idx="644">
                  <c:v>454.41488948159997</c:v>
                </c:pt>
                <c:pt idx="645">
                  <c:v>214.45623624000001</c:v>
                </c:pt>
                <c:pt idx="646">
                  <c:v>277.49800772959998</c:v>
                </c:pt>
                <c:pt idx="647">
                  <c:v>463.54020395040004</c:v>
                </c:pt>
                <c:pt idx="648">
                  <c:v>573.58282490240003</c:v>
                </c:pt>
                <c:pt idx="649">
                  <c:v>561.62587058560007</c:v>
                </c:pt>
                <c:pt idx="650">
                  <c:v>500.66934099999997</c:v>
                </c:pt>
                <c:pt idx="651">
                  <c:v>441.71323614559998</c:v>
                </c:pt>
                <c:pt idx="652">
                  <c:v>431.75755602239997</c:v>
                </c:pt>
                <c:pt idx="653">
                  <c:v>413.8023006304</c:v>
                </c:pt>
                <c:pt idx="654">
                  <c:v>363.84746996960001</c:v>
                </c:pt>
                <c:pt idx="655">
                  <c:v>329.89306404000001</c:v>
                </c:pt>
                <c:pt idx="656">
                  <c:v>287.9390828416</c:v>
                </c:pt>
                <c:pt idx="657">
                  <c:v>297.98552637440002</c:v>
                </c:pt>
                <c:pt idx="658">
                  <c:v>340.03239463839998</c:v>
                </c:pt>
                <c:pt idx="659">
                  <c:v>397.07968763359997</c:v>
                </c:pt>
                <c:pt idx="660">
                  <c:v>458.12740536000001</c:v>
                </c:pt>
                <c:pt idx="661">
                  <c:v>485.17554781759998</c:v>
                </c:pt>
                <c:pt idx="662">
                  <c:v>524.22411500639998</c:v>
                </c:pt>
                <c:pt idx="663">
                  <c:v>584.27310692640003</c:v>
                </c:pt>
                <c:pt idx="664">
                  <c:v>751.32252357760001</c:v>
                </c:pt>
                <c:pt idx="665">
                  <c:v>1429.3723649600001</c:v>
                </c:pt>
                <c:pt idx="666">
                  <c:v>3740.4226310735999</c:v>
                </c:pt>
                <c:pt idx="667">
                  <c:v>9269.4733219184</c:v>
                </c:pt>
                <c:pt idx="668">
                  <c:v>13949.5244374944</c:v>
                </c:pt>
                <c:pt idx="669">
                  <c:v>12839.5759778016</c:v>
                </c:pt>
                <c:pt idx="670">
                  <c:v>7275.6279428400003</c:v>
                </c:pt>
                <c:pt idx="671">
                  <c:v>2829.6803326096001</c:v>
                </c:pt>
                <c:pt idx="672">
                  <c:v>992.73314711040007</c:v>
                </c:pt>
                <c:pt idx="673">
                  <c:v>528.78638634239996</c:v>
                </c:pt>
                <c:pt idx="674">
                  <c:v>423.84005030560002</c:v>
                </c:pt>
                <c:pt idx="675">
                  <c:v>376.894139</c:v>
                </c:pt>
                <c:pt idx="676">
                  <c:v>327.94865242560002</c:v>
                </c:pt>
                <c:pt idx="677">
                  <c:v>305.00359058240002</c:v>
                </c:pt>
                <c:pt idx="678">
                  <c:v>283.05895347039996</c:v>
                </c:pt>
                <c:pt idx="679">
                  <c:v>278.11474108959999</c:v>
                </c:pt>
                <c:pt idx="680">
                  <c:v>278.17095343999995</c:v>
                </c:pt>
                <c:pt idx="681">
                  <c:v>245.22759052160001</c:v>
                </c:pt>
                <c:pt idx="682">
                  <c:v>247.28465233439999</c:v>
                </c:pt>
                <c:pt idx="683">
                  <c:v>229.34213887839999</c:v>
                </c:pt>
                <c:pt idx="684">
                  <c:v>231.40005015360001</c:v>
                </c:pt>
                <c:pt idx="685">
                  <c:v>227.45838615999998</c:v>
                </c:pt>
                <c:pt idx="686">
                  <c:v>213.51714689760001</c:v>
                </c:pt>
                <c:pt idx="687">
                  <c:v>262.57633236639998</c:v>
                </c:pt>
                <c:pt idx="688">
                  <c:v>287.63594256639999</c:v>
                </c:pt>
                <c:pt idx="689">
                  <c:v>304.69597749759998</c:v>
                </c:pt>
                <c:pt idx="690">
                  <c:v>308.75643715999996</c:v>
                </c:pt>
                <c:pt idx="691">
                  <c:v>289.81732155359998</c:v>
                </c:pt>
                <c:pt idx="692">
                  <c:v>280.87863067839999</c:v>
                </c:pt>
                <c:pt idx="693">
                  <c:v>260.94036453439998</c:v>
                </c:pt>
                <c:pt idx="694">
                  <c:v>253.00252312160001</c:v>
                </c:pt>
                <c:pt idx="695">
                  <c:v>204.06510643999997</c:v>
                </c:pt>
                <c:pt idx="696">
                  <c:v>204.12811448959999</c:v>
                </c:pt>
                <c:pt idx="697">
                  <c:v>192.19154727039998</c:v>
                </c:pt>
                <c:pt idx="698">
                  <c:v>172.25540478239998</c:v>
                </c:pt>
                <c:pt idx="699">
                  <c:v>156.31968702559999</c:v>
                </c:pt>
                <c:pt idx="700">
                  <c:v>158.38439400000001</c:v>
                </c:pt>
                <c:pt idx="701">
                  <c:v>176.4495257056</c:v>
                </c:pt>
                <c:pt idx="702">
                  <c:v>181.51508214239999</c:v>
                </c:pt>
                <c:pt idx="703">
                  <c:v>172.5810633104</c:v>
                </c:pt>
                <c:pt idx="704">
                  <c:v>156.64746920959999</c:v>
                </c:pt>
                <c:pt idx="705">
                  <c:v>168.71429983999997</c:v>
                </c:pt>
                <c:pt idx="706">
                  <c:v>206.78155520159999</c:v>
                </c:pt>
                <c:pt idx="707">
                  <c:v>207.84923529439999</c:v>
                </c:pt>
                <c:pt idx="708">
                  <c:v>175.91734011839998</c:v>
                </c:pt>
                <c:pt idx="709">
                  <c:v>157.98586967360001</c:v>
                </c:pt>
                <c:pt idx="710">
                  <c:v>163.05482396000002</c:v>
                </c:pt>
                <c:pt idx="711">
                  <c:v>144.12420297759999</c:v>
                </c:pt>
                <c:pt idx="712">
                  <c:v>138.1940067264</c:v>
                </c:pt>
                <c:pt idx="713">
                  <c:v>118.26423520639997</c:v>
                </c:pt>
                <c:pt idx="714">
                  <c:v>141.33488841759998</c:v>
                </c:pt>
                <c:pt idx="715">
                  <c:v>200.40596635999998</c:v>
                </c:pt>
                <c:pt idx="716">
                  <c:v>355.47746903359996</c:v>
                </c:pt>
                <c:pt idx="717">
                  <c:v>753.54939643839998</c:v>
                </c:pt>
                <c:pt idx="718">
                  <c:v>1685.6217485744</c:v>
                </c:pt>
                <c:pt idx="719">
                  <c:v>2459.6945254416</c:v>
                </c:pt>
                <c:pt idx="720">
                  <c:v>2331.76772704</c:v>
                </c:pt>
                <c:pt idx="721">
                  <c:v>1563.8413533696</c:v>
                </c:pt>
                <c:pt idx="722">
                  <c:v>914.91540443040003</c:v>
                </c:pt>
                <c:pt idx="723">
                  <c:v>541.98988022239996</c:v>
                </c:pt>
                <c:pt idx="724">
                  <c:v>342.06478074559999</c:v>
                </c:pt>
                <c:pt idx="725">
                  <c:v>229.14010599999997</c:v>
                </c:pt>
                <c:pt idx="726">
                  <c:v>150.2158559856</c:v>
                </c:pt>
                <c:pt idx="727">
                  <c:v>119.29203070239998</c:v>
                </c:pt>
                <c:pt idx="728">
                  <c:v>152.36863015040001</c:v>
                </c:pt>
                <c:pt idx="729">
                  <c:v>221.44565432960002</c:v>
                </c:pt>
                <c:pt idx="730">
                  <c:v>376.52310324000001</c:v>
                </c:pt>
                <c:pt idx="731">
                  <c:v>585.60097688159999</c:v>
                </c:pt>
                <c:pt idx="732">
                  <c:v>687.67927525439995</c:v>
                </c:pt>
                <c:pt idx="733">
                  <c:v>576.75799835839996</c:v>
                </c:pt>
                <c:pt idx="734">
                  <c:v>391.83714619360001</c:v>
                </c:pt>
                <c:pt idx="735">
                  <c:v>239.91671875999998</c:v>
                </c:pt>
                <c:pt idx="736">
                  <c:v>150.9967160576</c:v>
                </c:pt>
                <c:pt idx="737">
                  <c:v>116.0771380864</c:v>
                </c:pt>
                <c:pt idx="738">
                  <c:v>131.15798484640001</c:v>
                </c:pt>
                <c:pt idx="739">
                  <c:v>206.23925633760001</c:v>
                </c:pt>
                <c:pt idx="740">
                  <c:v>262.32095256000002</c:v>
                </c:pt>
                <c:pt idx="741">
                  <c:v>231.40307351359999</c:v>
                </c:pt>
                <c:pt idx="742">
                  <c:v>151.4856191984</c:v>
                </c:pt>
                <c:pt idx="743">
                  <c:v>116.56858961439997</c:v>
                </c:pt>
                <c:pt idx="744">
                  <c:v>112.65198476159998</c:v>
                </c:pt>
                <c:pt idx="745">
                  <c:v>116.73580463999997</c:v>
                </c:pt>
                <c:pt idx="746">
                  <c:v>134.8200492496</c:v>
                </c:pt>
                <c:pt idx="747">
                  <c:v>127.90471859039999</c:v>
                </c:pt>
                <c:pt idx="748">
                  <c:v>134.98981266240003</c:v>
                </c:pt>
                <c:pt idx="749">
                  <c:v>122.07533146559999</c:v>
                </c:pt>
                <c:pt idx="750">
                  <c:v>123.16127499999999</c:v>
                </c:pt>
                <c:pt idx="751">
                  <c:v>135.2476432656</c:v>
                </c:pt>
                <c:pt idx="752">
                  <c:v>149.3344362624</c:v>
                </c:pt>
                <c:pt idx="753">
                  <c:v>186.42165399039999</c:v>
                </c:pt>
                <c:pt idx="754">
                  <c:v>254.50929644959999</c:v>
                </c:pt>
                <c:pt idx="755">
                  <c:v>246.59736364</c:v>
                </c:pt>
                <c:pt idx="756">
                  <c:v>178.68585556160002</c:v>
                </c:pt>
                <c:pt idx="757">
                  <c:v>119.7747722144</c:v>
                </c:pt>
                <c:pt idx="758">
                  <c:v>83.864113598400024</c:v>
                </c:pt>
                <c:pt idx="759">
                  <c:v>71.953879713599974</c:v>
                </c:pt>
                <c:pt idx="760">
                  <c:v>102.04407055999999</c:v>
                </c:pt>
                <c:pt idx="761">
                  <c:v>109.1346861376</c:v>
                </c:pt>
                <c:pt idx="762">
                  <c:v>117.22572644639999</c:v>
                </c:pt>
                <c:pt idx="763">
                  <c:v>105.31719148639996</c:v>
                </c:pt>
                <c:pt idx="764">
                  <c:v>84.409081257600008</c:v>
                </c:pt>
                <c:pt idx="765">
                  <c:v>62.501395760000008</c:v>
                </c:pt>
                <c:pt idx="766">
                  <c:v>73.594134993599994</c:v>
                </c:pt>
                <c:pt idx="767">
                  <c:v>100.68729895839999</c:v>
                </c:pt>
                <c:pt idx="768">
                  <c:v>107.7808876544</c:v>
                </c:pt>
                <c:pt idx="769">
                  <c:v>65.874901081600001</c:v>
                </c:pt>
                <c:pt idx="770">
                  <c:v>48.969339239999982</c:v>
                </c:pt>
                <c:pt idx="771">
                  <c:v>56.064202129600005</c:v>
                </c:pt>
                <c:pt idx="772">
                  <c:v>108.15948975039998</c:v>
                </c:pt>
                <c:pt idx="773">
                  <c:v>129.25520210240001</c:v>
                </c:pt>
                <c:pt idx="774">
                  <c:v>145.35133918560001</c:v>
                </c:pt>
                <c:pt idx="775">
                  <c:v>162.447901</c:v>
                </c:pt>
                <c:pt idx="776">
                  <c:v>241.54488754559998</c:v>
                </c:pt>
                <c:pt idx="777">
                  <c:v>425.64229882239999</c:v>
                </c:pt>
                <c:pt idx="778">
                  <c:v>855.74013483039994</c:v>
                </c:pt>
                <c:pt idx="779">
                  <c:v>1238.8383955695999</c:v>
                </c:pt>
                <c:pt idx="780">
                  <c:v>1186.9370810400001</c:v>
                </c:pt>
                <c:pt idx="781">
                  <c:v>723.03619124160002</c:v>
                </c:pt>
                <c:pt idx="782">
                  <c:v>309.13572617440002</c:v>
                </c:pt>
                <c:pt idx="783">
                  <c:v>153.2356858384</c:v>
                </c:pt>
                <c:pt idx="784">
                  <c:v>258.33607023360003</c:v>
                </c:pt>
                <c:pt idx="785">
                  <c:v>498.43687936000003</c:v>
                </c:pt>
                <c:pt idx="786">
                  <c:v>656.53811321759997</c:v>
                </c:pt>
                <c:pt idx="787">
                  <c:v>647.63977180639995</c:v>
                </c:pt>
                <c:pt idx="788">
                  <c:v>526.74185512639997</c:v>
                </c:pt>
                <c:pt idx="789">
                  <c:v>420.84436317759997</c:v>
                </c:pt>
                <c:pt idx="790">
                  <c:v>387.94729595999996</c:v>
                </c:pt>
                <c:pt idx="791">
                  <c:v>301.05065347360005</c:v>
                </c:pt>
                <c:pt idx="792">
                  <c:v>220.15443571840001</c:v>
                </c:pt>
                <c:pt idx="793">
                  <c:v>165.25864269440001</c:v>
                </c:pt>
                <c:pt idx="794">
                  <c:v>188.36327440159999</c:v>
                </c:pt>
                <c:pt idx="795">
                  <c:v>218.46833083999999</c:v>
                </c:pt>
                <c:pt idx="796">
                  <c:v>232.57381200959998</c:v>
                </c:pt>
                <c:pt idx="797">
                  <c:v>200.6797179104</c:v>
                </c:pt>
                <c:pt idx="798">
                  <c:v>160.78604854239998</c:v>
                </c:pt>
                <c:pt idx="799">
                  <c:v>144.89280390559998</c:v>
                </c:pt>
                <c:pt idx="800">
                  <c:v>147.99998400000001</c:v>
                </c:pt>
                <c:pt idx="801">
                  <c:v>174.1075888256</c:v>
                </c:pt>
                <c:pt idx="802">
                  <c:v>209.21561838239998</c:v>
                </c:pt>
                <c:pt idx="803">
                  <c:v>211.3240726704</c:v>
                </c:pt>
                <c:pt idx="804">
                  <c:v>182.43295168959997</c:v>
                </c:pt>
                <c:pt idx="805">
                  <c:v>128.54225543999999</c:v>
                </c:pt>
                <c:pt idx="806">
                  <c:v>86.651983921599992</c:v>
                </c:pt>
                <c:pt idx="807">
                  <c:v>65.762137134399978</c:v>
                </c:pt>
                <c:pt idx="808">
                  <c:v>76.872715078399978</c:v>
                </c:pt>
                <c:pt idx="809">
                  <c:v>107.98371775359999</c:v>
                </c:pt>
                <c:pt idx="810">
                  <c:v>118.09514515999999</c:v>
                </c:pt>
                <c:pt idx="811">
                  <c:v>85.206997297599997</c:v>
                </c:pt>
                <c:pt idx="812">
                  <c:v>53.319274166399993</c:v>
                </c:pt>
                <c:pt idx="813">
                  <c:v>28.431975766400001</c:v>
                </c:pt>
                <c:pt idx="814">
                  <c:v>30.545102097599994</c:v>
                </c:pt>
                <c:pt idx="815">
                  <c:v>48.65865316</c:v>
                </c:pt>
                <c:pt idx="816">
                  <c:v>62.772628953599991</c:v>
                </c:pt>
                <c:pt idx="817">
                  <c:v>52.887029478399995</c:v>
                </c:pt>
                <c:pt idx="818">
                  <c:v>31.001854734399984</c:v>
                </c:pt>
                <c:pt idx="819">
                  <c:v>17.117104721600015</c:v>
                </c:pt>
                <c:pt idx="820">
                  <c:v>18.232779440000002</c:v>
                </c:pt>
                <c:pt idx="821">
                  <c:v>12.348878889600002</c:v>
                </c:pt>
                <c:pt idx="822">
                  <c:v>26.465403070399987</c:v>
                </c:pt>
                <c:pt idx="823">
                  <c:v>74.582351982400013</c:v>
                </c:pt>
                <c:pt idx="824">
                  <c:v>80.699725625599996</c:v>
                </c:pt>
                <c:pt idx="825">
                  <c:v>34.817523999999992</c:v>
                </c:pt>
                <c:pt idx="826">
                  <c:v>-10.064252894400028</c:v>
                </c:pt>
                <c:pt idx="827">
                  <c:v>-43.945605057600005</c:v>
                </c:pt>
                <c:pt idx="828">
                  <c:v>-9.8265324895999981</c:v>
                </c:pt>
                <c:pt idx="829">
                  <c:v>70.292964809600022</c:v>
                </c:pt>
                <c:pt idx="830">
                  <c:v>109.41288684</c:v>
                </c:pt>
                <c:pt idx="831">
                  <c:v>68.533233601600017</c:v>
                </c:pt>
                <c:pt idx="832">
                  <c:v>32.654005094399992</c:v>
                </c:pt>
                <c:pt idx="833">
                  <c:v>155.77520131840001</c:v>
                </c:pt>
                <c:pt idx="834">
                  <c:v>455.89682227359998</c:v>
                </c:pt>
                <c:pt idx="835">
                  <c:v>824.01886795999997</c:v>
                </c:pt>
                <c:pt idx="836">
                  <c:v>862.14133837759994</c:v>
                </c:pt>
                <c:pt idx="837">
                  <c:v>598.26423352639995</c:v>
                </c:pt>
                <c:pt idx="838">
                  <c:v>270.3875534064</c:v>
                </c:pt>
                <c:pt idx="839">
                  <c:v>124.51129801760001</c:v>
                </c:pt>
                <c:pt idx="840">
                  <c:v>94.635467360000007</c:v>
                </c:pt>
                <c:pt idx="841">
                  <c:v>105.76006143360001</c:v>
                </c:pt>
                <c:pt idx="842">
                  <c:v>133.88508023839998</c:v>
                </c:pt>
                <c:pt idx="843">
                  <c:v>132.01052377439999</c:v>
                </c:pt>
                <c:pt idx="844">
                  <c:v>92.136392041599976</c:v>
                </c:pt>
                <c:pt idx="845">
                  <c:v>56.26268503999998</c:v>
                </c:pt>
                <c:pt idx="846">
                  <c:v>48.389402769599997</c:v>
                </c:pt>
                <c:pt idx="847">
                  <c:v>43.516545230400027</c:v>
                </c:pt>
                <c:pt idx="848">
                  <c:v>56.644112422399985</c:v>
                </c:pt>
                <c:pt idx="849">
                  <c:v>96.772104345600013</c:v>
                </c:pt>
                <c:pt idx="850">
                  <c:v>106.900521</c:v>
                </c:pt>
                <c:pt idx="851">
                  <c:v>113.0293623856</c:v>
                </c:pt>
                <c:pt idx="852">
                  <c:v>159.15862850239998</c:v>
                </c:pt>
                <c:pt idx="853">
                  <c:v>271.2883193504</c:v>
                </c:pt>
                <c:pt idx="854">
                  <c:v>418.41843492959998</c:v>
                </c:pt>
                <c:pt idx="855">
                  <c:v>455.54897524</c:v>
                </c:pt>
                <c:pt idx="856">
                  <c:v>344.67994028160001</c:v>
                </c:pt>
                <c:pt idx="857">
                  <c:v>233.8113300544</c:v>
                </c:pt>
                <c:pt idx="858">
                  <c:v>142.94314455840001</c:v>
                </c:pt>
                <c:pt idx="859">
                  <c:v>109.07538379359997</c:v>
                </c:pt>
                <c:pt idx="860">
                  <c:v>110.20804776</c:v>
                </c:pt>
                <c:pt idx="861">
                  <c:v>127.34113645759999</c:v>
                </c:pt>
                <c:pt idx="862">
                  <c:v>127.47464988639999</c:v>
                </c:pt>
                <c:pt idx="863">
                  <c:v>114.60858804639997</c:v>
                </c:pt>
                <c:pt idx="864">
                  <c:v>93.742950937599971</c:v>
                </c:pt>
                <c:pt idx="865">
                  <c:v>60.877738559999983</c:v>
                </c:pt>
                <c:pt idx="866">
                  <c:v>29.012950913600008</c:v>
                </c:pt>
                <c:pt idx="867">
                  <c:v>9.1485879983999894</c:v>
                </c:pt>
                <c:pt idx="868">
                  <c:v>53.284649814399984</c:v>
                </c:pt>
                <c:pt idx="869">
                  <c:v>147.42113636159999</c:v>
                </c:pt>
                <c:pt idx="870">
                  <c:v>229.55804763999998</c:v>
                </c:pt>
                <c:pt idx="871">
                  <c:v>245.69538364959996</c:v>
                </c:pt>
                <c:pt idx="872">
                  <c:v>153.83314439039998</c:v>
                </c:pt>
                <c:pt idx="873">
                  <c:v>66.971329862399955</c:v>
                </c:pt>
                <c:pt idx="874">
                  <c:v>29.1099400656</c:v>
                </c:pt>
                <c:pt idx="875">
                  <c:v>25.248975000000002</c:v>
                </c:pt>
                <c:pt idx="876">
                  <c:v>55.388434665599988</c:v>
                </c:pt>
                <c:pt idx="877">
                  <c:v>68.528319062399987</c:v>
                </c:pt>
                <c:pt idx="878">
                  <c:v>56.6686281904</c:v>
                </c:pt>
                <c:pt idx="879">
                  <c:v>32.809362049599969</c:v>
                </c:pt>
                <c:pt idx="880">
                  <c:v>28.950520639999979</c:v>
                </c:pt>
                <c:pt idx="881">
                  <c:v>45.092103961599975</c:v>
                </c:pt>
                <c:pt idx="882">
                  <c:v>63.234112014399983</c:v>
                </c:pt>
                <c:pt idx="883">
                  <c:v>46.376544798400005</c:v>
                </c:pt>
                <c:pt idx="884">
                  <c:v>22.519402313600011</c:v>
                </c:pt>
                <c:pt idx="885">
                  <c:v>19.662684560000002</c:v>
                </c:pt>
                <c:pt idx="886">
                  <c:v>29.806391537600007</c:v>
                </c:pt>
                <c:pt idx="887">
                  <c:v>48.950523246399996</c:v>
                </c:pt>
                <c:pt idx="888">
                  <c:v>34.095079686399998</c:v>
                </c:pt>
                <c:pt idx="889">
                  <c:v>11.240060857599985</c:v>
                </c:pt>
                <c:pt idx="890">
                  <c:v>-13.614533240000014</c:v>
                </c:pt>
                <c:pt idx="891">
                  <c:v>-26.468702606400029</c:v>
                </c:pt>
                <c:pt idx="892">
                  <c:v>-7.3224472416000026</c:v>
                </c:pt>
                <c:pt idx="893">
                  <c:v>3.8242328543999804</c:v>
                </c:pt>
                <c:pt idx="894">
                  <c:v>18.971337681600005</c:v>
                </c:pt>
                <c:pt idx="895">
                  <c:v>11.118867239999986</c:v>
                </c:pt>
                <c:pt idx="896">
                  <c:v>-2.7331784703999915</c:v>
                </c:pt>
                <c:pt idx="897">
                  <c:v>-20.584799449600013</c:v>
                </c:pt>
                <c:pt idx="898">
                  <c:v>5.5640043023999795</c:v>
                </c:pt>
                <c:pt idx="899">
                  <c:v>3.7132327855999847</c:v>
                </c:pt>
                <c:pt idx="900">
                  <c:v>24.862885999999975</c:v>
                </c:pt>
                <c:pt idx="901">
                  <c:v>39.012963945600006</c:v>
                </c:pt>
                <c:pt idx="902">
                  <c:v>58.163466622399994</c:v>
                </c:pt>
                <c:pt idx="903">
                  <c:v>140.3143940304</c:v>
                </c:pt>
                <c:pt idx="904">
                  <c:v>356.46574616960004</c:v>
                </c:pt>
                <c:pt idx="905">
                  <c:v>607.61752303999992</c:v>
                </c:pt>
                <c:pt idx="906">
                  <c:v>676.76972464159996</c:v>
                </c:pt>
                <c:pt idx="907">
                  <c:v>437.92235097439999</c:v>
                </c:pt>
                <c:pt idx="908">
                  <c:v>194.0754020384</c:v>
                </c:pt>
                <c:pt idx="909">
                  <c:v>72.228877833599967</c:v>
                </c:pt>
                <c:pt idx="910">
                  <c:v>85.382778360000003</c:v>
                </c:pt>
                <c:pt idx="911">
                  <c:v>134.5371036176</c:v>
                </c:pt>
                <c:pt idx="912">
                  <c:v>247.6918536064</c:v>
                </c:pt>
                <c:pt idx="913">
                  <c:v>444.84702832639999</c:v>
                </c:pt>
                <c:pt idx="914">
                  <c:v>981.00262777759997</c:v>
                </c:pt>
                <c:pt idx="915">
                  <c:v>3023.15865196</c:v>
                </c:pt>
                <c:pt idx="916">
                  <c:v>8532.3151008736004</c:v>
                </c:pt>
                <c:pt idx="917">
                  <c:v>13635.471974518399</c:v>
                </c:pt>
                <c:pt idx="918">
                  <c:v>13476.629272894401</c:v>
                </c:pt>
                <c:pt idx="919">
                  <c:v>8495.7869960015996</c:v>
                </c:pt>
                <c:pt idx="920">
                  <c:v>4000.9451438400001</c:v>
                </c:pt>
                <c:pt idx="921">
                  <c:v>2303.1037164096001</c:v>
                </c:pt>
                <c:pt idx="922">
                  <c:v>2032.2627137104</c:v>
                </c:pt>
                <c:pt idx="923">
                  <c:v>1566.4221357424001</c:v>
                </c:pt>
                <c:pt idx="924">
                  <c:v>944.58198250559997</c:v>
                </c:pt>
                <c:pt idx="925">
                  <c:v>496.742254</c:v>
                </c:pt>
                <c:pt idx="926">
                  <c:v>304.90295022559997</c:v>
                </c:pt>
                <c:pt idx="927">
                  <c:v>228.06407118239997</c:v>
                </c:pt>
                <c:pt idx="928">
                  <c:v>177.22561687040002</c:v>
                </c:pt>
                <c:pt idx="929">
                  <c:v>157.38758728959999</c:v>
                </c:pt>
                <c:pt idx="930">
                  <c:v>183.54998244000001</c:v>
                </c:pt>
                <c:pt idx="931">
                  <c:v>299.71280232160001</c:v>
                </c:pt>
                <c:pt idx="932">
                  <c:v>409.87604693439999</c:v>
                </c:pt>
                <c:pt idx="933">
                  <c:v>468.03971627839996</c:v>
                </c:pt>
                <c:pt idx="934">
                  <c:v>432.20381035360003</c:v>
                </c:pt>
                <c:pt idx="935">
                  <c:v>384.36832915999997</c:v>
                </c:pt>
                <c:pt idx="936">
                  <c:v>331.53327269759995</c:v>
                </c:pt>
                <c:pt idx="937">
                  <c:v>280.69864096639998</c:v>
                </c:pt>
                <c:pt idx="938">
                  <c:v>246.86443396640001</c:v>
                </c:pt>
                <c:pt idx="939">
                  <c:v>234.03065169760001</c:v>
                </c:pt>
                <c:pt idx="940">
                  <c:v>246.19729415999998</c:v>
                </c:pt>
                <c:pt idx="941">
                  <c:v>270.36436135359997</c:v>
                </c:pt>
                <c:pt idx="942">
                  <c:v>267.53185327839998</c:v>
                </c:pt>
                <c:pt idx="943">
                  <c:v>243.6997699344</c:v>
                </c:pt>
                <c:pt idx="944">
                  <c:v>210.86811132159997</c:v>
                </c:pt>
                <c:pt idx="945">
                  <c:v>170.03687743999998</c:v>
                </c:pt>
                <c:pt idx="946">
                  <c:v>153.20606828959995</c:v>
                </c:pt>
                <c:pt idx="947">
                  <c:v>164.3756838704</c:v>
                </c:pt>
                <c:pt idx="948">
                  <c:v>263.54572418240002</c:v>
                </c:pt>
                <c:pt idx="949">
                  <c:v>441.71618922560003</c:v>
                </c:pt>
                <c:pt idx="950">
                  <c:v>543.88707899999997</c:v>
                </c:pt>
                <c:pt idx="951">
                  <c:v>431.05839350559995</c:v>
                </c:pt>
                <c:pt idx="952">
                  <c:v>247.23013274239997</c:v>
                </c:pt>
                <c:pt idx="953">
                  <c:v>130.40229671039998</c:v>
                </c:pt>
                <c:pt idx="954">
                  <c:v>90.574885409599972</c:v>
                </c:pt>
                <c:pt idx="955">
                  <c:v>81.747898839999976</c:v>
                </c:pt>
                <c:pt idx="956">
                  <c:v>61.921337001599994</c:v>
                </c:pt>
                <c:pt idx="957">
                  <c:v>57.095199894399997</c:v>
                </c:pt>
                <c:pt idx="958">
                  <c:v>66.269487518399984</c:v>
                </c:pt>
                <c:pt idx="959">
                  <c:v>104.44419987359998</c:v>
                </c:pt>
                <c:pt idx="960">
                  <c:v>138.61933695999997</c:v>
                </c:pt>
                <c:pt idx="961">
                  <c:v>170.7948987776</c:v>
                </c:pt>
                <c:pt idx="962">
                  <c:v>173.97088532639998</c:v>
                </c:pt>
                <c:pt idx="963">
                  <c:v>191.14729660639998</c:v>
                </c:pt>
                <c:pt idx="964">
                  <c:v>198.32413261759996</c:v>
                </c:pt>
                <c:pt idx="965">
                  <c:v>194.50139336000001</c:v>
                </c:pt>
                <c:pt idx="966">
                  <c:v>174.67907883359999</c:v>
                </c:pt>
                <c:pt idx="967">
                  <c:v>155.85718903840001</c:v>
                </c:pt>
                <c:pt idx="968">
                  <c:v>143.03572397439999</c:v>
                </c:pt>
                <c:pt idx="969">
                  <c:v>134.2146836416</c:v>
                </c:pt>
                <c:pt idx="970">
                  <c:v>118.39406803999998</c:v>
                </c:pt>
                <c:pt idx="971">
                  <c:v>132.5738771696</c:v>
                </c:pt>
                <c:pt idx="972">
                  <c:v>142.75411103039997</c:v>
                </c:pt>
                <c:pt idx="973">
                  <c:v>181.93476962239998</c:v>
                </c:pt>
                <c:pt idx="974">
                  <c:v>218.11585294559998</c:v>
                </c:pt>
                <c:pt idx="975">
                  <c:v>199.297361</c:v>
                </c:pt>
                <c:pt idx="976">
                  <c:v>210.47929378559999</c:v>
                </c:pt>
                <c:pt idx="977">
                  <c:v>196.6616513024</c:v>
                </c:pt>
                <c:pt idx="978">
                  <c:v>193.84443355039997</c:v>
                </c:pt>
                <c:pt idx="979">
                  <c:v>196.02764052960001</c:v>
                </c:pt>
                <c:pt idx="980">
                  <c:v>251.21127223999997</c:v>
                </c:pt>
                <c:pt idx="981">
                  <c:v>353.39532868159995</c:v>
                </c:pt>
                <c:pt idx="982">
                  <c:v>473.57980985439997</c:v>
                </c:pt>
                <c:pt idx="983">
                  <c:v>684.76471575840003</c:v>
                </c:pt>
                <c:pt idx="984">
                  <c:v>1140.9500463935999</c:v>
                </c:pt>
                <c:pt idx="985">
                  <c:v>2054.13580176</c:v>
                </c:pt>
                <c:pt idx="986">
                  <c:v>4120.3219818575999</c:v>
                </c:pt>
                <c:pt idx="987">
                  <c:v>11063.508586686399</c:v>
                </c:pt>
                <c:pt idx="988">
                  <c:v>30623.695616246401</c:v>
                </c:pt>
                <c:pt idx="989">
                  <c:v>32294.883070537599</c:v>
                </c:pt>
                <c:pt idx="990">
                  <c:v>32594.070949559999</c:v>
                </c:pt>
                <c:pt idx="991">
                  <c:v>31849.259253313601</c:v>
                </c:pt>
                <c:pt idx="992">
                  <c:v>22716.447981798399</c:v>
                </c:pt>
                <c:pt idx="993">
                  <c:v>8279.6371350144</c:v>
                </c:pt>
                <c:pt idx="994">
                  <c:v>3793.8267129616002</c:v>
                </c:pt>
                <c:pt idx="995">
                  <c:v>2592.0167156399998</c:v>
                </c:pt>
                <c:pt idx="996">
                  <c:v>2068.2071430495998</c:v>
                </c:pt>
                <c:pt idx="997">
                  <c:v>1880.3979951904</c:v>
                </c:pt>
                <c:pt idx="998">
                  <c:v>1445.5892720623999</c:v>
                </c:pt>
                <c:pt idx="999">
                  <c:v>895.78097366559996</c:v>
                </c:pt>
                <c:pt idx="1000">
                  <c:v>515.97309999999993</c:v>
                </c:pt>
                <c:pt idx="1001">
                  <c:v>352.16565106559995</c:v>
                </c:pt>
                <c:pt idx="1002">
                  <c:v>312.3586268624</c:v>
                </c:pt>
                <c:pt idx="1003">
                  <c:v>311.55202739039999</c:v>
                </c:pt>
                <c:pt idx="1004">
                  <c:v>304.74585264960001</c:v>
                </c:pt>
                <c:pt idx="1005">
                  <c:v>291.94010263999996</c:v>
                </c:pt>
                <c:pt idx="1006">
                  <c:v>268.13477736159996</c:v>
                </c:pt>
                <c:pt idx="1007">
                  <c:v>293.3298768144</c:v>
                </c:pt>
                <c:pt idx="1008">
                  <c:v>384.52540099839996</c:v>
                </c:pt>
                <c:pt idx="1009">
                  <c:v>478.72134991359997</c:v>
                </c:pt>
                <c:pt idx="1010">
                  <c:v>412.91772356000001</c:v>
                </c:pt>
                <c:pt idx="1011">
                  <c:v>355.11452193759999</c:v>
                </c:pt>
                <c:pt idx="1012">
                  <c:v>304.31174504640001</c:v>
                </c:pt>
                <c:pt idx="1013">
                  <c:v>283.50939288640001</c:v>
                </c:pt>
                <c:pt idx="1014">
                  <c:v>223.70746545759999</c:v>
                </c:pt>
                <c:pt idx="1015">
                  <c:v>149.90596275999999</c:v>
                </c:pt>
                <c:pt idx="1016">
                  <c:v>135.10488479359998</c:v>
                </c:pt>
                <c:pt idx="1017">
                  <c:v>163.30423155840001</c:v>
                </c:pt>
                <c:pt idx="1018">
                  <c:v>161.50400305439999</c:v>
                </c:pt>
                <c:pt idx="1019">
                  <c:v>125.70419928159998</c:v>
                </c:pt>
                <c:pt idx="1020">
                  <c:v>119.90482023999999</c:v>
                </c:pt>
                <c:pt idx="1021">
                  <c:v>113.10586592960001</c:v>
                </c:pt>
                <c:pt idx="1022">
                  <c:v>116.30733635039999</c:v>
                </c:pt>
                <c:pt idx="1023">
                  <c:v>120.50923150240001</c:v>
                </c:pt>
                <c:pt idx="1024">
                  <c:v>143.71155138559999</c:v>
                </c:pt>
                <c:pt idx="1025">
                  <c:v>161.91429599999998</c:v>
                </c:pt>
                <c:pt idx="1026">
                  <c:v>147.11746534559998</c:v>
                </c:pt>
                <c:pt idx="1027">
                  <c:v>150.32105942239997</c:v>
                </c:pt>
                <c:pt idx="1028">
                  <c:v>120.52507823039997</c:v>
                </c:pt>
                <c:pt idx="1029">
                  <c:v>116.72952176959998</c:v>
                </c:pt>
                <c:pt idx="1030">
                  <c:v>119.93439004000001</c:v>
                </c:pt>
                <c:pt idx="1031">
                  <c:v>217.13968304159999</c:v>
                </c:pt>
                <c:pt idx="1032">
                  <c:v>331.34540077439999</c:v>
                </c:pt>
                <c:pt idx="1033">
                  <c:v>467.55154323839997</c:v>
                </c:pt>
                <c:pt idx="1034">
                  <c:v>777.7581104336</c:v>
                </c:pt>
                <c:pt idx="1035">
                  <c:v>1532.9651023599999</c:v>
                </c:pt>
                <c:pt idx="1036">
                  <c:v>3446.1725190175998</c:v>
                </c:pt>
                <c:pt idx="1037">
                  <c:v>8939.3803604063996</c:v>
                </c:pt>
                <c:pt idx="1038">
                  <c:v>26706.588626526402</c:v>
                </c:pt>
                <c:pt idx="1039">
                  <c:v>31799.797317377601</c:v>
                </c:pt>
                <c:pt idx="1040">
                  <c:v>32029.006432959999</c:v>
                </c:pt>
                <c:pt idx="1041">
                  <c:v>31592.2159732736</c:v>
                </c:pt>
                <c:pt idx="1042">
                  <c:v>19523.4259383184</c:v>
                </c:pt>
                <c:pt idx="1043">
                  <c:v>6884.6363280943997</c:v>
                </c:pt>
                <c:pt idx="1044">
                  <c:v>2566.8471426015999</c:v>
                </c:pt>
                <c:pt idx="1045">
                  <c:v>1326.05838184</c:v>
                </c:pt>
                <c:pt idx="1046">
                  <c:v>855.27004580959999</c:v>
                </c:pt>
                <c:pt idx="1047">
                  <c:v>579.48213451039999</c:v>
                </c:pt>
                <c:pt idx="1048">
                  <c:v>406.69464794240002</c:v>
                </c:pt>
                <c:pt idx="1049">
                  <c:v>290.90758610559999</c:v>
                </c:pt>
                <c:pt idx="1050">
                  <c:v>238.120949</c:v>
                </c:pt>
                <c:pt idx="1051">
                  <c:v>241.33473662559999</c:v>
                </c:pt>
                <c:pt idx="1052">
                  <c:v>247.54894898239999</c:v>
                </c:pt>
                <c:pt idx="1053">
                  <c:v>211.76358607039998</c:v>
                </c:pt>
                <c:pt idx="1054">
                  <c:v>182.97864788959998</c:v>
                </c:pt>
                <c:pt idx="1055">
                  <c:v>173.19413443999997</c:v>
                </c:pt>
                <c:pt idx="1056">
                  <c:v>178.4100457216</c:v>
                </c:pt>
                <c:pt idx="1057">
                  <c:v>154.62638173439998</c:v>
                </c:pt>
                <c:pt idx="1058">
                  <c:v>157.84314247840001</c:v>
                </c:pt>
                <c:pt idx="1059">
                  <c:v>167.06032795359999</c:v>
                </c:pt>
                <c:pt idx="1060">
                  <c:v>171.27793815999999</c:v>
                </c:pt>
                <c:pt idx="1061">
                  <c:v>174.49597309759997</c:v>
                </c:pt>
                <c:pt idx="1062">
                  <c:v>202.71443276639999</c:v>
                </c:pt>
                <c:pt idx="1063">
                  <c:v>283.9333171664</c:v>
                </c:pt>
                <c:pt idx="1064">
                  <c:v>406.15262629760002</c:v>
                </c:pt>
                <c:pt idx="1065">
                  <c:v>605.37236015999997</c:v>
                </c:pt>
                <c:pt idx="1066">
                  <c:v>1143.5925187536</c:v>
                </c:pt>
                <c:pt idx="1067">
                  <c:v>2664.8131020783999</c:v>
                </c:pt>
                <c:pt idx="1068">
                  <c:v>4941.0341101344002</c:v>
                </c:pt>
                <c:pt idx="1069">
                  <c:v>9988.2555429216009</c:v>
                </c:pt>
                <c:pt idx="1070">
                  <c:v>26311.477400439999</c:v>
                </c:pt>
                <c:pt idx="1071">
                  <c:v>31602.699682689599</c:v>
                </c:pt>
                <c:pt idx="1072">
                  <c:v>31587.922389670399</c:v>
                </c:pt>
                <c:pt idx="1073">
                  <c:v>27785.145521382401</c:v>
                </c:pt>
                <c:pt idx="1074">
                  <c:v>12924.3690778256</c:v>
                </c:pt>
                <c:pt idx="1075">
                  <c:v>4651.5930589999998</c:v>
                </c:pt>
                <c:pt idx="1076">
                  <c:v>1829.8174649056</c:v>
                </c:pt>
                <c:pt idx="1077">
                  <c:v>941.04229554239998</c:v>
                </c:pt>
                <c:pt idx="1078">
                  <c:v>642.26755091040002</c:v>
                </c:pt>
                <c:pt idx="1079">
                  <c:v>460.49323100959998</c:v>
                </c:pt>
                <c:pt idx="1080">
                  <c:v>390.71933583999999</c:v>
                </c:pt>
                <c:pt idx="1081">
                  <c:v>289.94586540159997</c:v>
                </c:pt>
                <c:pt idx="1082">
                  <c:v>231.17281969439998</c:v>
                </c:pt>
                <c:pt idx="1083">
                  <c:v>202.40019871839996</c:v>
                </c:pt>
                <c:pt idx="1084">
                  <c:v>202.62800247360002</c:v>
                </c:pt>
                <c:pt idx="1085">
                  <c:v>206.85623096</c:v>
                </c:pt>
                <c:pt idx="1086">
                  <c:v>216.0848841776</c:v>
                </c:pt>
                <c:pt idx="1087">
                  <c:v>181.31396212639999</c:v>
                </c:pt>
                <c:pt idx="1088">
                  <c:v>158.54346480640001</c:v>
                </c:pt>
                <c:pt idx="1089">
                  <c:v>182.77339221759999</c:v>
                </c:pt>
                <c:pt idx="1090">
                  <c:v>285.00374435999998</c:v>
                </c:pt>
                <c:pt idx="1091">
                  <c:v>588.23452123359993</c:v>
                </c:pt>
                <c:pt idx="1092">
                  <c:v>1121.4657228383999</c:v>
                </c:pt>
                <c:pt idx="1093">
                  <c:v>1560.6973491744</c:v>
                </c:pt>
                <c:pt idx="1094">
                  <c:v>1727.9294002416</c:v>
                </c:pt>
                <c:pt idx="1095">
                  <c:v>2456.1618760400002</c:v>
                </c:pt>
                <c:pt idx="1096">
                  <c:v>6819.3947765696003</c:v>
                </c:pt>
                <c:pt idx="1097">
                  <c:v>16621.6281018304</c:v>
                </c:pt>
                <c:pt idx="1098">
                  <c:v>22350.861851822399</c:v>
                </c:pt>
                <c:pt idx="1099">
                  <c:v>18074.096026545601</c:v>
                </c:pt>
                <c:pt idx="1100">
                  <c:v>9190.3306260000008</c:v>
                </c:pt>
                <c:pt idx="1101">
                  <c:v>3494.5656501856001</c:v>
                </c:pt>
                <c:pt idx="1102">
                  <c:v>1401.8010991024</c:v>
                </c:pt>
                <c:pt idx="1103">
                  <c:v>634.03697275039997</c:v>
                </c:pt>
                <c:pt idx="1104">
                  <c:v>492.2732711296</c:v>
                </c:pt>
                <c:pt idx="1105">
                  <c:v>543.50999423999997</c:v>
                </c:pt>
                <c:pt idx="1106">
                  <c:v>526.74714208160003</c:v>
                </c:pt>
                <c:pt idx="1107">
                  <c:v>395.98471465440002</c:v>
                </c:pt>
                <c:pt idx="1108">
                  <c:v>257.2227119584</c:v>
                </c:pt>
                <c:pt idx="1109">
                  <c:v>169.46113399360001</c:v>
                </c:pt>
                <c:pt idx="1110">
                  <c:v>110.69998076000002</c:v>
                </c:pt>
                <c:pt idx="1111">
                  <c:v>98.939252257600003</c:v>
                </c:pt>
                <c:pt idx="1112">
                  <c:v>74.178948486399975</c:v>
                </c:pt>
                <c:pt idx="1113">
                  <c:v>86.419069446399988</c:v>
                </c:pt>
                <c:pt idx="1114">
                  <c:v>104.65961513759999</c:v>
                </c:pt>
                <c:pt idx="1115">
                  <c:v>101.90058555999997</c:v>
                </c:pt>
                <c:pt idx="1116">
                  <c:v>69.141980713599992</c:v>
                </c:pt>
                <c:pt idx="1117">
                  <c:v>57.383800598400001</c:v>
                </c:pt>
                <c:pt idx="1118">
                  <c:v>55.626045214399937</c:v>
                </c:pt>
                <c:pt idx="1119">
                  <c:v>143.86871456159997</c:v>
                </c:pt>
                <c:pt idx="1120">
                  <c:v>458.11180863999994</c:v>
                </c:pt>
                <c:pt idx="1121">
                  <c:v>823.35532744960005</c:v>
                </c:pt>
                <c:pt idx="1122">
                  <c:v>850.59927099039987</c:v>
                </c:pt>
                <c:pt idx="1123">
                  <c:v>506.84363926239996</c:v>
                </c:pt>
                <c:pt idx="1124">
                  <c:v>223.08843226559992</c:v>
                </c:pt>
                <c:pt idx="1125">
                  <c:v>98.333650000000034</c:v>
                </c:pt>
                <c:pt idx="1126">
                  <c:v>57.57929246560002</c:v>
                </c:pt>
                <c:pt idx="1127">
                  <c:v>30.82535966239999</c:v>
                </c:pt>
                <c:pt idx="1128">
                  <c:v>7.0718515904000014</c:v>
                </c:pt>
                <c:pt idx="1129">
                  <c:v>8.3187682495999979</c:v>
                </c:pt>
                <c:pt idx="1130">
                  <c:v>43.566109639999979</c:v>
                </c:pt>
                <c:pt idx="1131">
                  <c:v>79.813875761600002</c:v>
                </c:pt>
                <c:pt idx="1132">
                  <c:v>70.062066614399953</c:v>
                </c:pt>
                <c:pt idx="1133">
                  <c:v>46.310682198400002</c:v>
                </c:pt>
                <c:pt idx="1134">
                  <c:v>18.559722513599979</c:v>
                </c:pt>
                <c:pt idx="1135">
                  <c:v>20.809187559999998</c:v>
                </c:pt>
                <c:pt idx="1136">
                  <c:v>6.0590773375999447</c:v>
                </c:pt>
                <c:pt idx="1137">
                  <c:v>15.30939184639999</c:v>
                </c:pt>
                <c:pt idx="1138">
                  <c:v>23.560131086399963</c:v>
                </c:pt>
                <c:pt idx="1139">
                  <c:v>21.811295057599978</c:v>
                </c:pt>
                <c:pt idx="1140">
                  <c:v>-5.937116240000023</c:v>
                </c:pt>
                <c:pt idx="1141">
                  <c:v>-7.6851028064000388</c:v>
                </c:pt>
                <c:pt idx="1142">
                  <c:v>-3.4326646416000699</c:v>
                </c:pt>
                <c:pt idx="1143">
                  <c:v>-6.1798017456000025</c:v>
                </c:pt>
                <c:pt idx="1144">
                  <c:v>17.073485881599993</c:v>
                </c:pt>
                <c:pt idx="1145">
                  <c:v>34.32719824000003</c:v>
                </c:pt>
                <c:pt idx="1146">
                  <c:v>53.581335329599995</c:v>
                </c:pt>
                <c:pt idx="1147">
                  <c:v>144.8358971504</c:v>
                </c:pt>
                <c:pt idx="1148">
                  <c:v>392.09088370239999</c:v>
                </c:pt>
                <c:pt idx="1149">
                  <c:v>600.34629498560003</c:v>
                </c:pt>
                <c:pt idx="1150">
                  <c:v>530.60213099999999</c:v>
                </c:pt>
                <c:pt idx="1151">
                  <c:v>288.85839174559999</c:v>
                </c:pt>
                <c:pt idx="1152">
                  <c:v>140.11507722239998</c:v>
                </c:pt>
                <c:pt idx="1153">
                  <c:v>90.372187430400004</c:v>
                </c:pt>
                <c:pt idx="1154">
                  <c:v>82.629722369599961</c:v>
                </c:pt>
                <c:pt idx="1155">
                  <c:v>148.88768203999996</c:v>
                </c:pt>
                <c:pt idx="1156">
                  <c:v>467.14606644159994</c:v>
                </c:pt>
                <c:pt idx="1157">
                  <c:v>1109.4048755744</c:v>
                </c:pt>
                <c:pt idx="1158">
                  <c:v>1423.6641094383999</c:v>
                </c:pt>
                <c:pt idx="1159">
                  <c:v>1059.9237680336</c:v>
                </c:pt>
                <c:pt idx="1160">
                  <c:v>501.18385135999995</c:v>
                </c:pt>
                <c:pt idx="1161">
                  <c:v>191.44435941759997</c:v>
                </c:pt>
                <c:pt idx="1162">
                  <c:v>76.705292206400031</c:v>
                </c:pt>
                <c:pt idx="1163">
                  <c:v>21.966649726400021</c:v>
                </c:pt>
                <c:pt idx="1164">
                  <c:v>22.228431977599996</c:v>
                </c:pt>
                <c:pt idx="1165">
                  <c:v>47.490638960000013</c:v>
                </c:pt>
                <c:pt idx="1166">
                  <c:v>97.753270673600014</c:v>
                </c:pt>
                <c:pt idx="1167">
                  <c:v>103.0163271184</c:v>
                </c:pt>
                <c:pt idx="1168">
                  <c:v>69.27980829439997</c:v>
                </c:pt>
                <c:pt idx="1169">
                  <c:v>53.543714201599983</c:v>
                </c:pt>
                <c:pt idx="1170">
                  <c:v>86.80804483999998</c:v>
                </c:pt>
                <c:pt idx="1171">
                  <c:v>146.07280020960002</c:v>
                </c:pt>
                <c:pt idx="1172">
                  <c:v>156.33798031039998</c:v>
                </c:pt>
                <c:pt idx="1173">
                  <c:v>138.60358514239999</c:v>
                </c:pt>
                <c:pt idx="1174">
                  <c:v>143.86961470559999</c:v>
                </c:pt>
                <c:pt idx="1175">
                  <c:v>175.13606899999996</c:v>
                </c:pt>
                <c:pt idx="1176">
                  <c:v>172.40294802559998</c:v>
                </c:pt>
                <c:pt idx="1177">
                  <c:v>120.67025178239999</c:v>
                </c:pt>
                <c:pt idx="1178">
                  <c:v>62.937980270399976</c:v>
                </c:pt>
                <c:pt idx="1179">
                  <c:v>78.206133489599949</c:v>
                </c:pt>
                <c:pt idx="1180">
                  <c:v>91.474711440000021</c:v>
                </c:pt>
                <c:pt idx="1181">
                  <c:v>86.743714121600021</c:v>
                </c:pt>
                <c:pt idx="1182">
                  <c:v>59.013141534400006</c:v>
                </c:pt>
                <c:pt idx="1183">
                  <c:v>34.282993678399976</c:v>
                </c:pt>
                <c:pt idx="1184">
                  <c:v>29.553270553600044</c:v>
                </c:pt>
                <c:pt idx="1185">
                  <c:v>29.823972160000039</c:v>
                </c:pt>
                <c:pt idx="1186">
                  <c:v>39.09509849760002</c:v>
                </c:pt>
                <c:pt idx="1187">
                  <c:v>39.366649566399985</c:v>
                </c:pt>
                <c:pt idx="1188">
                  <c:v>32.638625366399992</c:v>
                </c:pt>
                <c:pt idx="1189">
                  <c:v>32.911025897599984</c:v>
                </c:pt>
                <c:pt idx="1190">
                  <c:v>28.183851159999961</c:v>
                </c:pt>
                <c:pt idx="1191">
                  <c:v>44.457101153599979</c:v>
                </c:pt>
                <c:pt idx="1192">
                  <c:v>115.73077587839998</c:v>
                </c:pt>
                <c:pt idx="1193">
                  <c:v>193.00487533439997</c:v>
                </c:pt>
                <c:pt idx="1194">
                  <c:v>198.27939952159994</c:v>
                </c:pt>
                <c:pt idx="1195">
                  <c:v>125.55434843999996</c:v>
                </c:pt>
                <c:pt idx="1196">
                  <c:v>84.829722089599954</c:v>
                </c:pt>
                <c:pt idx="1197">
                  <c:v>67.105520470399995</c:v>
                </c:pt>
                <c:pt idx="1198">
                  <c:v>53.38174358240002</c:v>
                </c:pt>
                <c:pt idx="1199">
                  <c:v>33.658391425599973</c:v>
                </c:pt>
                <c:pt idx="1200">
                  <c:v>42.935463999999968</c:v>
                </c:pt>
                <c:pt idx="1201">
                  <c:v>126.2129613056</c:v>
                </c:pt>
                <c:pt idx="1202">
                  <c:v>250.49088334240002</c:v>
                </c:pt>
                <c:pt idx="1203">
                  <c:v>302.76923011039997</c:v>
                </c:pt>
                <c:pt idx="1204">
                  <c:v>252.04800160959996</c:v>
                </c:pt>
                <c:pt idx="1205">
                  <c:v>200.32719784</c:v>
                </c:pt>
                <c:pt idx="1206">
                  <c:v>180.60681880160001</c:v>
                </c:pt>
                <c:pt idx="1207">
                  <c:v>202.88686449439996</c:v>
                </c:pt>
                <c:pt idx="1208">
                  <c:v>177.16733491839994</c:v>
                </c:pt>
                <c:pt idx="1209">
                  <c:v>146.44823007359997</c:v>
                </c:pt>
                <c:pt idx="1210">
                  <c:v>131.72954995999999</c:v>
                </c:pt>
                <c:pt idx="1211">
                  <c:v>186.01129457759998</c:v>
                </c:pt>
                <c:pt idx="1212">
                  <c:v>392.29346392639997</c:v>
                </c:pt>
                <c:pt idx="1213">
                  <c:v>1000.5760580064</c:v>
                </c:pt>
                <c:pt idx="1214">
                  <c:v>3479.8590768176</c:v>
                </c:pt>
                <c:pt idx="1215">
                  <c:v>8560.1425203599993</c:v>
                </c:pt>
                <c:pt idx="1216">
                  <c:v>11355.426388633599</c:v>
                </c:pt>
                <c:pt idx="1217">
                  <c:v>8761.7106816384003</c:v>
                </c:pt>
                <c:pt idx="1218">
                  <c:v>4456.9953993744002</c:v>
                </c:pt>
                <c:pt idx="1219">
                  <c:v>2082.2805418416001</c:v>
                </c:pt>
                <c:pt idx="1220">
                  <c:v>1775.5661090399999</c:v>
                </c:pt>
                <c:pt idx="1221">
                  <c:v>2565.8521009696001</c:v>
                </c:pt>
                <c:pt idx="1222">
                  <c:v>3077.1385176304002</c:v>
                </c:pt>
                <c:pt idx="1223">
                  <c:v>2423.4253590223998</c:v>
                </c:pt>
                <c:pt idx="1224">
                  <c:v>1284.7126251456</c:v>
                </c:pt>
                <c:pt idx="1225">
                  <c:v>639.000316</c:v>
                </c:pt>
                <c:pt idx="1226">
                  <c:v>407.28843158559999</c:v>
                </c:pt>
                <c:pt idx="1227">
                  <c:v>305.57697190239998</c:v>
                </c:pt>
                <c:pt idx="1228">
                  <c:v>246.86593695039994</c:v>
                </c:pt>
                <c:pt idx="1229">
                  <c:v>213.15532672960001</c:v>
                </c:pt>
                <c:pt idx="1230">
                  <c:v>179.44514124</c:v>
                </c:pt>
                <c:pt idx="1231">
                  <c:v>158.73538048159998</c:v>
                </c:pt>
                <c:pt idx="1232">
                  <c:v>148.02604445439994</c:v>
                </c:pt>
                <c:pt idx="1233">
                  <c:v>138.3171331584</c:v>
                </c:pt>
                <c:pt idx="1234">
                  <c:v>135.60864659359999</c:v>
                </c:pt>
                <c:pt idx="1235">
                  <c:v>135.90058476000002</c:v>
                </c:pt>
                <c:pt idx="1236">
                  <c:v>145.19294765759997</c:v>
                </c:pt>
                <c:pt idx="1237">
                  <c:v>133.48573528640003</c:v>
                </c:pt>
                <c:pt idx="1238">
                  <c:v>115.77894764640001</c:v>
                </c:pt>
                <c:pt idx="1239">
                  <c:v>84.072584737599982</c:v>
                </c:pt>
                <c:pt idx="1240">
                  <c:v>52.366646559999992</c:v>
                </c:pt>
                <c:pt idx="1241">
                  <c:v>50.661133113600044</c:v>
                </c:pt>
                <c:pt idx="1242">
                  <c:v>50.956044398400024</c:v>
                </c:pt>
                <c:pt idx="1243">
                  <c:v>31.251380414399989</c:v>
                </c:pt>
                <c:pt idx="1244">
                  <c:v>46.547141161599939</c:v>
                </c:pt>
                <c:pt idx="1245">
                  <c:v>37.843326639999987</c:v>
                </c:pt>
                <c:pt idx="1246">
                  <c:v>34.139936849599962</c:v>
                </c:pt>
                <c:pt idx="1247">
                  <c:v>29.43697179039998</c:v>
                </c:pt>
                <c:pt idx="1248">
                  <c:v>24.734431462399925</c:v>
                </c:pt>
                <c:pt idx="1249">
                  <c:v>30.032315865599969</c:v>
                </c:pt>
                <c:pt idx="1250">
                  <c:v>50.330624999999998</c:v>
                </c:pt>
                <c:pt idx="1251">
                  <c:v>51.629358865599954</c:v>
                </c:pt>
                <c:pt idx="1252">
                  <c:v>63.928517462399952</c:v>
                </c:pt>
                <c:pt idx="1253">
                  <c:v>76.228100790400049</c:v>
                </c:pt>
                <c:pt idx="1254">
                  <c:v>101.52810884960002</c:v>
                </c:pt>
                <c:pt idx="1255">
                  <c:v>106.82854164000003</c:v>
                </c:pt>
                <c:pt idx="1256">
                  <c:v>75.129399161599963</c:v>
                </c:pt>
                <c:pt idx="1257">
                  <c:v>35.430681414400055</c:v>
                </c:pt>
                <c:pt idx="1258">
                  <c:v>25.732388398400019</c:v>
                </c:pt>
                <c:pt idx="1259">
                  <c:v>20.034520113599967</c:v>
                </c:pt>
                <c:pt idx="1260">
                  <c:v>32.337076559999957</c:v>
                </c:pt>
                <c:pt idx="1261">
                  <c:v>48.640057737600046</c:v>
                </c:pt>
                <c:pt idx="1262">
                  <c:v>73.943463646400005</c:v>
                </c:pt>
                <c:pt idx="1263">
                  <c:v>99.247294286399949</c:v>
                </c:pt>
                <c:pt idx="1264">
                  <c:v>101.55154965759994</c:v>
                </c:pt>
                <c:pt idx="1265">
                  <c:v>96.856229760000019</c:v>
                </c:pt>
                <c:pt idx="1266">
                  <c:v>98.161334593599975</c:v>
                </c:pt>
                <c:pt idx="1267">
                  <c:v>89.466864158399972</c:v>
                </c:pt>
                <c:pt idx="1268">
                  <c:v>90.772818454399953</c:v>
                </c:pt>
                <c:pt idx="1269">
                  <c:v>80.079197481599977</c:v>
                </c:pt>
                <c:pt idx="1270">
                  <c:v>79.386001239999985</c:v>
                </c:pt>
                <c:pt idx="1271">
                  <c:v>84.693229729600034</c:v>
                </c:pt>
                <c:pt idx="1272">
                  <c:v>85.000882950400012</c:v>
                </c:pt>
                <c:pt idx="1273">
                  <c:v>92.308960902400031</c:v>
                </c:pt>
                <c:pt idx="1274">
                  <c:v>107.61746358560004</c:v>
                </c:pt>
                <c:pt idx="1275">
                  <c:v>115.92639100000002</c:v>
                </c:pt>
                <c:pt idx="1276">
                  <c:v>110.2357431456</c:v>
                </c:pt>
                <c:pt idx="1277">
                  <c:v>104.54552002240001</c:v>
                </c:pt>
                <c:pt idx="1278">
                  <c:v>102.85572163040001</c:v>
                </c:pt>
                <c:pt idx="1279">
                  <c:v>108.1663479696</c:v>
                </c:pt>
                <c:pt idx="1280">
                  <c:v>113.47739903999997</c:v>
                </c:pt>
                <c:pt idx="1281">
                  <c:v>135.78887484159992</c:v>
                </c:pt>
                <c:pt idx="1282">
                  <c:v>139.10077537439997</c:v>
                </c:pt>
                <c:pt idx="1283">
                  <c:v>167.41310063839995</c:v>
                </c:pt>
                <c:pt idx="1284">
                  <c:v>204.72585063359998</c:v>
                </c:pt>
                <c:pt idx="1285">
                  <c:v>206.03902535999993</c:v>
                </c:pt>
                <c:pt idx="1286">
                  <c:v>158.35262481759997</c:v>
                </c:pt>
                <c:pt idx="1287">
                  <c:v>110.66664900639995</c:v>
                </c:pt>
                <c:pt idx="1288">
                  <c:v>88.981097926399968</c:v>
                </c:pt>
                <c:pt idx="1289">
                  <c:v>99.295971577599914</c:v>
                </c:pt>
                <c:pt idx="1290">
                  <c:v>89.611269960000016</c:v>
                </c:pt>
                <c:pt idx="1291">
                  <c:v>82.926993073599988</c:v>
                </c:pt>
                <c:pt idx="1292">
                  <c:v>92.243140918400002</c:v>
                </c:pt>
                <c:pt idx="1293">
                  <c:v>82.559713494399944</c:v>
                </c:pt>
                <c:pt idx="1294">
                  <c:v>79.876710801600041</c:v>
                </c:pt>
                <c:pt idx="1295">
                  <c:v>63.194132840000009</c:v>
                </c:pt>
                <c:pt idx="1296">
                  <c:v>71.511979609599962</c:v>
                </c:pt>
                <c:pt idx="1297">
                  <c:v>88.830251110399956</c:v>
                </c:pt>
                <c:pt idx="1298">
                  <c:v>75.148947342399993</c:v>
                </c:pt>
                <c:pt idx="1299">
                  <c:v>63.468068305600013</c:v>
                </c:pt>
                <c:pt idx="1300">
                  <c:v>79.787613999999962</c:v>
                </c:pt>
                <c:pt idx="1301">
                  <c:v>74.107584425599953</c:v>
                </c:pt>
                <c:pt idx="1302">
                  <c:v>77.427979582399985</c:v>
                </c:pt>
                <c:pt idx="1303">
                  <c:v>75.748799470400002</c:v>
                </c:pt>
                <c:pt idx="1304">
                  <c:v>85.070044089599946</c:v>
                </c:pt>
                <c:pt idx="1305">
                  <c:v>157.39171343999993</c:v>
                </c:pt>
                <c:pt idx="1306">
                  <c:v>441.71380752159996</c:v>
                </c:pt>
                <c:pt idx="1307">
                  <c:v>1217.0363263344</c:v>
                </c:pt>
                <c:pt idx="1308">
                  <c:v>1797.3592698784</c:v>
                </c:pt>
                <c:pt idx="1309">
                  <c:v>1526.6826381536</c:v>
                </c:pt>
                <c:pt idx="1310">
                  <c:v>776.00643116000003</c:v>
                </c:pt>
                <c:pt idx="1311">
                  <c:v>311.33064889759999</c:v>
                </c:pt>
                <c:pt idx="1312">
                  <c:v>162.65529136639998</c:v>
                </c:pt>
                <c:pt idx="1313">
                  <c:v>103.98035856639996</c:v>
                </c:pt>
                <c:pt idx="1314">
                  <c:v>94.305850497600034</c:v>
                </c:pt>
                <c:pt idx="1315">
                  <c:v>113.63176715999998</c:v>
                </c:pt>
                <c:pt idx="1316">
                  <c:v>207.95810855359997</c:v>
                </c:pt>
                <c:pt idx="1317">
                  <c:v>449.28487467839994</c:v>
                </c:pt>
                <c:pt idx="1318">
                  <c:v>799.61206553440002</c:v>
                </c:pt>
                <c:pt idx="1319">
                  <c:v>868.93968112159996</c:v>
                </c:pt>
                <c:pt idx="1320">
                  <c:v>576.26772143999995</c:v>
                </c:pt>
                <c:pt idx="1321">
                  <c:v>258.59618648959992</c:v>
                </c:pt>
                <c:pt idx="1322">
                  <c:v>106.92507627039998</c:v>
                </c:pt>
                <c:pt idx="1323">
                  <c:v>88.25439078239998</c:v>
                </c:pt>
                <c:pt idx="1324">
                  <c:v>88.584130025599961</c:v>
                </c:pt>
                <c:pt idx="1325">
                  <c:v>77.914293999999927</c:v>
                </c:pt>
                <c:pt idx="1326">
                  <c:v>97.244882705600048</c:v>
                </c:pt>
                <c:pt idx="1327">
                  <c:v>123.57589614240004</c:v>
                </c:pt>
                <c:pt idx="1328">
                  <c:v>122.90733431040002</c:v>
                </c:pt>
                <c:pt idx="1329">
                  <c:v>95.239197209599979</c:v>
                </c:pt>
                <c:pt idx="1330">
                  <c:v>93.571484840000039</c:v>
                </c:pt>
                <c:pt idx="1331">
                  <c:v>87.904197201600027</c:v>
                </c:pt>
                <c:pt idx="1332">
                  <c:v>73.2373342944</c:v>
                </c:pt>
                <c:pt idx="1333">
                  <c:v>47.570896118399958</c:v>
                </c:pt>
                <c:pt idx="1334">
                  <c:v>57.904882673600014</c:v>
                </c:pt>
                <c:pt idx="1335">
                  <c:v>73.239293959999998</c:v>
                </c:pt>
                <c:pt idx="1336">
                  <c:v>66.574129977599966</c:v>
                </c:pt>
                <c:pt idx="1337">
                  <c:v>35.909390726399977</c:v>
                </c:pt>
                <c:pt idx="1338">
                  <c:v>47.245076206400029</c:v>
                </c:pt>
                <c:pt idx="1339">
                  <c:v>80.581186417600009</c:v>
                </c:pt>
                <c:pt idx="1340">
                  <c:v>76.917721359999973</c:v>
                </c:pt>
                <c:pt idx="1341">
                  <c:v>46.254681033599923</c:v>
                </c:pt>
                <c:pt idx="1342">
                  <c:v>42.59206543839997</c:v>
                </c:pt>
                <c:pt idx="1343">
                  <c:v>75.929874574399946</c:v>
                </c:pt>
                <c:pt idx="1344">
                  <c:v>105.26810844160002</c:v>
                </c:pt>
                <c:pt idx="1345">
                  <c:v>103.60676703999997</c:v>
                </c:pt>
                <c:pt idx="1346">
                  <c:v>200.94585036960001</c:v>
                </c:pt>
                <c:pt idx="1347">
                  <c:v>459.28535843040004</c:v>
                </c:pt>
                <c:pt idx="1348">
                  <c:v>604.62529122239994</c:v>
                </c:pt>
                <c:pt idx="1349">
                  <c:v>460.96564874559999</c:v>
                </c:pt>
                <c:pt idx="1350">
                  <c:v>253.30643100000003</c:v>
                </c:pt>
                <c:pt idx="1351">
                  <c:v>236.6476379856</c:v>
                </c:pt>
                <c:pt idx="1352">
                  <c:v>436.98926970240001</c:v>
                </c:pt>
                <c:pt idx="1353">
                  <c:v>550.33132615039995</c:v>
                </c:pt>
                <c:pt idx="1354">
                  <c:v>403.67380732960004</c:v>
                </c:pt>
                <c:pt idx="1355">
                  <c:v>222.01671324</c:v>
                </c:pt>
                <c:pt idx="1356">
                  <c:v>121.36004388159995</c:v>
                </c:pt>
                <c:pt idx="1357">
                  <c:v>146.70379925439994</c:v>
                </c:pt>
                <c:pt idx="1358">
                  <c:v>363.04797935840003</c:v>
                </c:pt>
                <c:pt idx="1359">
                  <c:v>785.39258419359999</c:v>
                </c:pt>
                <c:pt idx="1360">
                  <c:v>994.73761375999993</c:v>
                </c:pt>
                <c:pt idx="1361">
                  <c:v>754.08306805759992</c:v>
                </c:pt>
                <c:pt idx="1362">
                  <c:v>364.4289470864</c:v>
                </c:pt>
                <c:pt idx="1363">
                  <c:v>149.77525084640001</c:v>
                </c:pt>
                <c:pt idx="1364">
                  <c:v>70.12197933760001</c:v>
                </c:pt>
                <c:pt idx="1365">
                  <c:v>51.469132559999991</c:v>
                </c:pt>
                <c:pt idx="1366">
                  <c:v>57.816710513599958</c:v>
                </c:pt>
                <c:pt idx="1367">
                  <c:v>68.164713198400023</c:v>
                </c:pt>
                <c:pt idx="1368">
                  <c:v>53.513140614400015</c:v>
                </c:pt>
                <c:pt idx="1369">
                  <c:v>38.861992761599993</c:v>
                </c:pt>
                <c:pt idx="1370">
                  <c:v>28.211269639999955</c:v>
                </c:pt>
                <c:pt idx="1371">
                  <c:v>54.560971249600016</c:v>
                </c:pt>
                <c:pt idx="1372">
                  <c:v>78.911097590400004</c:v>
                </c:pt>
                <c:pt idx="1373">
                  <c:v>60.261648662399978</c:v>
                </c:pt>
                <c:pt idx="1374">
                  <c:v>51.612624465599936</c:v>
                </c:pt>
                <c:pt idx="1375">
                  <c:v>93.964024999999992</c:v>
                </c:pt>
                <c:pt idx="1376">
                  <c:v>219.31585026559998</c:v>
                </c:pt>
                <c:pt idx="1377">
                  <c:v>664.6681002624</c:v>
                </c:pt>
                <c:pt idx="1378">
                  <c:v>1959.0207749903998</c:v>
                </c:pt>
                <c:pt idx="1379">
                  <c:v>2834.3738744496</c:v>
                </c:pt>
                <c:pt idx="1380">
                  <c:v>2404.72739864</c:v>
                </c:pt>
                <c:pt idx="1381">
                  <c:v>1192.0813475616001</c:v>
                </c:pt>
                <c:pt idx="1382">
                  <c:v>456.43572121439996</c:v>
                </c:pt>
                <c:pt idx="1383">
                  <c:v>250.79051959840001</c:v>
                </c:pt>
                <c:pt idx="1384">
                  <c:v>196.14574271359999</c:v>
                </c:pt>
                <c:pt idx="1385">
                  <c:v>135.50139056</c:v>
                </c:pt>
                <c:pt idx="1386">
                  <c:v>90.85746313759995</c:v>
                </c:pt>
                <c:pt idx="1387">
                  <c:v>91.213960446399994</c:v>
                </c:pt>
                <c:pt idx="1388">
                  <c:v>233.57088248639997</c:v>
                </c:pt>
                <c:pt idx="1389">
                  <c:v>583.92822925759992</c:v>
                </c:pt>
                <c:pt idx="1390">
                  <c:v>805.28600075999998</c:v>
                </c:pt>
                <c:pt idx="1391">
                  <c:v>696.64419699359996</c:v>
                </c:pt>
                <c:pt idx="1392">
                  <c:v>378.00281795839999</c:v>
                </c:pt>
                <c:pt idx="1393">
                  <c:v>146.36186365439994</c:v>
                </c:pt>
                <c:pt idx="1394">
                  <c:v>65.721334081599935</c:v>
                </c:pt>
                <c:pt idx="1395">
                  <c:v>35.081229239999971</c:v>
                </c:pt>
                <c:pt idx="1396">
                  <c:v>20.441549129599991</c:v>
                </c:pt>
                <c:pt idx="1397">
                  <c:v>5.8022937503999401</c:v>
                </c:pt>
                <c:pt idx="1398">
                  <c:v>-3.8365368976000696</c:v>
                </c:pt>
                <c:pt idx="1399">
                  <c:v>1.5250571856000192</c:v>
                </c:pt>
                <c:pt idx="1400">
                  <c:v>1.8870760000000359</c:v>
                </c:pt>
                <c:pt idx="1401">
                  <c:v>19.249519545599981</c:v>
                </c:pt>
                <c:pt idx="1402">
                  <c:v>27.612387822399967</c:v>
                </c:pt>
                <c:pt idx="1403">
                  <c:v>18.975680830400051</c:v>
                </c:pt>
                <c:pt idx="1404">
                  <c:v>33.339398569600007</c:v>
                </c:pt>
                <c:pt idx="1405">
                  <c:v>21.703541040000005</c:v>
                </c:pt>
                <c:pt idx="1406">
                  <c:v>22.06810824159993</c:v>
                </c:pt>
                <c:pt idx="1407">
                  <c:v>9.4331001744000105</c:v>
                </c:pt>
                <c:pt idx="1408">
                  <c:v>2.7985168383999621</c:v>
                </c:pt>
                <c:pt idx="1409">
                  <c:v>-14.835641766400045</c:v>
                </c:pt>
                <c:pt idx="1410">
                  <c:v>-16.469375640000067</c:v>
                </c:pt>
                <c:pt idx="1411">
                  <c:v>-6.1026847823999901</c:v>
                </c:pt>
                <c:pt idx="1412">
                  <c:v>-3.7355691936000426</c:v>
                </c:pt>
                <c:pt idx="1413">
                  <c:v>9.6319711263999466</c:v>
                </c:pt>
                <c:pt idx="1414">
                  <c:v>3.9999361775999205</c:v>
                </c:pt>
                <c:pt idx="1415">
                  <c:v>9.3683259599999928</c:v>
                </c:pt>
                <c:pt idx="1416">
                  <c:v>-2.2628595264000069</c:v>
                </c:pt>
                <c:pt idx="1417">
                  <c:v>0.10637971839992133</c:v>
                </c:pt>
                <c:pt idx="1418">
                  <c:v>11.476043694400005</c:v>
                </c:pt>
                <c:pt idx="1419">
                  <c:v>21.846132401600016</c:v>
                </c:pt>
                <c:pt idx="1420">
                  <c:v>50.216645840000012</c:v>
                </c:pt>
                <c:pt idx="1421">
                  <c:v>59.587584009599993</c:v>
                </c:pt>
                <c:pt idx="1422">
                  <c:v>42.958946910399959</c:v>
                </c:pt>
                <c:pt idx="1423">
                  <c:v>15.330734542400023</c:v>
                </c:pt>
                <c:pt idx="1424">
                  <c:v>4.7029469056000153</c:v>
                </c:pt>
                <c:pt idx="1425">
                  <c:v>-0.9244160000000079</c:v>
                </c:pt>
                <c:pt idx="1426">
                  <c:v>-2.5513541744000463</c:v>
                </c:pt>
                <c:pt idx="1427">
                  <c:v>3.8221323824000137</c:v>
                </c:pt>
                <c:pt idx="1428">
                  <c:v>15.196043670400002</c:v>
                </c:pt>
                <c:pt idx="1429">
                  <c:v>23.570379689599974</c:v>
                </c:pt>
                <c:pt idx="1430">
                  <c:v>30.945140439999932</c:v>
                </c:pt>
                <c:pt idx="1431">
                  <c:v>9.3203259215999879</c:v>
                </c:pt>
                <c:pt idx="1432">
                  <c:v>-1.3040638656000283</c:v>
                </c:pt>
                <c:pt idx="1433">
                  <c:v>-6.9280289216000597</c:v>
                </c:pt>
                <c:pt idx="1434">
                  <c:v>9.4484307535999505</c:v>
                </c:pt>
                <c:pt idx="1435">
                  <c:v>28.825315160000002</c:v>
                </c:pt>
                <c:pt idx="1436">
                  <c:v>45.202624297600039</c:v>
                </c:pt>
                <c:pt idx="1437">
                  <c:v>30.580358166400003</c:v>
                </c:pt>
                <c:pt idx="1438">
                  <c:v>12.958516766399953</c:v>
                </c:pt>
                <c:pt idx="1439">
                  <c:v>-1.6628999023999427</c:v>
                </c:pt>
                <c:pt idx="1440">
                  <c:v>2.716108160000033</c:v>
                </c:pt>
                <c:pt idx="1441">
                  <c:v>18.095540953599993</c:v>
                </c:pt>
                <c:pt idx="1442">
                  <c:v>28.475398478399939</c:v>
                </c:pt>
                <c:pt idx="1443">
                  <c:v>20.855680734400039</c:v>
                </c:pt>
                <c:pt idx="1444">
                  <c:v>2.2363877216000105</c:v>
                </c:pt>
                <c:pt idx="1445">
                  <c:v>6.6175194399999668</c:v>
                </c:pt>
                <c:pt idx="1446">
                  <c:v>11.999075889599965</c:v>
                </c:pt>
                <c:pt idx="1447">
                  <c:v>21.381057070400004</c:v>
                </c:pt>
                <c:pt idx="1448">
                  <c:v>33.763462982399972</c:v>
                </c:pt>
                <c:pt idx="1449">
                  <c:v>28.146293625599981</c:v>
                </c:pt>
                <c:pt idx="1450">
                  <c:v>12.529548999999918</c:v>
                </c:pt>
                <c:pt idx="1451">
                  <c:v>-14.086770894400104</c:v>
                </c:pt>
                <c:pt idx="1452">
                  <c:v>-13.702666057600027</c:v>
                </c:pt>
                <c:pt idx="1453">
                  <c:v>-13.318136489600022</c:v>
                </c:pt>
                <c:pt idx="1454">
                  <c:v>-5.9331821904000321</c:v>
                </c:pt>
                <c:pt idx="1455">
                  <c:v>1.4521968399999423</c:v>
                </c:pt>
                <c:pt idx="1456">
                  <c:v>13.838000601600015</c:v>
                </c:pt>
                <c:pt idx="1457">
                  <c:v>-2.775770905599984</c:v>
                </c:pt>
                <c:pt idx="1458">
                  <c:v>-18.389117681599998</c:v>
                </c:pt>
                <c:pt idx="1459">
                  <c:v>-20.002039726400028</c:v>
                </c:pt>
                <c:pt idx="1460">
                  <c:v>-7.6145370400000161</c:v>
                </c:pt>
                <c:pt idx="1461">
                  <c:v>-7.2266096224000194</c:v>
                </c:pt>
                <c:pt idx="1462">
                  <c:v>5.1617425263999621</c:v>
                </c:pt>
                <c:pt idx="1463">
                  <c:v>14.550519406399928</c:v>
                </c:pt>
                <c:pt idx="1464">
                  <c:v>-6.0278982400006953E-2</c:v>
                </c:pt>
                <c:pt idx="1465">
                  <c:v>-11.670652640000014</c:v>
                </c:pt>
                <c:pt idx="1466">
                  <c:v>-8.280601566400037</c:v>
                </c:pt>
                <c:pt idx="1467">
                  <c:v>-3.8901257616000748</c:v>
                </c:pt>
                <c:pt idx="1468">
                  <c:v>18.500774774399986</c:v>
                </c:pt>
                <c:pt idx="1469">
                  <c:v>23.892100041599974</c:v>
                </c:pt>
                <c:pt idx="1470">
                  <c:v>23.283850039999948</c:v>
                </c:pt>
                <c:pt idx="1471">
                  <c:v>14.676024769599906</c:v>
                </c:pt>
                <c:pt idx="1472">
                  <c:v>11.068624230399962</c:v>
                </c:pt>
                <c:pt idx="1473">
                  <c:v>2.4616484224000033</c:v>
                </c:pt>
                <c:pt idx="1474">
                  <c:v>-2.1449026544000276</c:v>
                </c:pt>
                <c:pt idx="1475">
                  <c:v>-11.751029000000017</c:v>
                </c:pt>
                <c:pt idx="1476">
                  <c:v>-4.3567306143999645</c:v>
                </c:pt>
                <c:pt idx="1477">
                  <c:v>4.0379925024000158</c:v>
                </c:pt>
                <c:pt idx="1478">
                  <c:v>18.433140350399981</c:v>
                </c:pt>
                <c:pt idx="1479">
                  <c:v>13.828712929599931</c:v>
                </c:pt>
                <c:pt idx="1480">
                  <c:v>16.224710240000036</c:v>
                </c:pt>
                <c:pt idx="1481">
                  <c:v>2.621132281600012</c:v>
                </c:pt>
                <c:pt idx="1482">
                  <c:v>2.0179790543999729</c:v>
                </c:pt>
                <c:pt idx="1483">
                  <c:v>-0.58474944160008135</c:v>
                </c:pt>
                <c:pt idx="1484">
                  <c:v>7.8129467936000196</c:v>
                </c:pt>
                <c:pt idx="1485">
                  <c:v>20.211067759999992</c:v>
                </c:pt>
                <c:pt idx="1486">
                  <c:v>6.6096134575999486</c:v>
                </c:pt>
                <c:pt idx="1487">
                  <c:v>8.583886399947005E-3</c:v>
                </c:pt>
                <c:pt idx="1488">
                  <c:v>-6.5920209536000129</c:v>
                </c:pt>
                <c:pt idx="1489">
                  <c:v>-6.192201062400045</c:v>
                </c:pt>
                <c:pt idx="1490">
                  <c:v>0.2080435599999646</c:v>
                </c:pt>
                <c:pt idx="1491">
                  <c:v>11.608712913599959</c:v>
                </c:pt>
                <c:pt idx="1492">
                  <c:v>26.009806998400052</c:v>
                </c:pt>
                <c:pt idx="1493">
                  <c:v>27.411325814400016</c:v>
                </c:pt>
                <c:pt idx="1494">
                  <c:v>21.813269361599964</c:v>
                </c:pt>
                <c:pt idx="1495">
                  <c:v>4.2156376399999544</c:v>
                </c:pt>
                <c:pt idx="1496">
                  <c:v>14.618430649600043</c:v>
                </c:pt>
                <c:pt idx="1497">
                  <c:v>5.0216483904000029</c:v>
                </c:pt>
                <c:pt idx="1498">
                  <c:v>15.425290862399947</c:v>
                </c:pt>
                <c:pt idx="1499">
                  <c:v>21.829358065599934</c:v>
                </c:pt>
                <c:pt idx="1500">
                  <c:v>19.233850000000018</c:v>
                </c:pt>
                <c:pt idx="1501">
                  <c:v>55.638766665599974</c:v>
                </c:pt>
                <c:pt idx="1502">
                  <c:v>27.044108062399971</c:v>
                </c:pt>
                <c:pt idx="1503">
                  <c:v>25.449874190399953</c:v>
                </c:pt>
                <c:pt idx="1504">
                  <c:v>49.856065049599977</c:v>
                </c:pt>
                <c:pt idx="1505">
                  <c:v>95.262680639999985</c:v>
                </c:pt>
                <c:pt idx="1506">
                  <c:v>127.66972096159998</c:v>
                </c:pt>
                <c:pt idx="1507">
                  <c:v>164.0771860143999</c:v>
                </c:pt>
                <c:pt idx="1508">
                  <c:v>233.48507579839998</c:v>
                </c:pt>
                <c:pt idx="1509">
                  <c:v>590.89339031360009</c:v>
                </c:pt>
                <c:pt idx="1510">
                  <c:v>953.30212955999991</c:v>
                </c:pt>
                <c:pt idx="1511">
                  <c:v>979.7112935376</c:v>
                </c:pt>
                <c:pt idx="1512">
                  <c:v>611.12088224640001</c:v>
                </c:pt>
                <c:pt idx="1513">
                  <c:v>285.53089568640002</c:v>
                </c:pt>
                <c:pt idx="1514">
                  <c:v>119.9413338576</c:v>
                </c:pt>
                <c:pt idx="1515">
                  <c:v>81.35219675999997</c:v>
                </c:pt>
                <c:pt idx="1516">
                  <c:v>58.763484393600038</c:v>
                </c:pt>
                <c:pt idx="1517">
                  <c:v>44.175196758399977</c:v>
                </c:pt>
                <c:pt idx="1518">
                  <c:v>53.587333854399958</c:v>
                </c:pt>
                <c:pt idx="1519">
                  <c:v>65.999895681599924</c:v>
                </c:pt>
                <c:pt idx="1520">
                  <c:v>121.41288223999999</c:v>
                </c:pt>
                <c:pt idx="1521">
                  <c:v>193.82629352959998</c:v>
                </c:pt>
                <c:pt idx="1522">
                  <c:v>226.24012955039996</c:v>
                </c:pt>
                <c:pt idx="1523">
                  <c:v>233.65439030239992</c:v>
                </c:pt>
                <c:pt idx="1524">
                  <c:v>290.06907578559998</c:v>
                </c:pt>
                <c:pt idx="1525">
                  <c:v>343.48418599999997</c:v>
                </c:pt>
                <c:pt idx="1526">
                  <c:v>337.89972094559994</c:v>
                </c:pt>
                <c:pt idx="1527">
                  <c:v>263.31568062240001</c:v>
                </c:pt>
                <c:pt idx="1528">
                  <c:v>219.73206503040007</c:v>
                </c:pt>
                <c:pt idx="1529">
                  <c:v>192.14887416959999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3-4B2D-ACCF-95FF80969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739823"/>
        <c:axId val="1616214671"/>
      </c:scatterChart>
      <c:valAx>
        <c:axId val="157873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6214671"/>
        <c:crosses val="autoZero"/>
        <c:crossBetween val="midCat"/>
      </c:valAx>
      <c:valAx>
        <c:axId val="16162146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873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7.7620734908136479E-2"/>
                  <c:y val="-0.40839606389407512"/>
                </c:manualLayout>
              </c:layout>
              <c:numFmt formatCode="0.0000000000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'thor orden1'!$AE$10:$AE$30</c:f>
              <c:numCache>
                <c:formatCode>General</c:formatCode>
                <c:ptCount val="21"/>
                <c:pt idx="0">
                  <c:v>7.6260858888162968</c:v>
                </c:pt>
                <c:pt idx="1">
                  <c:v>15.940854305951788</c:v>
                </c:pt>
                <c:pt idx="2">
                  <c:v>102.62382208363931</c:v>
                </c:pt>
                <c:pt idx="3">
                  <c:v>156.17148580620324</c:v>
                </c:pt>
                <c:pt idx="4">
                  <c:v>178.49951679656951</c:v>
                </c:pt>
                <c:pt idx="5">
                  <c:v>214.17966137326349</c:v>
                </c:pt>
                <c:pt idx="6">
                  <c:v>230.30357238776247</c:v>
                </c:pt>
                <c:pt idx="7">
                  <c:v>318.57197168726429</c:v>
                </c:pt>
                <c:pt idx="8">
                  <c:v>492.0271409919024</c:v>
                </c:pt>
                <c:pt idx="9">
                  <c:v>638.93253059406459</c:v>
                </c:pt>
                <c:pt idx="10">
                  <c:v>665.62420258195004</c:v>
                </c:pt>
                <c:pt idx="11">
                  <c:v>716.65994577061008</c:v>
                </c:pt>
                <c:pt idx="12">
                  <c:v>776.68526468148082</c:v>
                </c:pt>
                <c:pt idx="13">
                  <c:v>832.93241987304361</c:v>
                </c:pt>
                <c:pt idx="14">
                  <c:v>914.77788388161787</c:v>
                </c:pt>
                <c:pt idx="15">
                  <c:v>1095.4082214818011</c:v>
                </c:pt>
                <c:pt idx="16">
                  <c:v>1155.2789796245104</c:v>
                </c:pt>
                <c:pt idx="17">
                  <c:v>1213.3386529088946</c:v>
                </c:pt>
                <c:pt idx="18">
                  <c:v>1305.545070667647</c:v>
                </c:pt>
                <c:pt idx="19">
                  <c:v>1376.5010264727216</c:v>
                </c:pt>
                <c:pt idx="20">
                  <c:v>1507.8400432448441</c:v>
                </c:pt>
              </c:numCache>
            </c:numRef>
          </c:xVal>
          <c:yVal>
            <c:numRef>
              <c:f>'thor orden1'!$AF$10:$AF$30</c:f>
              <c:numCache>
                <c:formatCode>General</c:formatCode>
                <c:ptCount val="21"/>
                <c:pt idx="0">
                  <c:v>6493.1971999999996</c:v>
                </c:pt>
                <c:pt idx="1">
                  <c:v>6493.9690000000001</c:v>
                </c:pt>
                <c:pt idx="2">
                  <c:v>6501.9916899999998</c:v>
                </c:pt>
                <c:pt idx="3">
                  <c:v>6506.9870199999996</c:v>
                </c:pt>
                <c:pt idx="4">
                  <c:v>6509.0502200000001</c:v>
                </c:pt>
                <c:pt idx="5">
                  <c:v>6512.3636900000001</c:v>
                </c:pt>
                <c:pt idx="6">
                  <c:v>6513.8459999999995</c:v>
                </c:pt>
                <c:pt idx="7">
                  <c:v>6522.0434599999999</c:v>
                </c:pt>
                <c:pt idx="8">
                  <c:v>6538.1120000000001</c:v>
                </c:pt>
                <c:pt idx="9">
                  <c:v>6551.7053900000001</c:v>
                </c:pt>
                <c:pt idx="10">
                  <c:v>6554.16021</c:v>
                </c:pt>
                <c:pt idx="11">
                  <c:v>6558.8751300000004</c:v>
                </c:pt>
                <c:pt idx="12">
                  <c:v>6564.4444000000003</c:v>
                </c:pt>
                <c:pt idx="13">
                  <c:v>6569.6322</c:v>
                </c:pt>
                <c:pt idx="14">
                  <c:v>6577.21443</c:v>
                </c:pt>
                <c:pt idx="15">
                  <c:v>6593.9390199999998</c:v>
                </c:pt>
                <c:pt idx="16">
                  <c:v>6599.4824200000003</c:v>
                </c:pt>
                <c:pt idx="17">
                  <c:v>6604.8530000000001</c:v>
                </c:pt>
                <c:pt idx="18">
                  <c:v>6613.3829999999998</c:v>
                </c:pt>
                <c:pt idx="19">
                  <c:v>6619.9458400000003</c:v>
                </c:pt>
                <c:pt idx="20">
                  <c:v>6632.11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E-4107-8ED1-45F1913EE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535200"/>
        <c:axId val="938841408"/>
      </c:scatterChart>
      <c:valAx>
        <c:axId val="93953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841408"/>
        <c:crosses val="autoZero"/>
        <c:crossBetween val="midCat"/>
      </c:valAx>
      <c:valAx>
        <c:axId val="9388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953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coeficientes cúbicos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'thor orden1'!$W$10:$W$30</c:f>
              <c:numCache>
                <c:formatCode>General</c:formatCode>
                <c:ptCount val="21"/>
                <c:pt idx="0">
                  <c:v>10.5</c:v>
                </c:pt>
                <c:pt idx="1">
                  <c:v>18.5</c:v>
                </c:pt>
                <c:pt idx="2">
                  <c:v>105</c:v>
                </c:pt>
                <c:pt idx="3">
                  <c:v>159</c:v>
                </c:pt>
                <c:pt idx="4">
                  <c:v>181</c:v>
                </c:pt>
                <c:pt idx="5">
                  <c:v>217</c:v>
                </c:pt>
                <c:pt idx="6">
                  <c:v>233</c:v>
                </c:pt>
                <c:pt idx="7">
                  <c:v>321.5</c:v>
                </c:pt>
                <c:pt idx="8">
                  <c:v>495</c:v>
                </c:pt>
                <c:pt idx="9">
                  <c:v>641.5</c:v>
                </c:pt>
                <c:pt idx="10">
                  <c:v>668.5</c:v>
                </c:pt>
                <c:pt idx="11">
                  <c:v>719.5</c:v>
                </c:pt>
                <c:pt idx="12">
                  <c:v>779.5</c:v>
                </c:pt>
                <c:pt idx="13">
                  <c:v>836</c:v>
                </c:pt>
                <c:pt idx="14">
                  <c:v>917.5</c:v>
                </c:pt>
                <c:pt idx="15">
                  <c:v>1098</c:v>
                </c:pt>
                <c:pt idx="16">
                  <c:v>1158</c:v>
                </c:pt>
                <c:pt idx="17">
                  <c:v>1216</c:v>
                </c:pt>
                <c:pt idx="18">
                  <c:v>1308</c:v>
                </c:pt>
                <c:pt idx="19">
                  <c:v>1379</c:v>
                </c:pt>
                <c:pt idx="20">
                  <c:v>1510.5</c:v>
                </c:pt>
              </c:numCache>
            </c:numRef>
          </c:xVal>
          <c:yVal>
            <c:numRef>
              <c:f>'thor orden1'!$X$10:$X$30</c:f>
              <c:numCache>
                <c:formatCode>General</c:formatCode>
                <c:ptCount val="21"/>
                <c:pt idx="0">
                  <c:v>-4.8999999999999998E-3</c:v>
                </c:pt>
                <c:pt idx="1">
                  <c:v>-7.4999999999999997E-3</c:v>
                </c:pt>
                <c:pt idx="2">
                  <c:v>-7.1000000000000004E-3</c:v>
                </c:pt>
                <c:pt idx="3">
                  <c:v>-1E-4</c:v>
                </c:pt>
                <c:pt idx="4">
                  <c:v>-6.0000000000000001E-3</c:v>
                </c:pt>
                <c:pt idx="5">
                  <c:v>1.6999999999999999E-3</c:v>
                </c:pt>
                <c:pt idx="6">
                  <c:v>-5.1000000000000004E-3</c:v>
                </c:pt>
                <c:pt idx="7">
                  <c:v>1.5E-3</c:v>
                </c:pt>
                <c:pt idx="8">
                  <c:v>3.3E-3</c:v>
                </c:pt>
                <c:pt idx="9">
                  <c:v>-8.0999999999999996E-3</c:v>
                </c:pt>
                <c:pt idx="10">
                  <c:v>6.1999999999999998E-3</c:v>
                </c:pt>
                <c:pt idx="11">
                  <c:v>1.3299999999999999E-2</c:v>
                </c:pt>
                <c:pt idx="12">
                  <c:v>5.0000000000000001E-4</c:v>
                </c:pt>
                <c:pt idx="13">
                  <c:v>1.38E-2</c:v>
                </c:pt>
                <c:pt idx="14">
                  <c:v>1.2999999999999999E-2</c:v>
                </c:pt>
                <c:pt idx="15">
                  <c:v>1.06E-2</c:v>
                </c:pt>
                <c:pt idx="16">
                  <c:v>1.1299999999999999E-2</c:v>
                </c:pt>
                <c:pt idx="17">
                  <c:v>1.6199999999999999E-2</c:v>
                </c:pt>
                <c:pt idx="18">
                  <c:v>5.1000000000000004E-3</c:v>
                </c:pt>
                <c:pt idx="19">
                  <c:v>1.2E-2</c:v>
                </c:pt>
                <c:pt idx="20">
                  <c:v>5.4000000000000003E-3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CE-4311-A333-5502AEC5D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706736"/>
        <c:axId val="180294400"/>
      </c:scatterChart>
      <c:valAx>
        <c:axId val="190470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294400"/>
        <c:crosses val="autoZero"/>
        <c:crossBetween val="midCat"/>
      </c:valAx>
      <c:valAx>
        <c:axId val="18029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470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tamaños de los coeficientes del polinomio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'thor orden1'!$AG$32:$AM$32</c:f>
              <c:numCache>
                <c:formatCode>General</c:formatCode>
                <c:ptCount val="7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xVal>
          <c:yVal>
            <c:numRef>
              <c:f>'thor orden1'!$AG$33:$AM$33</c:f>
              <c:numCache>
                <c:formatCode>0.00E+00</c:formatCode>
                <c:ptCount val="7"/>
                <c:pt idx="0">
                  <c:v>1.39394098683175E-18</c:v>
                </c:pt>
                <c:pt idx="1">
                  <c:v>6.5804438378817099E-15</c:v>
                </c:pt>
                <c:pt idx="2">
                  <c:v>1.16354508506345E-11</c:v>
                </c:pt>
                <c:pt idx="3">
                  <c:v>9.2986469819521393E-9</c:v>
                </c:pt>
                <c:pt idx="4">
                  <c:v>3.0246919812747199E-6</c:v>
                </c:pt>
                <c:pt idx="5">
                  <c:v>9.2436557055895804E-2</c:v>
                </c:pt>
                <c:pt idx="6">
                  <c:v>6492.4928201558596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E0-42DB-B948-5188C14CA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518304"/>
        <c:axId val="183680416"/>
      </c:scatterChart>
      <c:valAx>
        <c:axId val="18215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3680416"/>
        <c:crosses val="autoZero"/>
        <c:crossBetween val="midCat"/>
      </c:valAx>
      <c:valAx>
        <c:axId val="1836804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151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normalización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'ster orden1'!$A$1:$A$1530</c:f>
              <c:numCache>
                <c:formatCode>General</c:formatCode>
                <c:ptCount val="15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</c:numCache>
            </c:numRef>
          </c:xVal>
          <c:yVal>
            <c:numRef>
              <c:f>'ster orden1'!$D$1:$D$1530</c:f>
              <c:numCache>
                <c:formatCode>General</c:formatCode>
                <c:ptCount val="1530"/>
                <c:pt idx="0">
                  <c:v>1.0983791326749679</c:v>
                </c:pt>
                <c:pt idx="1">
                  <c:v>1.141431387112436</c:v>
                </c:pt>
                <c:pt idx="2">
                  <c:v>1.1581891883793698</c:v>
                </c:pt>
                <c:pt idx="3">
                  <c:v>1.144393003180858</c:v>
                </c:pt>
                <c:pt idx="4">
                  <c:v>1.1173592619145161</c:v>
                </c:pt>
                <c:pt idx="5">
                  <c:v>1.0869484168197918</c:v>
                </c:pt>
                <c:pt idx="6">
                  <c:v>1.0793934082390628</c:v>
                </c:pt>
                <c:pt idx="7">
                  <c:v>1.0865721285726573</c:v>
                </c:pt>
                <c:pt idx="8">
                  <c:v>1.1057137646120696</c:v>
                </c:pt>
                <c:pt idx="9">
                  <c:v>1.1291410396631369</c:v>
                </c:pt>
                <c:pt idx="10">
                  <c:v>1.1405539697642457</c:v>
                </c:pt>
                <c:pt idx="11">
                  <c:v>1.1647607616864015</c:v>
                </c:pt>
                <c:pt idx="12">
                  <c:v>1.1618616770102537</c:v>
                </c:pt>
                <c:pt idx="13">
                  <c:v>1.1523431538776467</c:v>
                </c:pt>
                <c:pt idx="14">
                  <c:v>1.1303496138988025</c:v>
                </c:pt>
                <c:pt idx="15">
                  <c:v>1.0969857551352344</c:v>
                </c:pt>
                <c:pt idx="16">
                  <c:v>1.0529304766215695</c:v>
                </c:pt>
                <c:pt idx="17">
                  <c:v>0.98897143831653578</c:v>
                </c:pt>
                <c:pt idx="18">
                  <c:v>0.92175479212198974</c:v>
                </c:pt>
                <c:pt idx="19">
                  <c:v>0.84420075547752504</c:v>
                </c:pt>
                <c:pt idx="20">
                  <c:v>0.77333333333333332</c:v>
                </c:pt>
                <c:pt idx="21">
                  <c:v>0.73642681134471744</c:v>
                </c:pt>
                <c:pt idx="22">
                  <c:v>0.75005504800601586</c:v>
                </c:pt>
                <c:pt idx="23">
                  <c:v>0.79014427639337026</c:v>
                </c:pt>
                <c:pt idx="24">
                  <c:v>0.84539511839467096</c:v>
                </c:pt>
                <c:pt idx="25">
                  <c:v>0.88156363918405334</c:v>
                </c:pt>
                <c:pt idx="26">
                  <c:v>0.90637404942769462</c:v>
                </c:pt>
                <c:pt idx="27">
                  <c:v>0.90523237408365653</c:v>
                </c:pt>
                <c:pt idx="28">
                  <c:v>0.87675670554896523</c:v>
                </c:pt>
                <c:pt idx="29">
                  <c:v>0.82497102884365248</c:v>
                </c:pt>
                <c:pt idx="30">
                  <c:v>0.75952356504774621</c:v>
                </c:pt>
                <c:pt idx="31">
                  <c:v>0.69175077080507208</c:v>
                </c:pt>
                <c:pt idx="32">
                  <c:v>0.61367564423911791</c:v>
                </c:pt>
                <c:pt idx="33">
                  <c:v>0.56000269930094237</c:v>
                </c:pt>
                <c:pt idx="34">
                  <c:v>0.52970990520765682</c:v>
                </c:pt>
                <c:pt idx="35">
                  <c:v>0.5402870179195024</c:v>
                </c:pt>
                <c:pt idx="36">
                  <c:v>0.5714538804900301</c:v>
                </c:pt>
                <c:pt idx="37">
                  <c:v>0.63329235768588243</c:v>
                </c:pt>
                <c:pt idx="38">
                  <c:v>0.69551902980679803</c:v>
                </c:pt>
                <c:pt idx="39">
                  <c:v>0.76675126414591199</c:v>
                </c:pt>
                <c:pt idx="40">
                  <c:v>0.82776427703523692</c:v>
                </c:pt>
                <c:pt idx="41">
                  <c:v>0.87324145894824756</c:v>
                </c:pt>
                <c:pt idx="42">
                  <c:v>0.91455656578304301</c:v>
                </c:pt>
                <c:pt idx="43">
                  <c:v>0.94673535880347426</c:v>
                </c:pt>
                <c:pt idx="44">
                  <c:v>0.9807416537767466</c:v>
                </c:pt>
                <c:pt idx="45">
                  <c:v>0.99585166561910743</c:v>
                </c:pt>
                <c:pt idx="46">
                  <c:v>0.98009086855393668</c:v>
                </c:pt>
                <c:pt idx="47">
                  <c:v>0.94095606030062062</c:v>
                </c:pt>
                <c:pt idx="48">
                  <c:v>0.87944303777183064</c:v>
                </c:pt>
                <c:pt idx="49">
                  <c:v>0.7942414121803355</c:v>
                </c:pt>
                <c:pt idx="50">
                  <c:v>0.70197782439316747</c:v>
                </c:pt>
                <c:pt idx="51">
                  <c:v>0.61185767912062483</c:v>
                </c:pt>
                <c:pt idx="52">
                  <c:v>0.53488029201734255</c:v>
                </c:pt>
                <c:pt idx="53">
                  <c:v>0.47362928074610661</c:v>
                </c:pt>
                <c:pt idx="54">
                  <c:v>0.44627420899722198</c:v>
                </c:pt>
                <c:pt idx="55">
                  <c:v>0.45416883729006968</c:v>
                </c:pt>
                <c:pt idx="56">
                  <c:v>0.49702508363855458</c:v>
                </c:pt>
                <c:pt idx="57">
                  <c:v>0.56688680375008282</c:v>
                </c:pt>
                <c:pt idx="58">
                  <c:v>0.64259564559043869</c:v>
                </c:pt>
                <c:pt idx="59">
                  <c:v>0.69782317074976374</c:v>
                </c:pt>
                <c:pt idx="60">
                  <c:v>0.72589708201892744</c:v>
                </c:pt>
                <c:pt idx="61">
                  <c:v>0.74981367878320682</c:v>
                </c:pt>
                <c:pt idx="62">
                  <c:v>0.76260820659249029</c:v>
                </c:pt>
                <c:pt idx="63">
                  <c:v>0.79383238195867634</c:v>
                </c:pt>
                <c:pt idx="64">
                  <c:v>0.84115944075695526</c:v>
                </c:pt>
                <c:pt idx="65">
                  <c:v>0.90844535860329589</c:v>
                </c:pt>
                <c:pt idx="66">
                  <c:v>0.96930011621036816</c:v>
                </c:pt>
                <c:pt idx="67">
                  <c:v>1.0077267189727146</c:v>
                </c:pt>
                <c:pt idx="68">
                  <c:v>1.013175971025353</c:v>
                </c:pt>
                <c:pt idx="69">
                  <c:v>0.99391053781966265</c:v>
                </c:pt>
                <c:pt idx="70">
                  <c:v>0.96700729927007301</c:v>
                </c:pt>
                <c:pt idx="71">
                  <c:v>0.92112259051573731</c:v>
                </c:pt>
                <c:pt idx="72">
                  <c:v>0.85890052965937158</c:v>
                </c:pt>
                <c:pt idx="73">
                  <c:v>0.7746819586364434</c:v>
                </c:pt>
                <c:pt idx="74">
                  <c:v>0.68631837038242094</c:v>
                </c:pt>
                <c:pt idx="75">
                  <c:v>0.60978263497666774</c:v>
                </c:pt>
                <c:pt idx="76">
                  <c:v>0.56917848973788332</c:v>
                </c:pt>
                <c:pt idx="77">
                  <c:v>0.57546613721852569</c:v>
                </c:pt>
                <c:pt idx="78">
                  <c:v>0.6183057824164897</c:v>
                </c:pt>
                <c:pt idx="79">
                  <c:v>0.68341547022044646</c:v>
                </c:pt>
                <c:pt idx="80">
                  <c:v>0.73543829296424457</c:v>
                </c:pt>
                <c:pt idx="81">
                  <c:v>0.76088699109802538</c:v>
                </c:pt>
                <c:pt idx="82">
                  <c:v>0.75899654443715747</c:v>
                </c:pt>
                <c:pt idx="83">
                  <c:v>0.7559151183981323</c:v>
                </c:pt>
                <c:pt idx="84">
                  <c:v>0.76455948518609196</c:v>
                </c:pt>
                <c:pt idx="85">
                  <c:v>0.79955100188674744</c:v>
                </c:pt>
                <c:pt idx="86">
                  <c:v>0.86465835403857083</c:v>
                </c:pt>
                <c:pt idx="87">
                  <c:v>0.9338508792912682</c:v>
                </c:pt>
                <c:pt idx="88">
                  <c:v>0.99631059533056154</c:v>
                </c:pt>
                <c:pt idx="89">
                  <c:v>1.0306710437624009</c:v>
                </c:pt>
                <c:pt idx="90">
                  <c:v>1.0513721393979678</c:v>
                </c:pt>
                <c:pt idx="91">
                  <c:v>1.050828038647178</c:v>
                </c:pt>
                <c:pt idx="92">
                  <c:v>1.0449349005699042</c:v>
                </c:pt>
                <c:pt idx="93">
                  <c:v>1.0471476651360478</c:v>
                </c:pt>
                <c:pt idx="94">
                  <c:v>1.0468054783749352</c:v>
                </c:pt>
                <c:pt idx="95">
                  <c:v>1.0332035398230088</c:v>
                </c:pt>
                <c:pt idx="96">
                  <c:v>0.9993645250343195</c:v>
                </c:pt>
                <c:pt idx="97">
                  <c:v>0.95176344395882373</c:v>
                </c:pt>
                <c:pt idx="98">
                  <c:v>0.89651552605736351</c:v>
                </c:pt>
                <c:pt idx="99">
                  <c:v>0.84825702605981623</c:v>
                </c:pt>
                <c:pt idx="100">
                  <c:v>0.81874061561561562</c:v>
                </c:pt>
                <c:pt idx="101">
                  <c:v>0.80972855323061876</c:v>
                </c:pt>
                <c:pt idx="102">
                  <c:v>0.81693624798235331</c:v>
                </c:pt>
                <c:pt idx="103">
                  <c:v>0.84002689582357237</c:v>
                </c:pt>
                <c:pt idx="104">
                  <c:v>0.8715662317475974</c:v>
                </c:pt>
                <c:pt idx="105">
                  <c:v>0.89902264934337894</c:v>
                </c:pt>
                <c:pt idx="106">
                  <c:v>0.91155298582297917</c:v>
                </c:pt>
                <c:pt idx="107">
                  <c:v>0.93932310648268391</c:v>
                </c:pt>
                <c:pt idx="108">
                  <c:v>0.96033682456557967</c:v>
                </c:pt>
                <c:pt idx="109">
                  <c:v>0.96881243156038144</c:v>
                </c:pt>
                <c:pt idx="110">
                  <c:v>0.97212171815567305</c:v>
                </c:pt>
                <c:pt idx="111">
                  <c:v>0.96713152117607049</c:v>
                </c:pt>
                <c:pt idx="112">
                  <c:v>0.96016424519779031</c:v>
                </c:pt>
                <c:pt idx="113">
                  <c:v>0.96014889727807562</c:v>
                </c:pt>
                <c:pt idx="114">
                  <c:v>0.97172606403611506</c:v>
                </c:pt>
                <c:pt idx="115">
                  <c:v>0.97797458428469286</c:v>
                </c:pt>
                <c:pt idx="116">
                  <c:v>0.98365807088936064</c:v>
                </c:pt>
                <c:pt idx="117">
                  <c:v>0.98468231051251343</c:v>
                </c:pt>
                <c:pt idx="118">
                  <c:v>0.98474065737645233</c:v>
                </c:pt>
                <c:pt idx="119">
                  <c:v>0.98654572607065216</c:v>
                </c:pt>
                <c:pt idx="120">
                  <c:v>0.97137614678899087</c:v>
                </c:pt>
                <c:pt idx="121">
                  <c:v>0.96765118003223982</c:v>
                </c:pt>
                <c:pt idx="122">
                  <c:v>0.95830632847428965</c:v>
                </c:pt>
                <c:pt idx="123">
                  <c:v>0.95538459990983837</c:v>
                </c:pt>
                <c:pt idx="124">
                  <c:v>0.96041776277329594</c:v>
                </c:pt>
                <c:pt idx="125">
                  <c:v>0.96909144825383786</c:v>
                </c:pt>
                <c:pt idx="126">
                  <c:v>0.98130270406247389</c:v>
                </c:pt>
                <c:pt idx="127">
                  <c:v>0.98852734690458699</c:v>
                </c:pt>
                <c:pt idx="128">
                  <c:v>0.98482450779237785</c:v>
                </c:pt>
                <c:pt idx="129">
                  <c:v>0.95287716483498508</c:v>
                </c:pt>
                <c:pt idx="130">
                  <c:v>0.90997368182230698</c:v>
                </c:pt>
                <c:pt idx="131">
                  <c:v>0.86127104223722861</c:v>
                </c:pt>
                <c:pt idx="132">
                  <c:v>0.82589544453460073</c:v>
                </c:pt>
                <c:pt idx="133">
                  <c:v>0.81931843778580482</c:v>
                </c:pt>
                <c:pt idx="134">
                  <c:v>0.84443034726062793</c:v>
                </c:pt>
                <c:pt idx="135">
                  <c:v>0.89214867640089368</c:v>
                </c:pt>
                <c:pt idx="136">
                  <c:v>0.9325538530349593</c:v>
                </c:pt>
                <c:pt idx="137">
                  <c:v>0.97598348273280777</c:v>
                </c:pt>
                <c:pt idx="138">
                  <c:v>0.99642213095576615</c:v>
                </c:pt>
                <c:pt idx="139">
                  <c:v>1.0185277574770393</c:v>
                </c:pt>
                <c:pt idx="140">
                  <c:v>1.0275682471264367</c:v>
                </c:pt>
                <c:pt idx="141">
                  <c:v>1.0371299985019184</c:v>
                </c:pt>
                <c:pt idx="142">
                  <c:v>1.0325149921678693</c:v>
                </c:pt>
                <c:pt idx="143">
                  <c:v>1.0181537252332216</c:v>
                </c:pt>
                <c:pt idx="144">
                  <c:v>0.99523887879351547</c:v>
                </c:pt>
                <c:pt idx="145">
                  <c:v>0.97170295924064765</c:v>
                </c:pt>
                <c:pt idx="146">
                  <c:v>0.95870324955110287</c:v>
                </c:pt>
                <c:pt idx="147">
                  <c:v>0.96128900542137585</c:v>
                </c:pt>
                <c:pt idx="148">
                  <c:v>0.98618117305061559</c:v>
                </c:pt>
                <c:pt idx="149">
                  <c:v>1.0148501858163865</c:v>
                </c:pt>
                <c:pt idx="150">
                  <c:v>1.0358190383077059</c:v>
                </c:pt>
                <c:pt idx="151">
                  <c:v>1.0498215742839665</c:v>
                </c:pt>
                <c:pt idx="152">
                  <c:v>1.0420658236471239</c:v>
                </c:pt>
                <c:pt idx="153">
                  <c:v>1.0204597030954947</c:v>
                </c:pt>
                <c:pt idx="154">
                  <c:v>0.98929397226028726</c:v>
                </c:pt>
                <c:pt idx="155">
                  <c:v>0.96212774424620284</c:v>
                </c:pt>
                <c:pt idx="156">
                  <c:v>0.94597244996042062</c:v>
                </c:pt>
                <c:pt idx="157">
                  <c:v>0.94401653617597403</c:v>
                </c:pt>
                <c:pt idx="158">
                  <c:v>0.96384447994808475</c:v>
                </c:pt>
                <c:pt idx="159">
                  <c:v>0.98707013870599203</c:v>
                </c:pt>
                <c:pt idx="160">
                  <c:v>1.0069077789510736</c:v>
                </c:pt>
                <c:pt idx="161">
                  <c:v>0.99928001202617267</c:v>
                </c:pt>
                <c:pt idx="162">
                  <c:v>0.98978075521940279</c:v>
                </c:pt>
                <c:pt idx="163">
                  <c:v>0.96889583777509292</c:v>
                </c:pt>
                <c:pt idx="164">
                  <c:v>0.96567163132503087</c:v>
                </c:pt>
                <c:pt idx="165">
                  <c:v>0.95374241993038378</c:v>
                </c:pt>
                <c:pt idx="166">
                  <c:v>0.96003443316501669</c:v>
                </c:pt>
                <c:pt idx="167">
                  <c:v>0.95827532291374429</c:v>
                </c:pt>
                <c:pt idx="168">
                  <c:v>0.96538362135203482</c:v>
                </c:pt>
                <c:pt idx="169">
                  <c:v>0.97487872895911465</c:v>
                </c:pt>
                <c:pt idx="170">
                  <c:v>0.9622222222222222</c:v>
                </c:pt>
                <c:pt idx="171">
                  <c:v>0.94349725186945144</c:v>
                </c:pt>
                <c:pt idx="172">
                  <c:v>0.89354055332888005</c:v>
                </c:pt>
                <c:pt idx="173">
                  <c:v>0.82256465335582218</c:v>
                </c:pt>
                <c:pt idx="174">
                  <c:v>0.76036302266547673</c:v>
                </c:pt>
                <c:pt idx="175">
                  <c:v>0.72403998352089161</c:v>
                </c:pt>
                <c:pt idx="176">
                  <c:v>0.73401475134827876</c:v>
                </c:pt>
                <c:pt idx="177">
                  <c:v>0.77353523478748665</c:v>
                </c:pt>
                <c:pt idx="178">
                  <c:v>0.81665853683850009</c:v>
                </c:pt>
                <c:pt idx="179">
                  <c:v>0.8406498121952547</c:v>
                </c:pt>
                <c:pt idx="180">
                  <c:v>0.84880006906077343</c:v>
                </c:pt>
                <c:pt idx="181">
                  <c:v>0.84067930510168787</c:v>
                </c:pt>
                <c:pt idx="182">
                  <c:v>0.82219212170718181</c:v>
                </c:pt>
                <c:pt idx="183">
                  <c:v>0.82220601895094059</c:v>
                </c:pt>
                <c:pt idx="184">
                  <c:v>0.8315530005917241</c:v>
                </c:pt>
                <c:pt idx="185">
                  <c:v>0.84917617237008869</c:v>
                </c:pt>
                <c:pt idx="186">
                  <c:v>0.87067452809131518</c:v>
                </c:pt>
                <c:pt idx="187">
                  <c:v>0.89346442395688863</c:v>
                </c:pt>
                <c:pt idx="188">
                  <c:v>0.90284633102994405</c:v>
                </c:pt>
                <c:pt idx="189">
                  <c:v>0.91576565508514707</c:v>
                </c:pt>
                <c:pt idx="190">
                  <c:v>0.91715849798990678</c:v>
                </c:pt>
                <c:pt idx="191">
                  <c:v>0.91654211094389737</c:v>
                </c:pt>
                <c:pt idx="192">
                  <c:v>0.90709143317714236</c:v>
                </c:pt>
                <c:pt idx="193">
                  <c:v>0.90781056598687515</c:v>
                </c:pt>
                <c:pt idx="194">
                  <c:v>0.91049019708111312</c:v>
                </c:pt>
                <c:pt idx="195">
                  <c:v>0.93236828100053215</c:v>
                </c:pt>
                <c:pt idx="196">
                  <c:v>0.9505080719808342</c:v>
                </c:pt>
                <c:pt idx="197">
                  <c:v>0.96049966382511776</c:v>
                </c:pt>
                <c:pt idx="198">
                  <c:v>0.96678091847584235</c:v>
                </c:pt>
                <c:pt idx="199">
                  <c:v>0.96248893776213151</c:v>
                </c:pt>
                <c:pt idx="200">
                  <c:v>0.96125805357748384</c:v>
                </c:pt>
                <c:pt idx="201">
                  <c:v>0.96354601194776734</c:v>
                </c:pt>
                <c:pt idx="202">
                  <c:v>0.9707821771788544</c:v>
                </c:pt>
                <c:pt idx="203">
                  <c:v>0.99094368784935627</c:v>
                </c:pt>
                <c:pt idx="204">
                  <c:v>1.000807607050173</c:v>
                </c:pt>
                <c:pt idx="205">
                  <c:v>1.0031440568884387</c:v>
                </c:pt>
                <c:pt idx="206">
                  <c:v>0.98582902402083306</c:v>
                </c:pt>
                <c:pt idx="207">
                  <c:v>0.97149467784377053</c:v>
                </c:pt>
                <c:pt idx="208">
                  <c:v>0.96232203230021152</c:v>
                </c:pt>
                <c:pt idx="209">
                  <c:v>0.95489112012240096</c:v>
                </c:pt>
                <c:pt idx="210">
                  <c:v>0.95928229262963272</c:v>
                </c:pt>
                <c:pt idx="211">
                  <c:v>0.96429731996886436</c:v>
                </c:pt>
                <c:pt idx="212">
                  <c:v>0.97018631872852223</c:v>
                </c:pt>
                <c:pt idx="213">
                  <c:v>0.96537913124679886</c:v>
                </c:pt>
                <c:pt idx="214">
                  <c:v>0.95526330777142365</c:v>
                </c:pt>
                <c:pt idx="215">
                  <c:v>0.94432937927571703</c:v>
                </c:pt>
                <c:pt idx="216">
                  <c:v>0.9380978340847369</c:v>
                </c:pt>
                <c:pt idx="217">
                  <c:v>0.93283909402827592</c:v>
                </c:pt>
                <c:pt idx="218">
                  <c:v>0.92646386131506286</c:v>
                </c:pt>
                <c:pt idx="219">
                  <c:v>0.92927517037128471</c:v>
                </c:pt>
                <c:pt idx="220">
                  <c:v>0.92166666666666663</c:v>
                </c:pt>
                <c:pt idx="221">
                  <c:v>0.91144955158164165</c:v>
                </c:pt>
                <c:pt idx="222">
                  <c:v>0.9105687539725591</c:v>
                </c:pt>
                <c:pt idx="223">
                  <c:v>0.90254208053094331</c:v>
                </c:pt>
                <c:pt idx="224">
                  <c:v>0.91176460816755034</c:v>
                </c:pt>
                <c:pt idx="225">
                  <c:v>0.92255026037884602</c:v>
                </c:pt>
                <c:pt idx="226">
                  <c:v>0.93236614028279452</c:v>
                </c:pt>
                <c:pt idx="227">
                  <c:v>0.94299602883629907</c:v>
                </c:pt>
                <c:pt idx="228">
                  <c:v>0.94905690367701601</c:v>
                </c:pt>
                <c:pt idx="229">
                  <c:v>0.95333103375825834</c:v>
                </c:pt>
                <c:pt idx="230">
                  <c:v>0.96739399950409122</c:v>
                </c:pt>
                <c:pt idx="231">
                  <c:v>0.97548970623819553</c:v>
                </c:pt>
                <c:pt idx="232">
                  <c:v>0.98369773306399444</c:v>
                </c:pt>
                <c:pt idx="233">
                  <c:v>0.9887610062737513</c:v>
                </c:pt>
                <c:pt idx="234">
                  <c:v>0.98883345251786936</c:v>
                </c:pt>
                <c:pt idx="235">
                  <c:v>0.98540882056347878</c:v>
                </c:pt>
                <c:pt idx="236">
                  <c:v>0.96739116129711511</c:v>
                </c:pt>
                <c:pt idx="237">
                  <c:v>0.94134926042420919</c:v>
                </c:pt>
                <c:pt idx="238">
                  <c:v>0.9009785854365201</c:v>
                </c:pt>
                <c:pt idx="239">
                  <c:v>0.85751399717225529</c:v>
                </c:pt>
                <c:pt idx="240">
                  <c:v>0.84048048540505083</c:v>
                </c:pt>
                <c:pt idx="241">
                  <c:v>0.85563254213847917</c:v>
                </c:pt>
                <c:pt idx="242">
                  <c:v>0.8794399745889534</c:v>
                </c:pt>
                <c:pt idx="243">
                  <c:v>0.89331362461768016</c:v>
                </c:pt>
                <c:pt idx="244">
                  <c:v>0.89184125863151287</c:v>
                </c:pt>
                <c:pt idx="245">
                  <c:v>0.86999489535477281</c:v>
                </c:pt>
                <c:pt idx="246">
                  <c:v>0.84124688653776469</c:v>
                </c:pt>
                <c:pt idx="247">
                  <c:v>0.81543965404058327</c:v>
                </c:pt>
                <c:pt idx="248">
                  <c:v>0.80002216398743176</c:v>
                </c:pt>
                <c:pt idx="249">
                  <c:v>0.79236483224077658</c:v>
                </c:pt>
                <c:pt idx="250">
                  <c:v>0.79631437637295577</c:v>
                </c:pt>
                <c:pt idx="251">
                  <c:v>0.81570584347325581</c:v>
                </c:pt>
                <c:pt idx="252">
                  <c:v>0.84489868202142038</c:v>
                </c:pt>
                <c:pt idx="253">
                  <c:v>0.87563143766067508</c:v>
                </c:pt>
                <c:pt idx="254">
                  <c:v>0.90688684050861257</c:v>
                </c:pt>
                <c:pt idx="255">
                  <c:v>0.90948511681627531</c:v>
                </c:pt>
                <c:pt idx="256">
                  <c:v>0.88839106376913002</c:v>
                </c:pt>
                <c:pt idx="257">
                  <c:v>0.82492265085612126</c:v>
                </c:pt>
                <c:pt idx="258">
                  <c:v>0.75811366407991232</c:v>
                </c:pt>
                <c:pt idx="259">
                  <c:v>0.69471885987560189</c:v>
                </c:pt>
                <c:pt idx="260">
                  <c:v>0.66658591731266148</c:v>
                </c:pt>
                <c:pt idx="261">
                  <c:v>0.69045984125152604</c:v>
                </c:pt>
                <c:pt idx="262">
                  <c:v>0.74514044101283949</c:v>
                </c:pt>
                <c:pt idx="263">
                  <c:v>0.79704242271891168</c:v>
                </c:pt>
                <c:pt idx="264">
                  <c:v>0.85188846951525854</c:v>
                </c:pt>
                <c:pt idx="265">
                  <c:v>0.87797421508879903</c:v>
                </c:pt>
                <c:pt idx="266">
                  <c:v>0.9002447173530651</c:v>
                </c:pt>
                <c:pt idx="267">
                  <c:v>0.90340466793220708</c:v>
                </c:pt>
                <c:pt idx="268">
                  <c:v>0.90880921187833952</c:v>
                </c:pt>
                <c:pt idx="269">
                  <c:v>0.90125212678656086</c:v>
                </c:pt>
                <c:pt idx="270">
                  <c:v>0.87923847695390778</c:v>
                </c:pt>
                <c:pt idx="271">
                  <c:v>0.88313111433123548</c:v>
                </c:pt>
                <c:pt idx="272">
                  <c:v>0.87781438506166676</c:v>
                </c:pt>
                <c:pt idx="273">
                  <c:v>0.88854423044158859</c:v>
                </c:pt>
                <c:pt idx="274">
                  <c:v>0.89969978035048004</c:v>
                </c:pt>
                <c:pt idx="275">
                  <c:v>0.90816509914335353</c:v>
                </c:pt>
                <c:pt idx="276">
                  <c:v>0.91370651563138539</c:v>
                </c:pt>
                <c:pt idx="277">
                  <c:v>0.91744692526665983</c:v>
                </c:pt>
                <c:pt idx="278">
                  <c:v>0.91687947739424025</c:v>
                </c:pt>
                <c:pt idx="279">
                  <c:v>0.91746919003216998</c:v>
                </c:pt>
                <c:pt idx="280">
                  <c:v>0.91837790512575612</c:v>
                </c:pt>
                <c:pt idx="281">
                  <c:v>0.90942424076119932</c:v>
                </c:pt>
                <c:pt idx="282">
                  <c:v>0.87644139518469888</c:v>
                </c:pt>
                <c:pt idx="283">
                  <c:v>0.82452298632837484</c:v>
                </c:pt>
                <c:pt idx="284">
                  <c:v>0.76081193487757792</c:v>
                </c:pt>
                <c:pt idx="285">
                  <c:v>0.70290099343657675</c:v>
                </c:pt>
                <c:pt idx="286">
                  <c:v>0.67079144354508879</c:v>
                </c:pt>
                <c:pt idx="287">
                  <c:v>0.67579609207365321</c:v>
                </c:pt>
                <c:pt idx="288">
                  <c:v>0.69619020782411567</c:v>
                </c:pt>
                <c:pt idx="289">
                  <c:v>0.71291899712000661</c:v>
                </c:pt>
                <c:pt idx="290">
                  <c:v>0.73334123784681049</c:v>
                </c:pt>
                <c:pt idx="291">
                  <c:v>0.76242595534294555</c:v>
                </c:pt>
                <c:pt idx="292">
                  <c:v>0.80540504698393456</c:v>
                </c:pt>
                <c:pt idx="293">
                  <c:v>0.85522978753951151</c:v>
                </c:pt>
                <c:pt idx="294">
                  <c:v>0.89308519192384217</c:v>
                </c:pt>
                <c:pt idx="295">
                  <c:v>0.9155292959133432</c:v>
                </c:pt>
                <c:pt idx="296">
                  <c:v>0.92341980627039011</c:v>
                </c:pt>
                <c:pt idx="297">
                  <c:v>0.92461396727641498</c:v>
                </c:pt>
                <c:pt idx="298">
                  <c:v>0.92219140257689969</c:v>
                </c:pt>
                <c:pt idx="299">
                  <c:v>0.91352722707126799</c:v>
                </c:pt>
                <c:pt idx="300">
                  <c:v>0.91025439698492461</c:v>
                </c:pt>
                <c:pt idx="301">
                  <c:v>0.91334304741144934</c:v>
                </c:pt>
                <c:pt idx="302">
                  <c:v>0.92238856529880586</c:v>
                </c:pt>
                <c:pt idx="303">
                  <c:v>0.92742715954960031</c:v>
                </c:pt>
                <c:pt idx="304">
                  <c:v>0.93931292210151729</c:v>
                </c:pt>
                <c:pt idx="305">
                  <c:v>0.94789771282111479</c:v>
                </c:pt>
                <c:pt idx="306">
                  <c:v>0.96323803147808074</c:v>
                </c:pt>
                <c:pt idx="307">
                  <c:v>0.97773932318350898</c:v>
                </c:pt>
                <c:pt idx="308">
                  <c:v>0.98261597680463908</c:v>
                </c:pt>
                <c:pt idx="309">
                  <c:v>0.97593512968364937</c:v>
                </c:pt>
                <c:pt idx="310">
                  <c:v>0.96551993135189951</c:v>
                </c:pt>
                <c:pt idx="311">
                  <c:v>0.9514554629657781</c:v>
                </c:pt>
                <c:pt idx="312">
                  <c:v>0.93269686241757144</c:v>
                </c:pt>
                <c:pt idx="313">
                  <c:v>0.92097098067428607</c:v>
                </c:pt>
                <c:pt idx="314">
                  <c:v>0.9235786249848269</c:v>
                </c:pt>
                <c:pt idx="315">
                  <c:v>0.92357938529131589</c:v>
                </c:pt>
                <c:pt idx="316">
                  <c:v>0.93282944146026059</c:v>
                </c:pt>
                <c:pt idx="317">
                  <c:v>0.94940862432247508</c:v>
                </c:pt>
                <c:pt idx="318">
                  <c:v>0.96146681610312368</c:v>
                </c:pt>
                <c:pt idx="319">
                  <c:v>0.96998213619464491</c:v>
                </c:pt>
                <c:pt idx="320">
                  <c:v>0.97197674418604652</c:v>
                </c:pt>
                <c:pt idx="321">
                  <c:v>0.97013555170092325</c:v>
                </c:pt>
                <c:pt idx="322">
                  <c:v>0.97623405461150392</c:v>
                </c:pt>
                <c:pt idx="323">
                  <c:v>0.97304144024525085</c:v>
                </c:pt>
                <c:pt idx="324">
                  <c:v>0.97155547857072155</c:v>
                </c:pt>
                <c:pt idx="325">
                  <c:v>0.9803898838849282</c:v>
                </c:pt>
                <c:pt idx="326">
                  <c:v>0.98083511744225205</c:v>
                </c:pt>
                <c:pt idx="327">
                  <c:v>0.97881133201240245</c:v>
                </c:pt>
                <c:pt idx="328">
                  <c:v>0.96707180854346397</c:v>
                </c:pt>
                <c:pt idx="329">
                  <c:v>0.96047471357678049</c:v>
                </c:pt>
                <c:pt idx="330">
                  <c:v>0.94926419600893752</c:v>
                </c:pt>
                <c:pt idx="331">
                  <c:v>0.92659540964318354</c:v>
                </c:pt>
                <c:pt idx="332">
                  <c:v>0.89610575502364065</c:v>
                </c:pt>
                <c:pt idx="333">
                  <c:v>0.86969161633586656</c:v>
                </c:pt>
                <c:pt idx="334">
                  <c:v>0.84972836363300952</c:v>
                </c:pt>
                <c:pt idx="335">
                  <c:v>0.8290987305794012</c:v>
                </c:pt>
                <c:pt idx="336">
                  <c:v>0.81874393494576758</c:v>
                </c:pt>
                <c:pt idx="337">
                  <c:v>0.81603700114554389</c:v>
                </c:pt>
                <c:pt idx="338">
                  <c:v>0.8327352086841564</c:v>
                </c:pt>
                <c:pt idx="339">
                  <c:v>0.87512712296306294</c:v>
                </c:pt>
                <c:pt idx="340">
                  <c:v>0.91781556372549022</c:v>
                </c:pt>
                <c:pt idx="341">
                  <c:v>0.93883075019960061</c:v>
                </c:pt>
                <c:pt idx="342">
                  <c:v>0.94811784110974084</c:v>
                </c:pt>
                <c:pt idx="343">
                  <c:v>0.9359485759681192</c:v>
                </c:pt>
                <c:pt idx="344">
                  <c:v>0.92241927398549928</c:v>
                </c:pt>
                <c:pt idx="345">
                  <c:v>0.9262052505966587</c:v>
                </c:pt>
                <c:pt idx="346">
                  <c:v>0.93685788520781244</c:v>
                </c:pt>
                <c:pt idx="347">
                  <c:v>0.95966727465936774</c:v>
                </c:pt>
                <c:pt idx="348">
                  <c:v>0.98973327559285651</c:v>
                </c:pt>
                <c:pt idx="349">
                  <c:v>1.004603161177696</c:v>
                </c:pt>
                <c:pt idx="350">
                  <c:v>1.0166019343538193</c:v>
                </c:pt>
                <c:pt idx="351">
                  <c:v>1.0209774561418865</c:v>
                </c:pt>
                <c:pt idx="352">
                  <c:v>1.0163733401492192</c:v>
                </c:pt>
                <c:pt idx="353">
                  <c:v>1.0054656275207916</c:v>
                </c:pt>
                <c:pt idx="354">
                  <c:v>0.98309782955585068</c:v>
                </c:pt>
                <c:pt idx="355">
                  <c:v>0.97894477036699512</c:v>
                </c:pt>
                <c:pt idx="356">
                  <c:v>0.96599327212668795</c:v>
                </c:pt>
                <c:pt idx="357">
                  <c:v>0.96333647137717138</c:v>
                </c:pt>
                <c:pt idx="358">
                  <c:v>0.95840952996157569</c:v>
                </c:pt>
                <c:pt idx="359">
                  <c:v>0.97034960774551982</c:v>
                </c:pt>
                <c:pt idx="360">
                  <c:v>0.98417146319297177</c:v>
                </c:pt>
                <c:pt idx="361">
                  <c:v>1.0159569274228892</c:v>
                </c:pt>
                <c:pt idx="362">
                  <c:v>1.0345837153777018</c:v>
                </c:pt>
                <c:pt idx="363">
                  <c:v>1.0527004251631884</c:v>
                </c:pt>
                <c:pt idx="364">
                  <c:v>1.0325981814664345</c:v>
                </c:pt>
                <c:pt idx="365">
                  <c:v>1.0179572877131366</c:v>
                </c:pt>
                <c:pt idx="366">
                  <c:v>0.98842440914210483</c:v>
                </c:pt>
                <c:pt idx="367">
                  <c:v>0.95896229867261817</c:v>
                </c:pt>
                <c:pt idx="368">
                  <c:v>0.94476568815530704</c:v>
                </c:pt>
                <c:pt idx="369">
                  <c:v>0.95278184562997115</c:v>
                </c:pt>
                <c:pt idx="370">
                  <c:v>0.96282485875706214</c:v>
                </c:pt>
                <c:pt idx="371">
                  <c:v>0.96856721018461844</c:v>
                </c:pt>
                <c:pt idx="372">
                  <c:v>0.96971471055673286</c:v>
                </c:pt>
                <c:pt idx="373">
                  <c:v>0.95935517012374483</c:v>
                </c:pt>
                <c:pt idx="374">
                  <c:v>0.92660664940719428</c:v>
                </c:pt>
                <c:pt idx="375">
                  <c:v>0.88581678844456135</c:v>
                </c:pt>
                <c:pt idx="376">
                  <c:v>0.83328076752093627</c:v>
                </c:pt>
                <c:pt idx="377">
                  <c:v>0.7845905470855653</c:v>
                </c:pt>
                <c:pt idx="378">
                  <c:v>0.74375335699861067</c:v>
                </c:pt>
                <c:pt idx="379">
                  <c:v>0.72567759775484941</c:v>
                </c:pt>
                <c:pt idx="380">
                  <c:v>0.73362559952038364</c:v>
                </c:pt>
                <c:pt idx="381">
                  <c:v>0.76160287144056638</c:v>
                </c:pt>
                <c:pt idx="382">
                  <c:v>0.80175570987515687</c:v>
                </c:pt>
                <c:pt idx="383">
                  <c:v>0.84280445455096453</c:v>
                </c:pt>
                <c:pt idx="384">
                  <c:v>0.87947534372793734</c:v>
                </c:pt>
                <c:pt idx="385">
                  <c:v>0.91188727551344584</c:v>
                </c:pt>
                <c:pt idx="386">
                  <c:v>0.94217613885975049</c:v>
                </c:pt>
                <c:pt idx="387">
                  <c:v>0.96037595091071615</c:v>
                </c:pt>
                <c:pt idx="388">
                  <c:v>0.96527329941721596</c:v>
                </c:pt>
                <c:pt idx="389">
                  <c:v>0.96572839196710936</c:v>
                </c:pt>
                <c:pt idx="390">
                  <c:v>0.97229885914547765</c:v>
                </c:pt>
                <c:pt idx="391">
                  <c:v>0.98001951170068546</c:v>
                </c:pt>
                <c:pt idx="392">
                  <c:v>0.98661666726260711</c:v>
                </c:pt>
                <c:pt idx="393">
                  <c:v>0.98937435176546895</c:v>
                </c:pt>
                <c:pt idx="394">
                  <c:v>0.97222346255629877</c:v>
                </c:pt>
                <c:pt idx="395">
                  <c:v>0.95680148768014872</c:v>
                </c:pt>
                <c:pt idx="396">
                  <c:v>0.94831021602588506</c:v>
                </c:pt>
                <c:pt idx="397">
                  <c:v>0.96591217318348999</c:v>
                </c:pt>
                <c:pt idx="398">
                  <c:v>0.98966364508778026</c:v>
                </c:pt>
                <c:pt idx="399">
                  <c:v>1.0021091956028356</c:v>
                </c:pt>
                <c:pt idx="400">
                  <c:v>0.99959186702285541</c:v>
                </c:pt>
                <c:pt idx="401">
                  <c:v>0.9869170080378924</c:v>
                </c:pt>
                <c:pt idx="402">
                  <c:v>0.96176372031231927</c:v>
                </c:pt>
                <c:pt idx="403">
                  <c:v>0.93759887840854939</c:v>
                </c:pt>
                <c:pt idx="404">
                  <c:v>0.93130806788016685</c:v>
                </c:pt>
                <c:pt idx="405">
                  <c:v>0.93527789602265365</c:v>
                </c:pt>
                <c:pt idx="406">
                  <c:v>0.94505418068912028</c:v>
                </c:pt>
                <c:pt idx="407">
                  <c:v>0.96691569941813471</c:v>
                </c:pt>
                <c:pt idx="408">
                  <c:v>0.99456181024591617</c:v>
                </c:pt>
                <c:pt idx="409">
                  <c:v>1.0029713015571806</c:v>
                </c:pt>
                <c:pt idx="410">
                  <c:v>0.99512519388433418</c:v>
                </c:pt>
                <c:pt idx="411">
                  <c:v>0.99168044154419388</c:v>
                </c:pt>
                <c:pt idx="412">
                  <c:v>0.99145030461887218</c:v>
                </c:pt>
                <c:pt idx="413">
                  <c:v>0.99299207597855355</c:v>
                </c:pt>
                <c:pt idx="414">
                  <c:v>0.99877319067742887</c:v>
                </c:pt>
                <c:pt idx="415">
                  <c:v>1.0041084028814091</c:v>
                </c:pt>
                <c:pt idx="416">
                  <c:v>1.0234725807021885</c:v>
                </c:pt>
                <c:pt idx="417">
                  <c:v>1.0603074236245122</c:v>
                </c:pt>
                <c:pt idx="418">
                  <c:v>1.0926217033314789</c:v>
                </c:pt>
                <c:pt idx="419">
                  <c:v>1.1104907389221266</c:v>
                </c:pt>
                <c:pt idx="420">
                  <c:v>1.1155514705882352</c:v>
                </c:pt>
                <c:pt idx="421">
                  <c:v>1.0952528996419959</c:v>
                </c:pt>
                <c:pt idx="422">
                  <c:v>1.0481591188925035</c:v>
                </c:pt>
                <c:pt idx="423">
                  <c:v>0.98337410072470743</c:v>
                </c:pt>
                <c:pt idx="424">
                  <c:v>0.89985642814360711</c:v>
                </c:pt>
                <c:pt idx="425">
                  <c:v>0.81046974449274567</c:v>
                </c:pt>
                <c:pt idx="426">
                  <c:v>0.74433616610588138</c:v>
                </c:pt>
                <c:pt idx="427">
                  <c:v>0.71923855936769465</c:v>
                </c:pt>
                <c:pt idx="428">
                  <c:v>0.73757854999062089</c:v>
                </c:pt>
                <c:pt idx="429">
                  <c:v>0.76806226237238329</c:v>
                </c:pt>
                <c:pt idx="430">
                  <c:v>0.81202869902628305</c:v>
                </c:pt>
                <c:pt idx="431">
                  <c:v>0.86788746844993592</c:v>
                </c:pt>
                <c:pt idx="432">
                  <c:v>0.92468779625706632</c:v>
                </c:pt>
                <c:pt idx="433">
                  <c:v>0.96780491228993792</c:v>
                </c:pt>
                <c:pt idx="434">
                  <c:v>0.99224969375911776</c:v>
                </c:pt>
                <c:pt idx="435">
                  <c:v>0.99585395700535151</c:v>
                </c:pt>
                <c:pt idx="436">
                  <c:v>0.98835646849878478</c:v>
                </c:pt>
                <c:pt idx="437">
                  <c:v>0.97356689595163481</c:v>
                </c:pt>
                <c:pt idx="438">
                  <c:v>0.94711618444978241</c:v>
                </c:pt>
                <c:pt idx="439">
                  <c:v>0.90464239164604365</c:v>
                </c:pt>
                <c:pt idx="440">
                  <c:v>0.86114756488772237</c:v>
                </c:pt>
                <c:pt idx="441">
                  <c:v>0.81193214488991439</c:v>
                </c:pt>
                <c:pt idx="442">
                  <c:v>0.78457597929943268</c:v>
                </c:pt>
                <c:pt idx="443">
                  <c:v>0.78181946607770791</c:v>
                </c:pt>
                <c:pt idx="444">
                  <c:v>0.81877300149072951</c:v>
                </c:pt>
                <c:pt idx="445">
                  <c:v>0.85791723510686679</c:v>
                </c:pt>
                <c:pt idx="446">
                  <c:v>0.89895877881250164</c:v>
                </c:pt>
                <c:pt idx="447">
                  <c:v>0.92426521533351125</c:v>
                </c:pt>
                <c:pt idx="448">
                  <c:v>0.93952395902373231</c:v>
                </c:pt>
                <c:pt idx="449">
                  <c:v>0.9637436535593461</c:v>
                </c:pt>
                <c:pt idx="450">
                  <c:v>0.98453271367366202</c:v>
                </c:pt>
                <c:pt idx="451">
                  <c:v>0.97402149619747991</c:v>
                </c:pt>
                <c:pt idx="452">
                  <c:v>0.9410626799479892</c:v>
                </c:pt>
                <c:pt idx="453">
                  <c:v>0.90555598671512738</c:v>
                </c:pt>
                <c:pt idx="454">
                  <c:v>0.88972654584685518</c:v>
                </c:pt>
                <c:pt idx="455">
                  <c:v>0.90442282256164952</c:v>
                </c:pt>
                <c:pt idx="456">
                  <c:v>0.94135060102702006</c:v>
                </c:pt>
                <c:pt idx="457">
                  <c:v>0.97890328360241052</c:v>
                </c:pt>
                <c:pt idx="458">
                  <c:v>1.0088275578489543</c:v>
                </c:pt>
                <c:pt idx="459">
                  <c:v>1.0247279248038359</c:v>
                </c:pt>
                <c:pt idx="460">
                  <c:v>1.0303819444444444</c:v>
                </c:pt>
                <c:pt idx="461">
                  <c:v>1.0315499317024353</c:v>
                </c:pt>
                <c:pt idx="462">
                  <c:v>1.0240083386582393</c:v>
                </c:pt>
                <c:pt idx="463">
                  <c:v>1.0199421800338306</c:v>
                </c:pt>
                <c:pt idx="464">
                  <c:v>1.009488148482012</c:v>
                </c:pt>
                <c:pt idx="465">
                  <c:v>1.017744002599325</c:v>
                </c:pt>
                <c:pt idx="466">
                  <c:v>1.0361721968640563</c:v>
                </c:pt>
                <c:pt idx="467">
                  <c:v>1.061875582164675</c:v>
                </c:pt>
                <c:pt idx="468">
                  <c:v>1.091708883401034</c:v>
                </c:pt>
                <c:pt idx="469">
                  <c:v>1.0989553705518174</c:v>
                </c:pt>
                <c:pt idx="470">
                  <c:v>1.0920000000000001</c:v>
                </c:pt>
                <c:pt idx="471">
                  <c:v>1.0776664824686473</c:v>
                </c:pt>
                <c:pt idx="472">
                  <c:v>1.0726714372961823</c:v>
                </c:pt>
                <c:pt idx="473">
                  <c:v>1.0731531017839568</c:v>
                </c:pt>
                <c:pt idx="474">
                  <c:v>1.0788897173339167</c:v>
                </c:pt>
                <c:pt idx="475">
                  <c:v>1.0735444882102196</c:v>
                </c:pt>
                <c:pt idx="476">
                  <c:v>1.0587472958667035</c:v>
                </c:pt>
                <c:pt idx="477">
                  <c:v>1.0374197221900698</c:v>
                </c:pt>
                <c:pt idx="478">
                  <c:v>1.028757341336576</c:v>
                </c:pt>
                <c:pt idx="479">
                  <c:v>1.0144627668707733</c:v>
                </c:pt>
                <c:pt idx="480">
                  <c:v>0.99041223786268318</c:v>
                </c:pt>
                <c:pt idx="481">
                  <c:v>0.96681046953827288</c:v>
                </c:pt>
                <c:pt idx="482">
                  <c:v>0.96149153554439792</c:v>
                </c:pt>
                <c:pt idx="483">
                  <c:v>0.97267889722642131</c:v>
                </c:pt>
                <c:pt idx="484">
                  <c:v>0.9921078903883227</c:v>
                </c:pt>
                <c:pt idx="485">
                  <c:v>1.019806061909627</c:v>
                </c:pt>
                <c:pt idx="486">
                  <c:v>1.0179939852814275</c:v>
                </c:pt>
                <c:pt idx="487">
                  <c:v>1.0018549685429146</c:v>
                </c:pt>
                <c:pt idx="488">
                  <c:v>0.99092091541467553</c:v>
                </c:pt>
                <c:pt idx="489">
                  <c:v>0.98414837334486582</c:v>
                </c:pt>
                <c:pt idx="490">
                  <c:v>0.98965714694724782</c:v>
                </c:pt>
                <c:pt idx="491">
                  <c:v>0.9969167670202117</c:v>
                </c:pt>
                <c:pt idx="492">
                  <c:v>1.0022775132759567</c:v>
                </c:pt>
                <c:pt idx="493">
                  <c:v>0.9808211968642897</c:v>
                </c:pt>
                <c:pt idx="494">
                  <c:v>0.93278834304079428</c:v>
                </c:pt>
                <c:pt idx="495">
                  <c:v>0.85456007146047341</c:v>
                </c:pt>
                <c:pt idx="496">
                  <c:v>0.7878847626558767</c:v>
                </c:pt>
                <c:pt idx="497">
                  <c:v>0.76499477601121502</c:v>
                </c:pt>
                <c:pt idx="498">
                  <c:v>0.79570019904106182</c:v>
                </c:pt>
                <c:pt idx="499">
                  <c:v>0.86524798399039649</c:v>
                </c:pt>
                <c:pt idx="500">
                  <c:v>0.91570348173515981</c:v>
                </c:pt>
                <c:pt idx="501">
                  <c:v>0.94280544264460553</c:v>
                </c:pt>
                <c:pt idx="502">
                  <c:v>0.95156708563996817</c:v>
                </c:pt>
                <c:pt idx="503">
                  <c:v>0.96050284016591214</c:v>
                </c:pt>
                <c:pt idx="504">
                  <c:v>0.99056254204243577</c:v>
                </c:pt>
                <c:pt idx="505">
                  <c:v>1.0193941336752685</c:v>
                </c:pt>
                <c:pt idx="506">
                  <c:v>1.0458950408914944</c:v>
                </c:pt>
                <c:pt idx="507">
                  <c:v>1.0669350170970169</c:v>
                </c:pt>
                <c:pt idx="508">
                  <c:v>1.0805974993167533</c:v>
                </c:pt>
                <c:pt idx="509">
                  <c:v>1.0769282216240867</c:v>
                </c:pt>
                <c:pt idx="510">
                  <c:v>1.0706664769898286</c:v>
                </c:pt>
                <c:pt idx="511">
                  <c:v>1.0678587148435028</c:v>
                </c:pt>
                <c:pt idx="512">
                  <c:v>1.0662981540246357</c:v>
                </c:pt>
                <c:pt idx="513">
                  <c:v>1.0845317950951958</c:v>
                </c:pt>
                <c:pt idx="514">
                  <c:v>1.0894708872918035</c:v>
                </c:pt>
                <c:pt idx="515">
                  <c:v>1.1019371792823025</c:v>
                </c:pt>
                <c:pt idx="516">
                  <c:v>1.0889430723439062</c:v>
                </c:pt>
                <c:pt idx="517">
                  <c:v>1.0624712963100986</c:v>
                </c:pt>
                <c:pt idx="518">
                  <c:v>1.0436802261715192</c:v>
                </c:pt>
                <c:pt idx="519">
                  <c:v>1.0279873921590468</c:v>
                </c:pt>
                <c:pt idx="520">
                  <c:v>1.0332978723404256</c:v>
                </c:pt>
                <c:pt idx="521">
                  <c:v>1.0426836661115046</c:v>
                </c:pt>
                <c:pt idx="522">
                  <c:v>1.055219890047888</c:v>
                </c:pt>
                <c:pt idx="523">
                  <c:v>1.0622941898013805</c:v>
                </c:pt>
                <c:pt idx="524">
                  <c:v>1.0732269563837504</c:v>
                </c:pt>
                <c:pt idx="525">
                  <c:v>1.0899980523734485</c:v>
                </c:pt>
                <c:pt idx="526">
                  <c:v>1.1181961590638108</c:v>
                </c:pt>
                <c:pt idx="527">
                  <c:v>1.1309140818162577</c:v>
                </c:pt>
                <c:pt idx="528">
                  <c:v>1.1325166155274509</c:v>
                </c:pt>
                <c:pt idx="529">
                  <c:v>1.1111276183765482</c:v>
                </c:pt>
                <c:pt idx="530">
                  <c:v>1.0666595940306953</c:v>
                </c:pt>
                <c:pt idx="531">
                  <c:v>1.0148280501937736</c:v>
                </c:pt>
                <c:pt idx="532">
                  <c:v>0.96719626538183134</c:v>
                </c:pt>
                <c:pt idx="533">
                  <c:v>0.93969672749218924</c:v>
                </c:pt>
                <c:pt idx="534">
                  <c:v>0.93075899177902555</c:v>
                </c:pt>
                <c:pt idx="535">
                  <c:v>0.93418798891066734</c:v>
                </c:pt>
                <c:pt idx="536">
                  <c:v>0.93051977764973048</c:v>
                </c:pt>
                <c:pt idx="537">
                  <c:v>0.93740888704711789</c:v>
                </c:pt>
                <c:pt idx="538">
                  <c:v>0.95710563239126079</c:v>
                </c:pt>
                <c:pt idx="539">
                  <c:v>0.99245787054970969</c:v>
                </c:pt>
                <c:pt idx="540">
                  <c:v>1.0141788939051919</c:v>
                </c:pt>
                <c:pt idx="541">
                  <c:v>1.0140279091285431</c:v>
                </c:pt>
                <c:pt idx="542">
                  <c:v>1.007074587045482</c:v>
                </c:pt>
                <c:pt idx="543">
                  <c:v>1.0057300106931064</c:v>
                </c:pt>
                <c:pt idx="544">
                  <c:v>1.0172837104939734</c:v>
                </c:pt>
                <c:pt idx="545">
                  <c:v>1.0265433729634523</c:v>
                </c:pt>
                <c:pt idx="546">
                  <c:v>1.0316089606148802</c:v>
                </c:pt>
                <c:pt idx="547">
                  <c:v>1.0041047243412478</c:v>
                </c:pt>
                <c:pt idx="548">
                  <c:v>0.9808394160583942</c:v>
                </c:pt>
                <c:pt idx="549">
                  <c:v>0.94653632319063263</c:v>
                </c:pt>
                <c:pt idx="550">
                  <c:v>0.92474139750897189</c:v>
                </c:pt>
                <c:pt idx="551">
                  <c:v>0.90872700129938744</c:v>
                </c:pt>
                <c:pt idx="552">
                  <c:v>0.87538402673838911</c:v>
                </c:pt>
                <c:pt idx="553">
                  <c:v>0.82595521727910126</c:v>
                </c:pt>
                <c:pt idx="554">
                  <c:v>0.74811380975279163</c:v>
                </c:pt>
                <c:pt idx="555">
                  <c:v>0.70127040466693613</c:v>
                </c:pt>
                <c:pt idx="556">
                  <c:v>0.69878940681777291</c:v>
                </c:pt>
                <c:pt idx="557">
                  <c:v>0.73814607100730556</c:v>
                </c:pt>
                <c:pt idx="558">
                  <c:v>0.79076049547815785</c:v>
                </c:pt>
                <c:pt idx="559">
                  <c:v>0.85248079636031426</c:v>
                </c:pt>
                <c:pt idx="560">
                  <c:v>0.89613170457736591</c:v>
                </c:pt>
                <c:pt idx="561">
                  <c:v>0.92140976571520417</c:v>
                </c:pt>
                <c:pt idx="562">
                  <c:v>0.93541496495527132</c:v>
                </c:pt>
                <c:pt idx="563">
                  <c:v>0.9469246522435526</c:v>
                </c:pt>
                <c:pt idx="564">
                  <c:v>0.96751408466511046</c:v>
                </c:pt>
                <c:pt idx="565">
                  <c:v>0.97897929486842339</c:v>
                </c:pt>
                <c:pt idx="566">
                  <c:v>0.99201841989393413</c:v>
                </c:pt>
                <c:pt idx="567">
                  <c:v>0.99891980252223656</c:v>
                </c:pt>
                <c:pt idx="568">
                  <c:v>0.98928022785122394</c:v>
                </c:pt>
                <c:pt idx="569">
                  <c:v>0.96633335645554685</c:v>
                </c:pt>
                <c:pt idx="570">
                  <c:v>0.94112084063047285</c:v>
                </c:pt>
                <c:pt idx="571">
                  <c:v>0.92905233859948078</c:v>
                </c:pt>
                <c:pt idx="572">
                  <c:v>0.93775208389351983</c:v>
                </c:pt>
                <c:pt idx="573">
                  <c:v>0.94207398394417219</c:v>
                </c:pt>
                <c:pt idx="574">
                  <c:v>0.94356064742098322</c:v>
                </c:pt>
                <c:pt idx="575">
                  <c:v>0.95537010794450572</c:v>
                </c:pt>
                <c:pt idx="576">
                  <c:v>0.96378275811886405</c:v>
                </c:pt>
                <c:pt idx="577">
                  <c:v>0.96295969853471475</c:v>
                </c:pt>
                <c:pt idx="578">
                  <c:v>0.95944569866753948</c:v>
                </c:pt>
                <c:pt idx="579">
                  <c:v>0.94576045769617767</c:v>
                </c:pt>
                <c:pt idx="580">
                  <c:v>0.93777964205816555</c:v>
                </c:pt>
                <c:pt idx="581">
                  <c:v>0.92393192323365336</c:v>
                </c:pt>
                <c:pt idx="582">
                  <c:v>0.90289289118603233</c:v>
                </c:pt>
                <c:pt idx="583">
                  <c:v>0.85311176183299553</c:v>
                </c:pt>
                <c:pt idx="584">
                  <c:v>0.76248477126155423</c:v>
                </c:pt>
                <c:pt idx="585">
                  <c:v>0.66068341743639891</c:v>
                </c:pt>
                <c:pt idx="586">
                  <c:v>0.58259383091580985</c:v>
                </c:pt>
                <c:pt idx="587">
                  <c:v>0.55480269299055862</c:v>
                </c:pt>
                <c:pt idx="588">
                  <c:v>0.59588461624374556</c:v>
                </c:pt>
                <c:pt idx="589">
                  <c:v>0.68716722534771879</c:v>
                </c:pt>
                <c:pt idx="590">
                  <c:v>0.79321052264322101</c:v>
                </c:pt>
                <c:pt idx="591">
                  <c:v>0.87539130113251462</c:v>
                </c:pt>
                <c:pt idx="592">
                  <c:v>0.92556165667793888</c:v>
                </c:pt>
                <c:pt idx="593">
                  <c:v>0.94729581670875562</c:v>
                </c:pt>
                <c:pt idx="594">
                  <c:v>0.94789571891970292</c:v>
                </c:pt>
                <c:pt idx="595">
                  <c:v>0.93040522875816989</c:v>
                </c:pt>
                <c:pt idx="596">
                  <c:v>0.91166744735902927</c:v>
                </c:pt>
                <c:pt idx="597">
                  <c:v>0.91112720237568401</c:v>
                </c:pt>
                <c:pt idx="598">
                  <c:v>0.90672112916307812</c:v>
                </c:pt>
                <c:pt idx="599">
                  <c:v>0.88483090293090438</c:v>
                </c:pt>
                <c:pt idx="600">
                  <c:v>0.85814293675118414</c:v>
                </c:pt>
                <c:pt idx="601">
                  <c:v>0.84758806523572627</c:v>
                </c:pt>
                <c:pt idx="602">
                  <c:v>0.84525470796810198</c:v>
                </c:pt>
                <c:pt idx="603">
                  <c:v>0.86784825848997882</c:v>
                </c:pt>
                <c:pt idx="604">
                  <c:v>0.86885608794439984</c:v>
                </c:pt>
                <c:pt idx="605">
                  <c:v>0.84428668371874516</c:v>
                </c:pt>
                <c:pt idx="606">
                  <c:v>0.82153563942758678</c:v>
                </c:pt>
                <c:pt idx="607">
                  <c:v>0.84130525990602767</c:v>
                </c:pt>
                <c:pt idx="608">
                  <c:v>0.88482708340290073</c:v>
                </c:pt>
                <c:pt idx="609">
                  <c:v>0.92019845876583017</c:v>
                </c:pt>
                <c:pt idx="610">
                  <c:v>0.95632519646707004</c:v>
                </c:pt>
                <c:pt idx="611">
                  <c:v>0.8965878345255156</c:v>
                </c:pt>
                <c:pt idx="612">
                  <c:v>1.0083527075731957</c:v>
                </c:pt>
                <c:pt idx="613">
                  <c:v>1.0233908982024273</c:v>
                </c:pt>
                <c:pt idx="614">
                  <c:v>1.0323096769171316</c:v>
                </c:pt>
                <c:pt idx="615">
                  <c:v>1.0319150784412516</c:v>
                </c:pt>
                <c:pt idx="616">
                  <c:v>1.0344750914407053</c:v>
                </c:pt>
                <c:pt idx="617">
                  <c:v>1.0364452744250867</c:v>
                </c:pt>
                <c:pt idx="618">
                  <c:v>1.0389025810018924</c:v>
                </c:pt>
                <c:pt idx="619">
                  <c:v>1.0187533120942576</c:v>
                </c:pt>
                <c:pt idx="620">
                  <c:v>0.97513888888888889</c:v>
                </c:pt>
                <c:pt idx="621">
                  <c:v>0.91980344382963741</c:v>
                </c:pt>
                <c:pt idx="622">
                  <c:v>0.86917070027964538</c:v>
                </c:pt>
                <c:pt idx="623">
                  <c:v>0.84965128895016007</c:v>
                </c:pt>
                <c:pt idx="624">
                  <c:v>0.86518867505469244</c:v>
                </c:pt>
                <c:pt idx="625">
                  <c:v>0.8795433647356824</c:v>
                </c:pt>
                <c:pt idx="626">
                  <c:v>0.89916900505424791</c:v>
                </c:pt>
                <c:pt idx="627">
                  <c:v>0.89839324356107564</c:v>
                </c:pt>
                <c:pt idx="628">
                  <c:v>0.8851322478245427</c:v>
                </c:pt>
                <c:pt idx="629">
                  <c:v>0.87468501143426702</c:v>
                </c:pt>
                <c:pt idx="630">
                  <c:v>0.87318815451834386</c:v>
                </c:pt>
                <c:pt idx="631">
                  <c:v>0.88351609031127976</c:v>
                </c:pt>
                <c:pt idx="632">
                  <c:v>0.90389639564682001</c:v>
                </c:pt>
                <c:pt idx="633">
                  <c:v>0.92850195260639856</c:v>
                </c:pt>
                <c:pt idx="634">
                  <c:v>0.9507113525264036</c:v>
                </c:pt>
                <c:pt idx="635">
                  <c:v>0.96570844379754295</c:v>
                </c:pt>
                <c:pt idx="636">
                  <c:v>0.96088275082054464</c:v>
                </c:pt>
                <c:pt idx="637">
                  <c:v>0.94576924436166032</c:v>
                </c:pt>
                <c:pt idx="638">
                  <c:v>0.93433272638081699</c:v>
                </c:pt>
                <c:pt idx="639">
                  <c:v>0.91912439666657197</c:v>
                </c:pt>
                <c:pt idx="640">
                  <c:v>0.89876004433361045</c:v>
                </c:pt>
                <c:pt idx="641">
                  <c:v>0.85509423664198803</c:v>
                </c:pt>
                <c:pt idx="642">
                  <c:v>0.78591829441601868</c:v>
                </c:pt>
                <c:pt idx="643">
                  <c:v>0.71568503210714718</c:v>
                </c:pt>
                <c:pt idx="644">
                  <c:v>0.65512690552158115</c:v>
                </c:pt>
                <c:pt idx="645">
                  <c:v>0.62968411942881874</c:v>
                </c:pt>
                <c:pt idx="646">
                  <c:v>0.64284151734412165</c:v>
                </c:pt>
                <c:pt idx="647">
                  <c:v>0.69185302397570103</c:v>
                </c:pt>
                <c:pt idx="648">
                  <c:v>0.72465974906147224</c:v>
                </c:pt>
                <c:pt idx="649">
                  <c:v>0.76237457256572672</c:v>
                </c:pt>
                <c:pt idx="650">
                  <c:v>0.8375544944986506</c:v>
                </c:pt>
                <c:pt idx="651">
                  <c:v>0.90555956488857559</c:v>
                </c:pt>
                <c:pt idx="652">
                  <c:v>0.95321217454835283</c:v>
                </c:pt>
                <c:pt idx="653">
                  <c:v>0.95889965555433332</c:v>
                </c:pt>
                <c:pt idx="654">
                  <c:v>0.94725949127171005</c:v>
                </c:pt>
                <c:pt idx="655">
                  <c:v>0.93472359115353354</c:v>
                </c:pt>
                <c:pt idx="656">
                  <c:v>0.93384484723743755</c:v>
                </c:pt>
                <c:pt idx="657">
                  <c:v>0.93400487264795851</c:v>
                </c:pt>
                <c:pt idx="658">
                  <c:v>0.9272167041453343</c:v>
                </c:pt>
                <c:pt idx="659">
                  <c:v>0.91835669327978897</c:v>
                </c:pt>
                <c:pt idx="660">
                  <c:v>0.90946487831858402</c:v>
                </c:pt>
                <c:pt idx="661">
                  <c:v>0.90185472848956694</c:v>
                </c:pt>
                <c:pt idx="662">
                  <c:v>0.91650560334458697</c:v>
                </c:pt>
                <c:pt idx="663">
                  <c:v>0.9462582019988236</c:v>
                </c:pt>
                <c:pt idx="664">
                  <c:v>0.96553649824724375</c:v>
                </c:pt>
                <c:pt idx="665">
                  <c:v>0.96781215985072311</c:v>
                </c:pt>
                <c:pt idx="666">
                  <c:v>0.95661343778246455</c:v>
                </c:pt>
                <c:pt idx="667">
                  <c:v>0.92696817489882122</c:v>
                </c:pt>
                <c:pt idx="668">
                  <c:v>0.90627625585920235</c:v>
                </c:pt>
                <c:pt idx="669">
                  <c:v>0.8699743470874306</c:v>
                </c:pt>
                <c:pt idx="670">
                  <c:v>0.81198618307426595</c:v>
                </c:pt>
                <c:pt idx="671">
                  <c:v>0.72585709163932832</c:v>
                </c:pt>
                <c:pt idx="672">
                  <c:v>0.64029326598954484</c:v>
                </c:pt>
                <c:pt idx="673">
                  <c:v>0.60657926454854327</c:v>
                </c:pt>
                <c:pt idx="674">
                  <c:v>0.63637694732450945</c:v>
                </c:pt>
                <c:pt idx="675">
                  <c:v>0.71651789568190061</c:v>
                </c:pt>
                <c:pt idx="676">
                  <c:v>0.80542020242199241</c:v>
                </c:pt>
                <c:pt idx="677">
                  <c:v>0.88105453091562969</c:v>
                </c:pt>
                <c:pt idx="678">
                  <c:v>0.91728834250771274</c:v>
                </c:pt>
                <c:pt idx="679">
                  <c:v>0.93159725171043117</c:v>
                </c:pt>
                <c:pt idx="680">
                  <c:v>0.93292598729632703</c:v>
                </c:pt>
                <c:pt idx="681">
                  <c:v>0.94430088389269018</c:v>
                </c:pt>
                <c:pt idx="682">
                  <c:v>0.94925567254562482</c:v>
                </c:pt>
                <c:pt idx="683">
                  <c:v>0.94986231828533285</c:v>
                </c:pt>
                <c:pt idx="684">
                  <c:v>0.94491352270719198</c:v>
                </c:pt>
                <c:pt idx="685">
                  <c:v>0.93779227278217803</c:v>
                </c:pt>
                <c:pt idx="686">
                  <c:v>0.91921559532979391</c:v>
                </c:pt>
                <c:pt idx="687">
                  <c:v>0.89674245001935937</c:v>
                </c:pt>
                <c:pt idx="688">
                  <c:v>0.85639789754971785</c:v>
                </c:pt>
                <c:pt idx="689">
                  <c:v>0.7929048148462533</c:v>
                </c:pt>
                <c:pt idx="690">
                  <c:v>0.70202194465530332</c:v>
                </c:pt>
                <c:pt idx="691">
                  <c:v>0.59710494155575755</c:v>
                </c:pt>
                <c:pt idx="692">
                  <c:v>0.51652065668609792</c:v>
                </c:pt>
                <c:pt idx="693">
                  <c:v>0.49990650471857923</c:v>
                </c:pt>
                <c:pt idx="694">
                  <c:v>0.55522436667025454</c:v>
                </c:pt>
                <c:pt idx="695">
                  <c:v>0.66018111254851231</c:v>
                </c:pt>
                <c:pt idx="696">
                  <c:v>0.7774122685977326</c:v>
                </c:pt>
                <c:pt idx="697">
                  <c:v>0.86021038020077678</c:v>
                </c:pt>
                <c:pt idx="698">
                  <c:v>0.90492274662715</c:v>
                </c:pt>
                <c:pt idx="699">
                  <c:v>0.93597432046574169</c:v>
                </c:pt>
                <c:pt idx="700">
                  <c:v>0.95647075055187636</c:v>
                </c:pt>
                <c:pt idx="701">
                  <c:v>0.95879042989323549</c:v>
                </c:pt>
                <c:pt idx="702">
                  <c:v>0.96145621504391321</c:v>
                </c:pt>
                <c:pt idx="703">
                  <c:v>0.95843240480344005</c:v>
                </c:pt>
                <c:pt idx="704">
                  <c:v>0.94740864594024876</c:v>
                </c:pt>
                <c:pt idx="705">
                  <c:v>0.91838388715490338</c:v>
                </c:pt>
                <c:pt idx="706">
                  <c:v>0.89246546429724294</c:v>
                </c:pt>
                <c:pt idx="707">
                  <c:v>0.87334316896245157</c:v>
                </c:pt>
                <c:pt idx="708">
                  <c:v>0.88112198728701341</c:v>
                </c:pt>
                <c:pt idx="709">
                  <c:v>0.90869651881294922</c:v>
                </c:pt>
                <c:pt idx="710">
                  <c:v>0.92502931236637009</c:v>
                </c:pt>
                <c:pt idx="711">
                  <c:v>0.92222393112994583</c:v>
                </c:pt>
                <c:pt idx="712">
                  <c:v>0.87696974211275525</c:v>
                </c:pt>
                <c:pt idx="713">
                  <c:v>0.83578686452162865</c:v>
                </c:pt>
                <c:pt idx="714">
                  <c:v>0.81119255374616206</c:v>
                </c:pt>
                <c:pt idx="715">
                  <c:v>0.82515215779582407</c:v>
                </c:pt>
                <c:pt idx="716">
                  <c:v>0.87011304952330504</c:v>
                </c:pt>
                <c:pt idx="717">
                  <c:v>0.91207462667009653</c:v>
                </c:pt>
                <c:pt idx="718">
                  <c:v>0.94820951230210293</c:v>
                </c:pt>
                <c:pt idx="719">
                  <c:v>0.96427652708726008</c:v>
                </c:pt>
                <c:pt idx="720">
                  <c:v>0.97296551724137936</c:v>
                </c:pt>
                <c:pt idx="721">
                  <c:v>0.97586274197430478</c:v>
                </c:pt>
                <c:pt idx="722">
                  <c:v>0.98251995177917739</c:v>
                </c:pt>
                <c:pt idx="723">
                  <c:v>0.9953165226542785</c:v>
                </c:pt>
                <c:pt idx="724">
                  <c:v>1.0177353681144068</c:v>
                </c:pt>
                <c:pt idx="725">
                  <c:v>1.0437421334850601</c:v>
                </c:pt>
                <c:pt idx="726">
                  <c:v>1.0618194658626008</c:v>
                </c:pt>
                <c:pt idx="727">
                  <c:v>1.0539666512868366</c:v>
                </c:pt>
                <c:pt idx="728">
                  <c:v>1.024803853411461</c:v>
                </c:pt>
                <c:pt idx="729">
                  <c:v>0.97715803434536685</c:v>
                </c:pt>
                <c:pt idx="730">
                  <c:v>0.91761500793158146</c:v>
                </c:pt>
                <c:pt idx="731">
                  <c:v>0.89066053098224052</c:v>
                </c:pt>
                <c:pt idx="732">
                  <c:v>0.89243345546040442</c:v>
                </c:pt>
                <c:pt idx="733">
                  <c:v>0.90296731136249675</c:v>
                </c:pt>
                <c:pt idx="734">
                  <c:v>0.92695288466578929</c:v>
                </c:pt>
                <c:pt idx="735">
                  <c:v>0.95183735407218362</c:v>
                </c:pt>
                <c:pt idx="736">
                  <c:v>0.95854854374289522</c:v>
                </c:pt>
                <c:pt idx="737">
                  <c:v>0.9544316074031306</c:v>
                </c:pt>
                <c:pt idx="738">
                  <c:v>0.94455588697060588</c:v>
                </c:pt>
                <c:pt idx="739">
                  <c:v>0.94668396752570816</c:v>
                </c:pt>
                <c:pt idx="740">
                  <c:v>0.94826158940397354</c:v>
                </c:pt>
                <c:pt idx="741">
                  <c:v>0.94815043747788119</c:v>
                </c:pt>
                <c:pt idx="742">
                  <c:v>0.96207975627726772</c:v>
                </c:pt>
                <c:pt idx="743">
                  <c:v>0.98394517724052433</c:v>
                </c:pt>
                <c:pt idx="744">
                  <c:v>1.0063997836381902</c:v>
                </c:pt>
                <c:pt idx="745">
                  <c:v>1.032479517033204</c:v>
                </c:pt>
                <c:pt idx="746">
                  <c:v>1.061874363496361</c:v>
                </c:pt>
                <c:pt idx="747">
                  <c:v>1.0756787377930008</c:v>
                </c:pt>
                <c:pt idx="748">
                  <c:v>1.0975589560148384</c:v>
                </c:pt>
                <c:pt idx="749">
                  <c:v>1.106883371665911</c:v>
                </c:pt>
                <c:pt idx="750">
                  <c:v>1.1140708025671107</c:v>
                </c:pt>
                <c:pt idx="751">
                  <c:v>1.1255735697934977</c:v>
                </c:pt>
                <c:pt idx="752">
                  <c:v>1.1306605492430517</c:v>
                </c:pt>
                <c:pt idx="753">
                  <c:v>1.1256039880986479</c:v>
                </c:pt>
                <c:pt idx="754">
                  <c:v>1.0854860840780649</c:v>
                </c:pt>
                <c:pt idx="755">
                  <c:v>1.0278338596400407</c:v>
                </c:pt>
                <c:pt idx="756">
                  <c:v>0.93832142383813388</c:v>
                </c:pt>
                <c:pt idx="757">
                  <c:v>0.83078437504098701</c:v>
                </c:pt>
                <c:pt idx="758">
                  <c:v>0.69420857736946318</c:v>
                </c:pt>
                <c:pt idx="759">
                  <c:v>0.54688400729316744</c:v>
                </c:pt>
                <c:pt idx="760">
                  <c:v>0.41438829052747861</c:v>
                </c:pt>
                <c:pt idx="761">
                  <c:v>0.31187880570509674</c:v>
                </c:pt>
                <c:pt idx="762">
                  <c:v>0.23973993188955389</c:v>
                </c:pt>
                <c:pt idx="763">
                  <c:v>0.20208527978090682</c:v>
                </c:pt>
                <c:pt idx="764">
                  <c:v>0.18307201891629099</c:v>
                </c:pt>
                <c:pt idx="765">
                  <c:v>0.17935392530948394</c:v>
                </c:pt>
                <c:pt idx="766">
                  <c:v>0.18257678101284358</c:v>
                </c:pt>
                <c:pt idx="767">
                  <c:v>0.192189342246222</c:v>
                </c:pt>
                <c:pt idx="768">
                  <c:v>0.20888363302792853</c:v>
                </c:pt>
                <c:pt idx="769">
                  <c:v>0.22830908283302212</c:v>
                </c:pt>
                <c:pt idx="770">
                  <c:v>0.24822107081174438</c:v>
                </c:pt>
                <c:pt idx="771">
                  <c:v>0.2685506898926972</c:v>
                </c:pt>
                <c:pt idx="772">
                  <c:v>0.2954820575749536</c:v>
                </c:pt>
                <c:pt idx="773">
                  <c:v>0.32335054598874646</c:v>
                </c:pt>
                <c:pt idx="774">
                  <c:v>0.37527192616323585</c:v>
                </c:pt>
                <c:pt idx="775">
                  <c:v>0.44931667789699198</c:v>
                </c:pt>
                <c:pt idx="776">
                  <c:v>0.53477728383593759</c:v>
                </c:pt>
                <c:pt idx="777">
                  <c:v>0.62636901581543747</c:v>
                </c:pt>
                <c:pt idx="778">
                  <c:v>0.69958856270685921</c:v>
                </c:pt>
                <c:pt idx="779">
                  <c:v>0.76870749710166264</c:v>
                </c:pt>
                <c:pt idx="780">
                  <c:v>0.82166067477876104</c:v>
                </c:pt>
                <c:pt idx="781">
                  <c:v>0.86276575958027457</c:v>
                </c:pt>
                <c:pt idx="782">
                  <c:v>0.89765557795977757</c:v>
                </c:pt>
                <c:pt idx="783">
                  <c:v>0.92774636228407281</c:v>
                </c:pt>
                <c:pt idx="784">
                  <c:v>0.95773993294160598</c:v>
                </c:pt>
                <c:pt idx="785">
                  <c:v>0.97401047880894331</c:v>
                </c:pt>
                <c:pt idx="786">
                  <c:v>0.97624311379565087</c:v>
                </c:pt>
                <c:pt idx="787">
                  <c:v>0.98508416746742156</c:v>
                </c:pt>
                <c:pt idx="788">
                  <c:v>0.99399740967056327</c:v>
                </c:pt>
                <c:pt idx="789">
                  <c:v>1.0053354497076263</c:v>
                </c:pt>
                <c:pt idx="790">
                  <c:v>1.0297903259290015</c:v>
                </c:pt>
                <c:pt idx="791">
                  <c:v>1.0422787082540057</c:v>
                </c:pt>
                <c:pt idx="792">
                  <c:v>1.0341455244127973</c:v>
                </c:pt>
                <c:pt idx="793">
                  <c:v>0.99552077947158912</c:v>
                </c:pt>
                <c:pt idx="794">
                  <c:v>0.94231733083008662</c:v>
                </c:pt>
                <c:pt idx="795">
                  <c:v>0.8962700129813933</c:v>
                </c:pt>
                <c:pt idx="796">
                  <c:v>0.86877104936630334</c:v>
                </c:pt>
                <c:pt idx="797">
                  <c:v>0.84476455797533501</c:v>
                </c:pt>
                <c:pt idx="798">
                  <c:v>0.83204286121907367</c:v>
                </c:pt>
                <c:pt idx="799">
                  <c:v>0.84532806375579306</c:v>
                </c:pt>
                <c:pt idx="800">
                  <c:v>0.88542532557495146</c:v>
                </c:pt>
                <c:pt idx="801">
                  <c:v>0.93970025751001607</c:v>
                </c:pt>
                <c:pt idx="802">
                  <c:v>0.98785679246381153</c:v>
                </c:pt>
                <c:pt idx="803">
                  <c:v>1.0227210519495729</c:v>
                </c:pt>
                <c:pt idx="804">
                  <c:v>1.0332694823915549</c:v>
                </c:pt>
                <c:pt idx="805">
                  <c:v>1.0230631941917485</c:v>
                </c:pt>
                <c:pt idx="806">
                  <c:v>1.0017648640929873</c:v>
                </c:pt>
                <c:pt idx="807">
                  <c:v>0.96638938015059306</c:v>
                </c:pt>
                <c:pt idx="808">
                  <c:v>0.93128404388679964</c:v>
                </c:pt>
                <c:pt idx="809">
                  <c:v>0.92612818021758858</c:v>
                </c:pt>
                <c:pt idx="810">
                  <c:v>0.93733962133296345</c:v>
                </c:pt>
                <c:pt idx="811">
                  <c:v>0.97321322671061417</c:v>
                </c:pt>
                <c:pt idx="812">
                  <c:v>0.99692272686911731</c:v>
                </c:pt>
                <c:pt idx="813">
                  <c:v>0.99635689016762741</c:v>
                </c:pt>
                <c:pt idx="814">
                  <c:v>1.0004760041188929</c:v>
                </c:pt>
                <c:pt idx="815">
                  <c:v>0.99755373965544158</c:v>
                </c:pt>
                <c:pt idx="816">
                  <c:v>0.9939033193039345</c:v>
                </c:pt>
                <c:pt idx="817">
                  <c:v>1.0020193101303563</c:v>
                </c:pt>
                <c:pt idx="818">
                  <c:v>1.0280159067367585</c:v>
                </c:pt>
                <c:pt idx="819">
                  <c:v>1.0381898612622285</c:v>
                </c:pt>
                <c:pt idx="820">
                  <c:v>1.0428124999999999</c:v>
                </c:pt>
                <c:pt idx="821">
                  <c:v>1.0400757327932579</c:v>
                </c:pt>
                <c:pt idx="822">
                  <c:v>1.0382079416725249</c:v>
                </c:pt>
                <c:pt idx="823">
                  <c:v>1.0395715965988395</c:v>
                </c:pt>
                <c:pt idx="824">
                  <c:v>1.0478854684321115</c:v>
                </c:pt>
                <c:pt idx="825">
                  <c:v>1.060407581785646</c:v>
                </c:pt>
                <c:pt idx="826">
                  <c:v>1.0608411108423619</c:v>
                </c:pt>
                <c:pt idx="827">
                  <c:v>1.050571025983785</c:v>
                </c:pt>
                <c:pt idx="828">
                  <c:v>1.022083852451722</c:v>
                </c:pt>
                <c:pt idx="829">
                  <c:v>0.98399367507139535</c:v>
                </c:pt>
                <c:pt idx="830">
                  <c:v>0.93810417970651649</c:v>
                </c:pt>
                <c:pt idx="831">
                  <c:v>0.90774783522608304</c:v>
                </c:pt>
                <c:pt idx="832">
                  <c:v>0.86868745895526545</c:v>
                </c:pt>
                <c:pt idx="833">
                  <c:v>0.8223104010420037</c:v>
                </c:pt>
                <c:pt idx="834">
                  <c:v>0.77783360380346889</c:v>
                </c:pt>
                <c:pt idx="835">
                  <c:v>0.74754223869429803</c:v>
                </c:pt>
                <c:pt idx="836">
                  <c:v>0.75023807137129106</c:v>
                </c:pt>
                <c:pt idx="837">
                  <c:v>0.77556323108296177</c:v>
                </c:pt>
                <c:pt idx="838">
                  <c:v>0.83216347881309904</c:v>
                </c:pt>
                <c:pt idx="839">
                  <c:v>0.89261400477351571</c:v>
                </c:pt>
                <c:pt idx="840">
                  <c:v>0.94375174143215379</c:v>
                </c:pt>
                <c:pt idx="841">
                  <c:v>0.9621634726921976</c:v>
                </c:pt>
                <c:pt idx="842">
                  <c:v>0.95831974558154187</c:v>
                </c:pt>
                <c:pt idx="843">
                  <c:v>0.95294280809912535</c:v>
                </c:pt>
                <c:pt idx="844">
                  <c:v>0.94937767665952888</c:v>
                </c:pt>
                <c:pt idx="845">
                  <c:v>0.95505010893246189</c:v>
                </c:pt>
                <c:pt idx="846">
                  <c:v>0.97407894993738342</c:v>
                </c:pt>
                <c:pt idx="847">
                  <c:v>0.99611471324826295</c:v>
                </c:pt>
                <c:pt idx="848">
                  <c:v>1.0065108090311492</c:v>
                </c:pt>
                <c:pt idx="849">
                  <c:v>0.99950535769475757</c:v>
                </c:pt>
                <c:pt idx="850">
                  <c:v>0.98210173749214991</c:v>
                </c:pt>
                <c:pt idx="851">
                  <c:v>0.96469317208702443</c:v>
                </c:pt>
                <c:pt idx="852">
                  <c:v>0.95118862803788418</c:v>
                </c:pt>
                <c:pt idx="853">
                  <c:v>0.94141565623666923</c:v>
                </c:pt>
                <c:pt idx="854">
                  <c:v>0.93094206602590424</c:v>
                </c:pt>
                <c:pt idx="855">
                  <c:v>0.91204972848387489</c:v>
                </c:pt>
                <c:pt idx="856">
                  <c:v>0.90321088868770183</c:v>
                </c:pt>
                <c:pt idx="857">
                  <c:v>0.90278927720263191</c:v>
                </c:pt>
                <c:pt idx="858">
                  <c:v>0.89202603015047288</c:v>
                </c:pt>
                <c:pt idx="859">
                  <c:v>0.89310739865476452</c:v>
                </c:pt>
                <c:pt idx="860">
                  <c:v>0.93403942953020136</c:v>
                </c:pt>
                <c:pt idx="861">
                  <c:v>0.99453262280971022</c:v>
                </c:pt>
                <c:pt idx="862">
                  <c:v>1.0472879407148792</c:v>
                </c:pt>
                <c:pt idx="863">
                  <c:v>1.0661739245399429</c:v>
                </c:pt>
                <c:pt idx="864">
                  <c:v>1.0738394026575917</c:v>
                </c:pt>
                <c:pt idx="865">
                  <c:v>1.0668836053814796</c:v>
                </c:pt>
                <c:pt idx="866">
                  <c:v>1.0562867646029492</c:v>
                </c:pt>
                <c:pt idx="867">
                  <c:v>1.0261546033264002</c:v>
                </c:pt>
                <c:pt idx="868">
                  <c:v>0.97710518060410512</c:v>
                </c:pt>
                <c:pt idx="869">
                  <c:v>0.91718091972329441</c:v>
                </c:pt>
                <c:pt idx="870">
                  <c:v>0.82549912434325745</c:v>
                </c:pt>
                <c:pt idx="871">
                  <c:v>0.69594359300980457</c:v>
                </c:pt>
                <c:pt idx="872">
                  <c:v>0.58122666262993239</c:v>
                </c:pt>
                <c:pt idx="873">
                  <c:v>0.49663848993860188</c:v>
                </c:pt>
                <c:pt idx="874">
                  <c:v>0.47806047042524491</c:v>
                </c:pt>
                <c:pt idx="875">
                  <c:v>0.52444818457546594</c:v>
                </c:pt>
                <c:pt idx="876">
                  <c:v>0.61718609714490935</c:v>
                </c:pt>
                <c:pt idx="877">
                  <c:v>0.73715176121530768</c:v>
                </c:pt>
                <c:pt idx="878">
                  <c:v>0.86408343368167539</c:v>
                </c:pt>
                <c:pt idx="879">
                  <c:v>0.96415503688797577</c:v>
                </c:pt>
                <c:pt idx="880">
                  <c:v>1.0242207245155854</c:v>
                </c:pt>
                <c:pt idx="881">
                  <c:v>1.044148533894538</c:v>
                </c:pt>
                <c:pt idx="882">
                  <c:v>1.0332528888376942</c:v>
                </c:pt>
                <c:pt idx="883">
                  <c:v>1.0037367459328903</c:v>
                </c:pt>
                <c:pt idx="884">
                  <c:v>0.96665458041014563</c:v>
                </c:pt>
                <c:pt idx="885">
                  <c:v>0.91289908804976194</c:v>
                </c:pt>
                <c:pt idx="886">
                  <c:v>0.82889027617255928</c:v>
                </c:pt>
                <c:pt idx="887">
                  <c:v>0.7033557858704419</c:v>
                </c:pt>
                <c:pt idx="888">
                  <c:v>0.573402561303609</c:v>
                </c:pt>
                <c:pt idx="889">
                  <c:v>0.48894113641176301</c:v>
                </c:pt>
                <c:pt idx="890">
                  <c:v>0.50580536204348747</c:v>
                </c:pt>
                <c:pt idx="891">
                  <c:v>0.59584348928987951</c:v>
                </c:pt>
                <c:pt idx="892">
                  <c:v>0.70859522844011891</c:v>
                </c:pt>
                <c:pt idx="893">
                  <c:v>0.79738970797938979</c:v>
                </c:pt>
                <c:pt idx="894">
                  <c:v>0.8335422941360433</c:v>
                </c:pt>
                <c:pt idx="895">
                  <c:v>0.80908850726552184</c:v>
                </c:pt>
                <c:pt idx="896">
                  <c:v>0.73976902434349245</c:v>
                </c:pt>
                <c:pt idx="897">
                  <c:v>0.66445990648994735</c:v>
                </c:pt>
                <c:pt idx="898">
                  <c:v>0.63462585206681732</c:v>
                </c:pt>
                <c:pt idx="899">
                  <c:v>0.65506125353412903</c:v>
                </c:pt>
                <c:pt idx="900">
                  <c:v>0.71857364559819414</c:v>
                </c:pt>
                <c:pt idx="901">
                  <c:v>0.8031461172039438</c:v>
                </c:pt>
                <c:pt idx="902">
                  <c:v>0.89616169657754097</c:v>
                </c:pt>
                <c:pt idx="903">
                  <c:v>0.96649443597684725</c:v>
                </c:pt>
                <c:pt idx="904">
                  <c:v>1.0132444158221197</c:v>
                </c:pt>
                <c:pt idx="905">
                  <c:v>1.026151754339496</c:v>
                </c:pt>
                <c:pt idx="906">
                  <c:v>1.0189670228429479</c:v>
                </c:pt>
                <c:pt idx="907">
                  <c:v>0.99927139405426457</c:v>
                </c:pt>
                <c:pt idx="908">
                  <c:v>0.98426755338400296</c:v>
                </c:pt>
                <c:pt idx="909">
                  <c:v>0.96809045457084486</c:v>
                </c:pt>
                <c:pt idx="910">
                  <c:v>0.94172147959544528</c:v>
                </c:pt>
                <c:pt idx="911">
                  <c:v>0.90904331671523342</c:v>
                </c:pt>
                <c:pt idx="912">
                  <c:v>0.8655217898348071</c:v>
                </c:pt>
                <c:pt idx="913">
                  <c:v>0.83666548457583823</c:v>
                </c:pt>
                <c:pt idx="914">
                  <c:v>0.82347751712731287</c:v>
                </c:pt>
                <c:pt idx="915">
                  <c:v>0.83524849944227053</c:v>
                </c:pt>
                <c:pt idx="916">
                  <c:v>0.87610797515415306</c:v>
                </c:pt>
                <c:pt idx="917">
                  <c:v>0.91585759829817515</c:v>
                </c:pt>
                <c:pt idx="918">
                  <c:v>0.94857796591427823</c:v>
                </c:pt>
                <c:pt idx="919">
                  <c:v>0.98454409000573595</c:v>
                </c:pt>
                <c:pt idx="920">
                  <c:v>1.0140425531914894</c:v>
                </c:pt>
                <c:pt idx="921">
                  <c:v>1.0394800223325924</c:v>
                </c:pt>
                <c:pt idx="922">
                  <c:v>1.0593984087380321</c:v>
                </c:pt>
                <c:pt idx="923">
                  <c:v>1.0570765997227409</c:v>
                </c:pt>
                <c:pt idx="924">
                  <c:v>1.0381401663182768</c:v>
                </c:pt>
                <c:pt idx="925">
                  <c:v>1.0102452103197854</c:v>
                </c:pt>
                <c:pt idx="926">
                  <c:v>0.9849640939950155</c:v>
                </c:pt>
                <c:pt idx="927">
                  <c:v>0.96741572155369249</c:v>
                </c:pt>
                <c:pt idx="928">
                  <c:v>0.95714476632431378</c:v>
                </c:pt>
                <c:pt idx="929">
                  <c:v>0.95454871903174165</c:v>
                </c:pt>
                <c:pt idx="930">
                  <c:v>0.95689593854470445</c:v>
                </c:pt>
                <c:pt idx="931">
                  <c:v>0.97763822867506378</c:v>
                </c:pt>
                <c:pt idx="932">
                  <c:v>0.9920956887127631</c:v>
                </c:pt>
                <c:pt idx="933">
                  <c:v>0.99962196477224274</c:v>
                </c:pt>
                <c:pt idx="934">
                  <c:v>0.99825239067827742</c:v>
                </c:pt>
                <c:pt idx="935">
                  <c:v>0.99214617727199872</c:v>
                </c:pt>
                <c:pt idx="936">
                  <c:v>0.971465300026223</c:v>
                </c:pt>
                <c:pt idx="937">
                  <c:v>0.95095127203365004</c:v>
                </c:pt>
                <c:pt idx="938">
                  <c:v>0.91334896283430156</c:v>
                </c:pt>
                <c:pt idx="939">
                  <c:v>0.87158773757363384</c:v>
                </c:pt>
                <c:pt idx="940">
                  <c:v>0.84535530821917804</c:v>
                </c:pt>
                <c:pt idx="941">
                  <c:v>0.84426535461000496</c:v>
                </c:pt>
                <c:pt idx="942">
                  <c:v>0.86548593719212175</c:v>
                </c:pt>
                <c:pt idx="943">
                  <c:v>0.88529291829938639</c:v>
                </c:pt>
                <c:pt idx="944">
                  <c:v>0.91268616626090138</c:v>
                </c:pt>
                <c:pt idx="945">
                  <c:v>0.92941491737382764</c:v>
                </c:pt>
                <c:pt idx="946">
                  <c:v>0.94762117170053561</c:v>
                </c:pt>
                <c:pt idx="947">
                  <c:v>0.96516123680791388</c:v>
                </c:pt>
                <c:pt idx="948">
                  <c:v>0.97395165720564003</c:v>
                </c:pt>
                <c:pt idx="949">
                  <c:v>0.98392983766696074</c:v>
                </c:pt>
                <c:pt idx="950">
                  <c:v>0.98385942309068786</c:v>
                </c:pt>
                <c:pt idx="951">
                  <c:v>0.97179729335927179</c:v>
                </c:pt>
                <c:pt idx="952">
                  <c:v>0.94841194806385443</c:v>
                </c:pt>
                <c:pt idx="953">
                  <c:v>0.92658867057721828</c:v>
                </c:pt>
                <c:pt idx="954">
                  <c:v>0.91955242237200085</c:v>
                </c:pt>
                <c:pt idx="955">
                  <c:v>0.93445179329999462</c:v>
                </c:pt>
                <c:pt idx="956">
                  <c:v>0.95043835490682083</c:v>
                </c:pt>
                <c:pt idx="957">
                  <c:v>0.9518370591556653</c:v>
                </c:pt>
                <c:pt idx="958">
                  <c:v>0.93569051986714091</c:v>
                </c:pt>
                <c:pt idx="959">
                  <c:v>0.89067320276922823</c:v>
                </c:pt>
                <c:pt idx="960">
                  <c:v>0.82013070956621659</c:v>
                </c:pt>
                <c:pt idx="961">
                  <c:v>0.74357775129156223</c:v>
                </c:pt>
                <c:pt idx="962">
                  <c:v>0.67635162522746284</c:v>
                </c:pt>
                <c:pt idx="963">
                  <c:v>0.62327860578841376</c:v>
                </c:pt>
                <c:pt idx="964">
                  <c:v>0.59433397772254448</c:v>
                </c:pt>
                <c:pt idx="965">
                  <c:v>0.60853612475044516</c:v>
                </c:pt>
                <c:pt idx="966">
                  <c:v>0.66315984926778571</c:v>
                </c:pt>
                <c:pt idx="967">
                  <c:v>0.7434893386638215</c:v>
                </c:pt>
                <c:pt idx="968">
                  <c:v>0.81998795819361381</c:v>
                </c:pt>
                <c:pt idx="969">
                  <c:v>0.8788190769589892</c:v>
                </c:pt>
                <c:pt idx="970">
                  <c:v>0.92172972972972977</c:v>
                </c:pt>
                <c:pt idx="971">
                  <c:v>0.94751330029798153</c:v>
                </c:pt>
                <c:pt idx="972">
                  <c:v>0.97046799990768096</c:v>
                </c:pt>
                <c:pt idx="973">
                  <c:v>0.97385192255938169</c:v>
                </c:pt>
                <c:pt idx="974">
                  <c:v>0.98427697468898956</c:v>
                </c:pt>
                <c:pt idx="975">
                  <c:v>0.98709362984891424</c:v>
                </c:pt>
                <c:pt idx="976">
                  <c:v>0.99861751551502964</c:v>
                </c:pt>
                <c:pt idx="977">
                  <c:v>1.0019140851085044</c:v>
                </c:pt>
                <c:pt idx="978">
                  <c:v>0.99816688303615053</c:v>
                </c:pt>
                <c:pt idx="979">
                  <c:v>0.9822339558571398</c:v>
                </c:pt>
                <c:pt idx="980">
                  <c:v>0.96404803240740744</c:v>
                </c:pt>
                <c:pt idx="981">
                  <c:v>0.94469197375457614</c:v>
                </c:pt>
                <c:pt idx="982">
                  <c:v>0.92662572139260269</c:v>
                </c:pt>
                <c:pt idx="983">
                  <c:v>0.92715908029295402</c:v>
                </c:pt>
                <c:pt idx="984">
                  <c:v>0.92631768074279286</c:v>
                </c:pt>
                <c:pt idx="985">
                  <c:v>0.93087641100904128</c:v>
                </c:pt>
                <c:pt idx="986">
                  <c:v>0.93170606506172948</c:v>
                </c:pt>
                <c:pt idx="987">
                  <c:v>0.93717972802131844</c:v>
                </c:pt>
                <c:pt idx="988">
                  <c:v>0.95140243336119623</c:v>
                </c:pt>
                <c:pt idx="989">
                  <c:v>0.95369686833778666</c:v>
                </c:pt>
                <c:pt idx="990">
                  <c:v>0.95076610267954398</c:v>
                </c:pt>
                <c:pt idx="991">
                  <c:v>0.96276294732009304</c:v>
                </c:pt>
                <c:pt idx="992">
                  <c:v>0.96942913454494717</c:v>
                </c:pt>
                <c:pt idx="993">
                  <c:v>0.97937361093036501</c:v>
                </c:pt>
                <c:pt idx="994">
                  <c:v>0.98710910566693144</c:v>
                </c:pt>
                <c:pt idx="995">
                  <c:v>1.0035834470213734</c:v>
                </c:pt>
                <c:pt idx="996">
                  <c:v>1.013921725053573</c:v>
                </c:pt>
                <c:pt idx="997">
                  <c:v>1.0098516607428543</c:v>
                </c:pt>
                <c:pt idx="998">
                  <c:v>0.99390551286646334</c:v>
                </c:pt>
                <c:pt idx="999">
                  <c:v>0.96566797288069384</c:v>
                </c:pt>
                <c:pt idx="1000">
                  <c:v>0.93992417614464863</c:v>
                </c:pt>
                <c:pt idx="1001">
                  <c:v>0.93250447288516236</c:v>
                </c:pt>
                <c:pt idx="1002">
                  <c:v>0.93033369427848422</c:v>
                </c:pt>
                <c:pt idx="1003">
                  <c:v>0.94312696226251191</c:v>
                </c:pt>
                <c:pt idx="1004">
                  <c:v>0.95377786735838466</c:v>
                </c:pt>
                <c:pt idx="1005">
                  <c:v>0.95709667403335097</c:v>
                </c:pt>
                <c:pt idx="1006">
                  <c:v>0.95464565225653475</c:v>
                </c:pt>
                <c:pt idx="1007">
                  <c:v>0.94784338758042197</c:v>
                </c:pt>
                <c:pt idx="1008">
                  <c:v>0.9337583829777274</c:v>
                </c:pt>
                <c:pt idx="1009">
                  <c:v>0.92928614343872096</c:v>
                </c:pt>
                <c:pt idx="1010">
                  <c:v>0.9280327988871806</c:v>
                </c:pt>
                <c:pt idx="1011">
                  <c:v>0.91875964518182196</c:v>
                </c:pt>
                <c:pt idx="1012">
                  <c:v>0.92285247842806228</c:v>
                </c:pt>
                <c:pt idx="1013">
                  <c:v>0.93149512040822458</c:v>
                </c:pt>
                <c:pt idx="1014">
                  <c:v>0.91759536039379164</c:v>
                </c:pt>
                <c:pt idx="1015">
                  <c:v>0.90196078431372551</c:v>
                </c:pt>
                <c:pt idx="1016">
                  <c:v>0.8803318300860844</c:v>
                </c:pt>
                <c:pt idx="1017">
                  <c:v>0.83357137769305278</c:v>
                </c:pt>
                <c:pt idx="1018">
                  <c:v>0.77692705532487616</c:v>
                </c:pt>
                <c:pt idx="1019">
                  <c:v>0.72074872905242471</c:v>
                </c:pt>
                <c:pt idx="1020">
                  <c:v>0.70882352941176474</c:v>
                </c:pt>
                <c:pt idx="1021">
                  <c:v>0.74602820805370607</c:v>
                </c:pt>
                <c:pt idx="1022">
                  <c:v>0.81270477687599907</c:v>
                </c:pt>
                <c:pt idx="1023">
                  <c:v>0.88316002682980521</c:v>
                </c:pt>
                <c:pt idx="1024">
                  <c:v>0.94436145387688719</c:v>
                </c:pt>
                <c:pt idx="1025">
                  <c:v>0.97566277934376089</c:v>
                </c:pt>
                <c:pt idx="1026">
                  <c:v>0.9834380741452885</c:v>
                </c:pt>
                <c:pt idx="1027">
                  <c:v>0.97138043785326356</c:v>
                </c:pt>
                <c:pt idx="1028">
                  <c:v>0.9596084821006895</c:v>
                </c:pt>
                <c:pt idx="1029">
                  <c:v>0.95764621980201081</c:v>
                </c:pt>
                <c:pt idx="1030">
                  <c:v>0.9703079991136716</c:v>
                </c:pt>
                <c:pt idx="1031">
                  <c:v>0.99329110996328174</c:v>
                </c:pt>
                <c:pt idx="1032">
                  <c:v>1.0110109296081191</c:v>
                </c:pt>
                <c:pt idx="1033">
                  <c:v>1.0237191307004057</c:v>
                </c:pt>
                <c:pt idx="1034">
                  <c:v>1.0182743280321798</c:v>
                </c:pt>
                <c:pt idx="1035">
                  <c:v>1.0151949806592511</c:v>
                </c:pt>
                <c:pt idx="1036">
                  <c:v>1.0115217339780054</c:v>
                </c:pt>
                <c:pt idx="1037">
                  <c:v>0.99676845909370126</c:v>
                </c:pt>
                <c:pt idx="1038">
                  <c:v>1.0113235019379099</c:v>
                </c:pt>
                <c:pt idx="1039">
                  <c:v>1.0174383028528324</c:v>
                </c:pt>
                <c:pt idx="1040">
                  <c:v>1.0289774413772632</c:v>
                </c:pt>
                <c:pt idx="1041">
                  <c:v>1.0316572367830052</c:v>
                </c:pt>
                <c:pt idx="1042">
                  <c:v>1.0236081276609652</c:v>
                </c:pt>
                <c:pt idx="1043">
                  <c:v>1.0027711082426538</c:v>
                </c:pt>
                <c:pt idx="1044">
                  <c:v>0.989015809383327</c:v>
                </c:pt>
                <c:pt idx="1045">
                  <c:v>0.97599256159925618</c:v>
                </c:pt>
                <c:pt idx="1046">
                  <c:v>0.97609330487510826</c:v>
                </c:pt>
                <c:pt idx="1047">
                  <c:v>0.96848937993598261</c:v>
                </c:pt>
                <c:pt idx="1048">
                  <c:v>0.95115821027162972</c:v>
                </c:pt>
                <c:pt idx="1049">
                  <c:v>0.9328798987001391</c:v>
                </c:pt>
                <c:pt idx="1050">
                  <c:v>0.90880620386250088</c:v>
                </c:pt>
                <c:pt idx="1051">
                  <c:v>0.9005631737065245</c:v>
                </c:pt>
                <c:pt idx="1052">
                  <c:v>0.89921748113117417</c:v>
                </c:pt>
                <c:pt idx="1053">
                  <c:v>0.90944664034572187</c:v>
                </c:pt>
                <c:pt idx="1054">
                  <c:v>0.92842883228584827</c:v>
                </c:pt>
                <c:pt idx="1055">
                  <c:v>0.94623535347872401</c:v>
                </c:pt>
                <c:pt idx="1056">
                  <c:v>0.95153406167358701</c:v>
                </c:pt>
                <c:pt idx="1057">
                  <c:v>0.95582936941750085</c:v>
                </c:pt>
                <c:pt idx="1058">
                  <c:v>0.95440334911465874</c:v>
                </c:pt>
                <c:pt idx="1059">
                  <c:v>0.96091691952311431</c:v>
                </c:pt>
                <c:pt idx="1060">
                  <c:v>0.97886690647482011</c:v>
                </c:pt>
                <c:pt idx="1061">
                  <c:v>1.0002481782144514</c:v>
                </c:pt>
                <c:pt idx="1062">
                  <c:v>1.0176394335936914</c:v>
                </c:pt>
                <c:pt idx="1063">
                  <c:v>1.0315224741828541</c:v>
                </c:pt>
                <c:pt idx="1064">
                  <c:v>1.0273612562928787</c:v>
                </c:pt>
                <c:pt idx="1065">
                  <c:v>1.0102744228854788</c:v>
                </c:pt>
                <c:pt idx="1066">
                  <c:v>0.99497550898905796</c:v>
                </c:pt>
                <c:pt idx="1067">
                  <c:v>0.97639048399094164</c:v>
                </c:pt>
                <c:pt idx="1068">
                  <c:v>0.97076821662492785</c:v>
                </c:pt>
                <c:pt idx="1069">
                  <c:v>0.96118879776298582</c:v>
                </c:pt>
                <c:pt idx="1070">
                  <c:v>0.96881355932203395</c:v>
                </c:pt>
                <c:pt idx="1071">
                  <c:v>0.96348429566196536</c:v>
                </c:pt>
                <c:pt idx="1072">
                  <c:v>0.94295586443213775</c:v>
                </c:pt>
                <c:pt idx="1073">
                  <c:v>0.91252317240723679</c:v>
                </c:pt>
                <c:pt idx="1074">
                  <c:v>0.87953051444721908</c:v>
                </c:pt>
                <c:pt idx="1075">
                  <c:v>0.85594516512774033</c:v>
                </c:pt>
                <c:pt idx="1076">
                  <c:v>0.8565939978719288</c:v>
                </c:pt>
                <c:pt idx="1077">
                  <c:v>0.87524034989955013</c:v>
                </c:pt>
                <c:pt idx="1078">
                  <c:v>0.89613991448258323</c:v>
                </c:pt>
                <c:pt idx="1079">
                  <c:v>0.91025108260497345</c:v>
                </c:pt>
                <c:pt idx="1080">
                  <c:v>0.91233717055437746</c:v>
                </c:pt>
                <c:pt idx="1081">
                  <c:v>0.91435114145182272</c:v>
                </c:pt>
                <c:pt idx="1082">
                  <c:v>0.92304064729983415</c:v>
                </c:pt>
                <c:pt idx="1083">
                  <c:v>0.93193074658386887</c:v>
                </c:pt>
                <c:pt idx="1084">
                  <c:v>0.91920024531234812</c:v>
                </c:pt>
                <c:pt idx="1085">
                  <c:v>0.87330789238860096</c:v>
                </c:pt>
                <c:pt idx="1086">
                  <c:v>0.82926558686487684</c:v>
                </c:pt>
                <c:pt idx="1087">
                  <c:v>0.78221044300549447</c:v>
                </c:pt>
                <c:pt idx="1088">
                  <c:v>0.73107222404790595</c:v>
                </c:pt>
                <c:pt idx="1089">
                  <c:v>0.65784316038723167</c:v>
                </c:pt>
                <c:pt idx="1090">
                  <c:v>0.59001599268905647</c:v>
                </c:pt>
                <c:pt idx="1091">
                  <c:v>0.55941247783571413</c:v>
                </c:pt>
                <c:pt idx="1092">
                  <c:v>0.57615948570313258</c:v>
                </c:pt>
                <c:pt idx="1093">
                  <c:v>0.62332601758678008</c:v>
                </c:pt>
                <c:pt idx="1094">
                  <c:v>0.69367479719476932</c:v>
                </c:pt>
                <c:pt idx="1095">
                  <c:v>0.76177565632458233</c:v>
                </c:pt>
                <c:pt idx="1096">
                  <c:v>0.80611390284757123</c:v>
                </c:pt>
                <c:pt idx="1097">
                  <c:v>0.82477553214346067</c:v>
                </c:pt>
                <c:pt idx="1098">
                  <c:v>0.80130608148014404</c:v>
                </c:pt>
                <c:pt idx="1099">
                  <c:v>0.7282454516714012</c:v>
                </c:pt>
                <c:pt idx="1100">
                  <c:v>0.63832720588235292</c:v>
                </c:pt>
                <c:pt idx="1101">
                  <c:v>0.57455364225011674</c:v>
                </c:pt>
                <c:pt idx="1102">
                  <c:v>0.56189209831328846</c:v>
                </c:pt>
                <c:pt idx="1103">
                  <c:v>0.6010077410533633</c:v>
                </c:pt>
                <c:pt idx="1104">
                  <c:v>0.66896012725865683</c:v>
                </c:pt>
                <c:pt idx="1105">
                  <c:v>0.74782508498012334</c:v>
                </c:pt>
                <c:pt idx="1106">
                  <c:v>0.82048172027142108</c:v>
                </c:pt>
                <c:pt idx="1107">
                  <c:v>0.87719028388032594</c:v>
                </c:pt>
                <c:pt idx="1108">
                  <c:v>0.91384394700551619</c:v>
                </c:pt>
                <c:pt idx="1109">
                  <c:v>0.92359235808078821</c:v>
                </c:pt>
                <c:pt idx="1110">
                  <c:v>0.94768472147314897</c:v>
                </c:pt>
                <c:pt idx="1111">
                  <c:v>0.95033686192246047</c:v>
                </c:pt>
                <c:pt idx="1112">
                  <c:v>0.9389540983201885</c:v>
                </c:pt>
                <c:pt idx="1113">
                  <c:v>0.92736603962329545</c:v>
                </c:pt>
                <c:pt idx="1114">
                  <c:v>0.90923905823764029</c:v>
                </c:pt>
                <c:pt idx="1115">
                  <c:v>0.88873432639734151</c:v>
                </c:pt>
                <c:pt idx="1116">
                  <c:v>0.88757670988815207</c:v>
                </c:pt>
                <c:pt idx="1117">
                  <c:v>0.88096404261558614</c:v>
                </c:pt>
                <c:pt idx="1118">
                  <c:v>0.90620441686099995</c:v>
                </c:pt>
                <c:pt idx="1119">
                  <c:v>0.93043146144364852</c:v>
                </c:pt>
                <c:pt idx="1120">
                  <c:v>0.94302325581395352</c:v>
                </c:pt>
                <c:pt idx="1121">
                  <c:v>0.928599851535721</c:v>
                </c:pt>
                <c:pt idx="1122">
                  <c:v>0.90364297933244131</c:v>
                </c:pt>
                <c:pt idx="1123">
                  <c:v>0.88121926916233495</c:v>
                </c:pt>
                <c:pt idx="1124">
                  <c:v>0.87100865413309458</c:v>
                </c:pt>
                <c:pt idx="1125">
                  <c:v>0.87979937401582453</c:v>
                </c:pt>
                <c:pt idx="1126">
                  <c:v>0.88821348870649974</c:v>
                </c:pt>
                <c:pt idx="1127">
                  <c:v>0.91030411468516004</c:v>
                </c:pt>
                <c:pt idx="1128">
                  <c:v>0.93246313309482554</c:v>
                </c:pt>
                <c:pt idx="1129">
                  <c:v>0.93687705569185453</c:v>
                </c:pt>
                <c:pt idx="1130">
                  <c:v>0.94742179577190111</c:v>
                </c:pt>
                <c:pt idx="1131">
                  <c:v>0.94654584143522758</c:v>
                </c:pt>
                <c:pt idx="1132">
                  <c:v>0.94621700659868035</c:v>
                </c:pt>
                <c:pt idx="1133">
                  <c:v>0.94862481837629387</c:v>
                </c:pt>
                <c:pt idx="1134">
                  <c:v>0.94098720166681782</c:v>
                </c:pt>
                <c:pt idx="1135">
                  <c:v>0.93952378157343819</c:v>
                </c:pt>
                <c:pt idx="1136">
                  <c:v>0.93054198148078537</c:v>
                </c:pt>
                <c:pt idx="1137">
                  <c:v>0.91951248755006421</c:v>
                </c:pt>
                <c:pt idx="1138">
                  <c:v>0.9077250728469759</c:v>
                </c:pt>
                <c:pt idx="1139">
                  <c:v>0.89309884584511312</c:v>
                </c:pt>
                <c:pt idx="1140">
                  <c:v>0.85493875628140703</c:v>
                </c:pt>
                <c:pt idx="1141">
                  <c:v>0.83692199387315269</c:v>
                </c:pt>
                <c:pt idx="1142">
                  <c:v>0.84384503379153974</c:v>
                </c:pt>
                <c:pt idx="1143">
                  <c:v>0.87028970057534161</c:v>
                </c:pt>
                <c:pt idx="1144">
                  <c:v>0.90342333320737134</c:v>
                </c:pt>
                <c:pt idx="1145">
                  <c:v>0.93089118660758252</c:v>
                </c:pt>
                <c:pt idx="1146">
                  <c:v>0.94578423427542568</c:v>
                </c:pt>
                <c:pt idx="1147">
                  <c:v>0.95805615179332815</c:v>
                </c:pt>
                <c:pt idx="1148">
                  <c:v>0.97054347276952613</c:v>
                </c:pt>
                <c:pt idx="1149">
                  <c:v>0.96503915213683855</c:v>
                </c:pt>
                <c:pt idx="1150">
                  <c:v>0.94439174768792977</c:v>
                </c:pt>
                <c:pt idx="1151">
                  <c:v>0.90022535295936923</c:v>
                </c:pt>
                <c:pt idx="1152">
                  <c:v>0.83997163156494981</c:v>
                </c:pt>
                <c:pt idx="1153">
                  <c:v>0.77896351002090281</c:v>
                </c:pt>
                <c:pt idx="1154">
                  <c:v>0.7312284606434144</c:v>
                </c:pt>
                <c:pt idx="1155">
                  <c:v>0.67236422041997979</c:v>
                </c:pt>
                <c:pt idx="1156">
                  <c:v>0.60433175861017974</c:v>
                </c:pt>
                <c:pt idx="1157">
                  <c:v>0.5385888036116665</c:v>
                </c:pt>
                <c:pt idx="1158">
                  <c:v>0.52274916624011647</c:v>
                </c:pt>
                <c:pt idx="1159">
                  <c:v>0.56749536101374476</c:v>
                </c:pt>
                <c:pt idx="1160">
                  <c:v>0.65588188475007958</c:v>
                </c:pt>
                <c:pt idx="1161">
                  <c:v>0.76745154792559889</c:v>
                </c:pt>
                <c:pt idx="1162">
                  <c:v>0.86355723891232195</c:v>
                </c:pt>
                <c:pt idx="1163">
                  <c:v>0.93383773971067618</c:v>
                </c:pt>
                <c:pt idx="1164">
                  <c:v>0.96790234215365756</c:v>
                </c:pt>
                <c:pt idx="1165">
                  <c:v>0.97458016334191977</c:v>
                </c:pt>
                <c:pt idx="1166">
                  <c:v>0.95653049675321555</c:v>
                </c:pt>
                <c:pt idx="1167">
                  <c:v>0.95861352385355514</c:v>
                </c:pt>
                <c:pt idx="1168">
                  <c:v>0.96710467335203198</c:v>
                </c:pt>
                <c:pt idx="1169">
                  <c:v>0.96055027278938865</c:v>
                </c:pt>
                <c:pt idx="1170">
                  <c:v>0.9642885771543086</c:v>
                </c:pt>
                <c:pt idx="1171">
                  <c:v>0.95636206991983796</c:v>
                </c:pt>
                <c:pt idx="1172">
                  <c:v>0.95179722821619406</c:v>
                </c:pt>
                <c:pt idx="1173">
                  <c:v>0.95369423461448555</c:v>
                </c:pt>
                <c:pt idx="1174">
                  <c:v>0.95229941055596823</c:v>
                </c:pt>
                <c:pt idx="1175">
                  <c:v>0.95536917476216332</c:v>
                </c:pt>
                <c:pt idx="1176">
                  <c:v>0.95715679707325874</c:v>
                </c:pt>
                <c:pt idx="1177">
                  <c:v>0.95741775174817567</c:v>
                </c:pt>
                <c:pt idx="1178">
                  <c:v>0.95796283933057902</c:v>
                </c:pt>
                <c:pt idx="1179">
                  <c:v>0.96177820238372846</c:v>
                </c:pt>
                <c:pt idx="1180">
                  <c:v>0.95736434108527135</c:v>
                </c:pt>
                <c:pt idx="1181">
                  <c:v>0.94842013480632792</c:v>
                </c:pt>
                <c:pt idx="1182">
                  <c:v>0.93562281045096218</c:v>
                </c:pt>
                <c:pt idx="1183">
                  <c:v>0.93195298596425635</c:v>
                </c:pt>
                <c:pt idx="1184">
                  <c:v>0.94350548795500777</c:v>
                </c:pt>
                <c:pt idx="1185">
                  <c:v>0.96739681060160887</c:v>
                </c:pt>
                <c:pt idx="1186">
                  <c:v>0.9774148229621914</c:v>
                </c:pt>
                <c:pt idx="1187">
                  <c:v>0.98659724606728894</c:v>
                </c:pt>
                <c:pt idx="1188">
                  <c:v>0.98901197098887383</c:v>
                </c:pt>
                <c:pt idx="1189">
                  <c:v>0.99090354045684736</c:v>
                </c:pt>
                <c:pt idx="1190">
                  <c:v>0.97852086892848422</c:v>
                </c:pt>
                <c:pt idx="1191">
                  <c:v>0.95166831004780328</c:v>
                </c:pt>
                <c:pt idx="1192">
                  <c:v>0.92709840810419686</c:v>
                </c:pt>
                <c:pt idx="1193">
                  <c:v>0.91684464527009124</c:v>
                </c:pt>
                <c:pt idx="1194">
                  <c:v>0.91016743326662986</c:v>
                </c:pt>
                <c:pt idx="1195">
                  <c:v>0.92896375701888723</c:v>
                </c:pt>
                <c:pt idx="1196">
                  <c:v>0.94059786304666249</c:v>
                </c:pt>
                <c:pt idx="1197">
                  <c:v>0.95061559742521506</c:v>
                </c:pt>
                <c:pt idx="1198">
                  <c:v>0.96568526323028103</c:v>
                </c:pt>
                <c:pt idx="1199">
                  <c:v>0.97332451770049622</c:v>
                </c:pt>
                <c:pt idx="1200">
                  <c:v>0.96232371269268613</c:v>
                </c:pt>
                <c:pt idx="1201">
                  <c:v>0.92410467743113434</c:v>
                </c:pt>
                <c:pt idx="1202">
                  <c:v>0.88668906999891595</c:v>
                </c:pt>
                <c:pt idx="1203">
                  <c:v>0.86290006418944187</c:v>
                </c:pt>
                <c:pt idx="1204">
                  <c:v>0.8716061934091387</c:v>
                </c:pt>
                <c:pt idx="1205">
                  <c:v>0.90029017719330739</c:v>
                </c:pt>
                <c:pt idx="1206">
                  <c:v>0.92333688140754189</c:v>
                </c:pt>
                <c:pt idx="1207">
                  <c:v>0.94798863155707602</c:v>
                </c:pt>
                <c:pt idx="1208">
                  <c:v>0.96104652698010329</c:v>
                </c:pt>
                <c:pt idx="1209">
                  <c:v>0.98606053949238526</c:v>
                </c:pt>
                <c:pt idx="1210">
                  <c:v>0.99731382758905696</c:v>
                </c:pt>
                <c:pt idx="1211">
                  <c:v>0.9999842834797037</c:v>
                </c:pt>
                <c:pt idx="1212">
                  <c:v>0.98738674896683265</c:v>
                </c:pt>
                <c:pt idx="1213">
                  <c:v>0.96449648742989569</c:v>
                </c:pt>
                <c:pt idx="1214">
                  <c:v>0.92212537024322461</c:v>
                </c:pt>
                <c:pt idx="1215">
                  <c:v>0.85383514180792131</c:v>
                </c:pt>
                <c:pt idx="1216">
                  <c:v>0.79311685205119009</c:v>
                </c:pt>
                <c:pt idx="1217">
                  <c:v>0.75682195461146429</c:v>
                </c:pt>
                <c:pt idx="1218">
                  <c:v>0.76381285794628273</c:v>
                </c:pt>
                <c:pt idx="1219">
                  <c:v>0.80478834703442714</c:v>
                </c:pt>
                <c:pt idx="1220">
                  <c:v>0.85150000000000003</c:v>
                </c:pt>
                <c:pt idx="1221">
                  <c:v>0.89824928961575445</c:v>
                </c:pt>
                <c:pt idx="1222">
                  <c:v>0.93372598906841098</c:v>
                </c:pt>
                <c:pt idx="1223">
                  <c:v>0.96487776432738426</c:v>
                </c:pt>
                <c:pt idx="1224">
                  <c:v>0.97697795288231282</c:v>
                </c:pt>
                <c:pt idx="1225">
                  <c:v>0.96303269942885839</c:v>
                </c:pt>
                <c:pt idx="1226">
                  <c:v>0.94094126791092536</c:v>
                </c:pt>
                <c:pt idx="1227">
                  <c:v>0.92811858995046737</c:v>
                </c:pt>
                <c:pt idx="1228">
                  <c:v>0.90113898732817865</c:v>
                </c:pt>
                <c:pt idx="1229">
                  <c:v>0.86135161165452889</c:v>
                </c:pt>
                <c:pt idx="1230">
                  <c:v>0.80439532733843178</c:v>
                </c:pt>
                <c:pt idx="1231">
                  <c:v>0.74137065252224987</c:v>
                </c:pt>
                <c:pt idx="1232">
                  <c:v>0.71460682102881157</c:v>
                </c:pt>
                <c:pt idx="1233">
                  <c:v>0.725966881552639</c:v>
                </c:pt>
                <c:pt idx="1234">
                  <c:v>0.781157763002992</c:v>
                </c:pt>
                <c:pt idx="1235">
                  <c:v>0.83277415543035593</c:v>
                </c:pt>
                <c:pt idx="1236">
                  <c:v>0.86990937229671272</c:v>
                </c:pt>
                <c:pt idx="1237">
                  <c:v>0.88766401935891348</c:v>
                </c:pt>
                <c:pt idx="1238">
                  <c:v>0.89804650344087544</c:v>
                </c:pt>
                <c:pt idx="1239">
                  <c:v>0.91005802789845169</c:v>
                </c:pt>
                <c:pt idx="1240">
                  <c:v>0.90233977619532046</c:v>
                </c:pt>
                <c:pt idx="1241">
                  <c:v>0.87920927166141027</c:v>
                </c:pt>
                <c:pt idx="1242">
                  <c:v>0.86172926737301236</c:v>
                </c:pt>
                <c:pt idx="1243">
                  <c:v>0.86228219820123064</c:v>
                </c:pt>
                <c:pt idx="1244">
                  <c:v>0.86441148045301097</c:v>
                </c:pt>
                <c:pt idx="1245">
                  <c:v>0.87493347525279408</c:v>
                </c:pt>
                <c:pt idx="1246">
                  <c:v>0.88061780036886661</c:v>
                </c:pt>
                <c:pt idx="1247">
                  <c:v>0.89684893680727418</c:v>
                </c:pt>
                <c:pt idx="1248">
                  <c:v>0.91140319121323476</c:v>
                </c:pt>
                <c:pt idx="1249">
                  <c:v>0.90906449465414529</c:v>
                </c:pt>
                <c:pt idx="1250">
                  <c:v>0.8752031477204687</c:v>
                </c:pt>
                <c:pt idx="1251">
                  <c:v>0.81992125262940707</c:v>
                </c:pt>
                <c:pt idx="1252">
                  <c:v>0.74890143413403532</c:v>
                </c:pt>
                <c:pt idx="1253">
                  <c:v>0.70039651397062042</c:v>
                </c:pt>
                <c:pt idx="1254">
                  <c:v>0.68000521958305149</c:v>
                </c:pt>
                <c:pt idx="1255">
                  <c:v>0.710360679684647</c:v>
                </c:pt>
                <c:pt idx="1256">
                  <c:v>0.77186455022086442</c:v>
                </c:pt>
                <c:pt idx="1257">
                  <c:v>0.83460238234000306</c:v>
                </c:pt>
                <c:pt idx="1258">
                  <c:v>0.88104322410982328</c:v>
                </c:pt>
                <c:pt idx="1259">
                  <c:v>0.91864535709573003</c:v>
                </c:pt>
                <c:pt idx="1260">
                  <c:v>0.93693888121546964</c:v>
                </c:pt>
                <c:pt idx="1261">
                  <c:v>0.94152951779068683</c:v>
                </c:pt>
                <c:pt idx="1262">
                  <c:v>0.91957870192590441</c:v>
                </c:pt>
                <c:pt idx="1263">
                  <c:v>0.8574203718821175</c:v>
                </c:pt>
                <c:pt idx="1264">
                  <c:v>0.7757368742114823</c:v>
                </c:pt>
                <c:pt idx="1265">
                  <c:v>0.6798499533814697</c:v>
                </c:pt>
                <c:pt idx="1266">
                  <c:v>0.63183445555281603</c:v>
                </c:pt>
                <c:pt idx="1267">
                  <c:v>0.63495456603327627</c:v>
                </c:pt>
                <c:pt idx="1268">
                  <c:v>0.66630657147628591</c:v>
                </c:pt>
                <c:pt idx="1269">
                  <c:v>0.68718499667856237</c:v>
                </c:pt>
                <c:pt idx="1270">
                  <c:v>0.66557734204793029</c:v>
                </c:pt>
                <c:pt idx="1271">
                  <c:v>0.62251449975095929</c:v>
                </c:pt>
                <c:pt idx="1272">
                  <c:v>0.59408222852432913</c:v>
                </c:pt>
                <c:pt idx="1273">
                  <c:v>0.61886520694534397</c:v>
                </c:pt>
                <c:pt idx="1274">
                  <c:v>0.67829660812328751</c:v>
                </c:pt>
                <c:pt idx="1275">
                  <c:v>0.76126885439698766</c:v>
                </c:pt>
                <c:pt idx="1276">
                  <c:v>0.83265840626051835</c:v>
                </c:pt>
                <c:pt idx="1277">
                  <c:v>0.88589525255955026</c:v>
                </c:pt>
                <c:pt idx="1278">
                  <c:v>0.90858711651484758</c:v>
                </c:pt>
                <c:pt idx="1279">
                  <c:v>0.91528141507966021</c:v>
                </c:pt>
                <c:pt idx="1280">
                  <c:v>0.91644667370644139</c:v>
                </c:pt>
                <c:pt idx="1281">
                  <c:v>0.90739809333212362</c:v>
                </c:pt>
                <c:pt idx="1282">
                  <c:v>0.91239653098868234</c:v>
                </c:pt>
                <c:pt idx="1283">
                  <c:v>0.90531503551094372</c:v>
                </c:pt>
                <c:pt idx="1284">
                  <c:v>0.92476923838063996</c:v>
                </c:pt>
                <c:pt idx="1285">
                  <c:v>0.94280471358139328</c:v>
                </c:pt>
                <c:pt idx="1286">
                  <c:v>0.96946471631770714</c:v>
                </c:pt>
                <c:pt idx="1287">
                  <c:v>0.96839995356713404</c:v>
                </c:pt>
                <c:pt idx="1288">
                  <c:v>0.9658268403797845</c:v>
                </c:pt>
                <c:pt idx="1289">
                  <c:v>0.96737903766429689</c:v>
                </c:pt>
                <c:pt idx="1290">
                  <c:v>0.9668029508488134</c:v>
                </c:pt>
                <c:pt idx="1291">
                  <c:v>0.96849618180022579</c:v>
                </c:pt>
                <c:pt idx="1292">
                  <c:v>0.98368744300045596</c:v>
                </c:pt>
                <c:pt idx="1293">
                  <c:v>0.98772278145730796</c:v>
                </c:pt>
                <c:pt idx="1294">
                  <c:v>0.98364693661179947</c:v>
                </c:pt>
                <c:pt idx="1295">
                  <c:v>0.95160245672808486</c:v>
                </c:pt>
                <c:pt idx="1296">
                  <c:v>0.91743693571234386</c:v>
                </c:pt>
                <c:pt idx="1297">
                  <c:v>0.8956010853383537</c:v>
                </c:pt>
                <c:pt idx="1298">
                  <c:v>0.8949150294466609</c:v>
                </c:pt>
                <c:pt idx="1299">
                  <c:v>0.91504082945282339</c:v>
                </c:pt>
                <c:pt idx="1300">
                  <c:v>0.94800646551724133</c:v>
                </c:pt>
                <c:pt idx="1301">
                  <c:v>0.97286233222675589</c:v>
                </c:pt>
                <c:pt idx="1302">
                  <c:v>0.98859329275535512</c:v>
                </c:pt>
                <c:pt idx="1303">
                  <c:v>1.0055751181638592</c:v>
                </c:pt>
                <c:pt idx="1304">
                  <c:v>0.99734522212122523</c:v>
                </c:pt>
                <c:pt idx="1305">
                  <c:v>0.98792624856130529</c:v>
                </c:pt>
                <c:pt idx="1306">
                  <c:v>0.97713364491724219</c:v>
                </c:pt>
                <c:pt idx="1307">
                  <c:v>0.97785388685499142</c:v>
                </c:pt>
                <c:pt idx="1308">
                  <c:v>0.98545989335806194</c:v>
                </c:pt>
                <c:pt idx="1309">
                  <c:v>0.9873272902484771</c:v>
                </c:pt>
                <c:pt idx="1310">
                  <c:v>0.97649514474997734</c:v>
                </c:pt>
                <c:pt idx="1311">
                  <c:v>0.94324709576195187</c:v>
                </c:pt>
                <c:pt idx="1312">
                  <c:v>0.88291788536255289</c:v>
                </c:pt>
                <c:pt idx="1313">
                  <c:v>0.81522209202704776</c:v>
                </c:pt>
                <c:pt idx="1314">
                  <c:v>0.75376151605411779</c:v>
                </c:pt>
                <c:pt idx="1315">
                  <c:v>0.67506101872761692</c:v>
                </c:pt>
                <c:pt idx="1316">
                  <c:v>0.61276927686191973</c:v>
                </c:pt>
                <c:pt idx="1317">
                  <c:v>0.60228184028581067</c:v>
                </c:pt>
                <c:pt idx="1318">
                  <c:v>0.64683503052006786</c:v>
                </c:pt>
                <c:pt idx="1319">
                  <c:v>0.72906041886035455</c:v>
                </c:pt>
                <c:pt idx="1320">
                  <c:v>0.80495412844036696</c:v>
                </c:pt>
                <c:pt idx="1321">
                  <c:v>0.85511650910774162</c:v>
                </c:pt>
                <c:pt idx="1322">
                  <c:v>0.8973001004049298</c:v>
                </c:pt>
                <c:pt idx="1323">
                  <c:v>0.91592253617712227</c:v>
                </c:pt>
                <c:pt idx="1324">
                  <c:v>0.9358320800896438</c:v>
                </c:pt>
                <c:pt idx="1325">
                  <c:v>0.95071380797527616</c:v>
                </c:pt>
                <c:pt idx="1326">
                  <c:v>0.96775474618661139</c:v>
                </c:pt>
                <c:pt idx="1327">
                  <c:v>0.96079611594830017</c:v>
                </c:pt>
                <c:pt idx="1328">
                  <c:v>0.95234260452303721</c:v>
                </c:pt>
                <c:pt idx="1329">
                  <c:v>0.95221194326112313</c:v>
                </c:pt>
                <c:pt idx="1330">
                  <c:v>0.94173856572965953</c:v>
                </c:pt>
                <c:pt idx="1331">
                  <c:v>0.94568576149437289</c:v>
                </c:pt>
                <c:pt idx="1332">
                  <c:v>0.95215424898833612</c:v>
                </c:pt>
                <c:pt idx="1333">
                  <c:v>0.95105242727122941</c:v>
                </c:pt>
                <c:pt idx="1334">
                  <c:v>0.96495446428904263</c:v>
                </c:pt>
                <c:pt idx="1335">
                  <c:v>0.96788038534207277</c:v>
                </c:pt>
                <c:pt idx="1336">
                  <c:v>0.97366385688024026</c:v>
                </c:pt>
                <c:pt idx="1337">
                  <c:v>0.9704847326923598</c:v>
                </c:pt>
                <c:pt idx="1338">
                  <c:v>0.97207502087866404</c:v>
                </c:pt>
                <c:pt idx="1339">
                  <c:v>0.97156178204958765</c:v>
                </c:pt>
                <c:pt idx="1340">
                  <c:v>0.97358295795795791</c:v>
                </c:pt>
                <c:pt idx="1341">
                  <c:v>0.96114187036516818</c:v>
                </c:pt>
                <c:pt idx="1342">
                  <c:v>0.9681916178479113</c:v>
                </c:pt>
                <c:pt idx="1343">
                  <c:v>0.97427088601157774</c:v>
                </c:pt>
                <c:pt idx="1344">
                  <c:v>0.97348353422136402</c:v>
                </c:pt>
                <c:pt idx="1345">
                  <c:v>0.95792330383480828</c:v>
                </c:pt>
                <c:pt idx="1346">
                  <c:v>0.94095777054485108</c:v>
                </c:pt>
                <c:pt idx="1347">
                  <c:v>0.93341571487911024</c:v>
                </c:pt>
                <c:pt idx="1348">
                  <c:v>0.92746794288832302</c:v>
                </c:pt>
                <c:pt idx="1349">
                  <c:v>0.91221301283528666</c:v>
                </c:pt>
                <c:pt idx="1350">
                  <c:v>0.90295318583230466</c:v>
                </c:pt>
                <c:pt idx="1351">
                  <c:v>0.9070779843683302</c:v>
                </c:pt>
                <c:pt idx="1352">
                  <c:v>0.90940588781773046</c:v>
                </c:pt>
                <c:pt idx="1353">
                  <c:v>0.92227185267284906</c:v>
                </c:pt>
                <c:pt idx="1354">
                  <c:v>0.94518932411234635</c:v>
                </c:pt>
                <c:pt idx="1355">
                  <c:v>0.9577511881731986</c:v>
                </c:pt>
                <c:pt idx="1356">
                  <c:v>0.9659934347453476</c:v>
                </c:pt>
                <c:pt idx="1357">
                  <c:v>0.9596056811184499</c:v>
                </c:pt>
                <c:pt idx="1358">
                  <c:v>0.95277269606771531</c:v>
                </c:pt>
                <c:pt idx="1359">
                  <c:v>0.94174884969361949</c:v>
                </c:pt>
                <c:pt idx="1360">
                  <c:v>0.93031526336024606</c:v>
                </c:pt>
                <c:pt idx="1361">
                  <c:v>0.93179895661613354</c:v>
                </c:pt>
                <c:pt idx="1362">
                  <c:v>0.93574514663203046</c:v>
                </c:pt>
                <c:pt idx="1363">
                  <c:v>0.94549134581897076</c:v>
                </c:pt>
                <c:pt idx="1364">
                  <c:v>0.94077452707715137</c:v>
                </c:pt>
                <c:pt idx="1365">
                  <c:v>0.92710171909378858</c:v>
                </c:pt>
                <c:pt idx="1366">
                  <c:v>0.91208927416324836</c:v>
                </c:pt>
                <c:pt idx="1367">
                  <c:v>0.90799706415898529</c:v>
                </c:pt>
                <c:pt idx="1368">
                  <c:v>0.91243922896506746</c:v>
                </c:pt>
                <c:pt idx="1369">
                  <c:v>0.91912997582618183</c:v>
                </c:pt>
                <c:pt idx="1370">
                  <c:v>0.92914841849148422</c:v>
                </c:pt>
                <c:pt idx="1371">
                  <c:v>0.93437042912729407</c:v>
                </c:pt>
                <c:pt idx="1372">
                  <c:v>0.94463243099787697</c:v>
                </c:pt>
                <c:pt idx="1373">
                  <c:v>0.92541845326893257</c:v>
                </c:pt>
                <c:pt idx="1374">
                  <c:v>0.91447190800208156</c:v>
                </c:pt>
                <c:pt idx="1375">
                  <c:v>0.91334263816449957</c:v>
                </c:pt>
                <c:pt idx="1376">
                  <c:v>0.92765852280751315</c:v>
                </c:pt>
                <c:pt idx="1377">
                  <c:v>0.94716851066086249</c:v>
                </c:pt>
                <c:pt idx="1378">
                  <c:v>0.95094962223559432</c:v>
                </c:pt>
                <c:pt idx="1379">
                  <c:v>0.95090275952305714</c:v>
                </c:pt>
                <c:pt idx="1380">
                  <c:v>0.94440063091482651</c:v>
                </c:pt>
                <c:pt idx="1381">
                  <c:v>0.95096236325103956</c:v>
                </c:pt>
                <c:pt idx="1382">
                  <c:v>0.96085419804775052</c:v>
                </c:pt>
                <c:pt idx="1383">
                  <c:v>0.97384185560419256</c:v>
                </c:pt>
                <c:pt idx="1384">
                  <c:v>0.98879798316129941</c:v>
                </c:pt>
                <c:pt idx="1385">
                  <c:v>0.99501376795415641</c:v>
                </c:pt>
                <c:pt idx="1386">
                  <c:v>0.99473989610947067</c:v>
                </c:pt>
                <c:pt idx="1387">
                  <c:v>0.99919312394352455</c:v>
                </c:pt>
                <c:pt idx="1388">
                  <c:v>0.99494309487375665</c:v>
                </c:pt>
                <c:pt idx="1389">
                  <c:v>0.99592094880586257</c:v>
                </c:pt>
                <c:pt idx="1390">
                  <c:v>0.99545499950054939</c:v>
                </c:pt>
                <c:pt idx="1391">
                  <c:v>0.9880381171862419</c:v>
                </c:pt>
                <c:pt idx="1392">
                  <c:v>0.98851580904152181</c:v>
                </c:pt>
                <c:pt idx="1393">
                  <c:v>0.98824456834066987</c:v>
                </c:pt>
                <c:pt idx="1394">
                  <c:v>0.97331188160574622</c:v>
                </c:pt>
                <c:pt idx="1395">
                  <c:v>0.97045883092394725</c:v>
                </c:pt>
                <c:pt idx="1396">
                  <c:v>0.97515266499097708</c:v>
                </c:pt>
                <c:pt idx="1397">
                  <c:v>0.98707131699928718</c:v>
                </c:pt>
                <c:pt idx="1398">
                  <c:v>1.013262433405095</c:v>
                </c:pt>
                <c:pt idx="1399">
                  <c:v>1.0344716009460453</c:v>
                </c:pt>
                <c:pt idx="1400">
                  <c:v>1.0266302146618065</c:v>
                </c:pt>
                <c:pt idx="1401">
                  <c:v>1.015473936844923</c:v>
                </c:pt>
                <c:pt idx="1402">
                  <c:v>0.99520142637245701</c:v>
                </c:pt>
                <c:pt idx="1403">
                  <c:v>0.98026356593876418</c:v>
                </c:pt>
                <c:pt idx="1404">
                  <c:v>0.97470432034406373</c:v>
                </c:pt>
                <c:pt idx="1405">
                  <c:v>0.96270806250159313</c:v>
                </c:pt>
                <c:pt idx="1406">
                  <c:v>0.96962029969246599</c:v>
                </c:pt>
                <c:pt idx="1407">
                  <c:v>0.95845632704893802</c:v>
                </c:pt>
                <c:pt idx="1408">
                  <c:v>0.96518118969217404</c:v>
                </c:pt>
                <c:pt idx="1409">
                  <c:v>0.96885096469830678</c:v>
                </c:pt>
                <c:pt idx="1410">
                  <c:v>0.96991477564431672</c:v>
                </c:pt>
                <c:pt idx="1411">
                  <c:v>0.96059819910973476</c:v>
                </c:pt>
                <c:pt idx="1412">
                  <c:v>0.94389457295373658</c:v>
                </c:pt>
                <c:pt idx="1413">
                  <c:v>0.92111273924955994</c:v>
                </c:pt>
                <c:pt idx="1414">
                  <c:v>0.9127249670578419</c:v>
                </c:pt>
                <c:pt idx="1415">
                  <c:v>0.92111998759016522</c:v>
                </c:pt>
                <c:pt idx="1416">
                  <c:v>0.94067424480935891</c:v>
                </c:pt>
                <c:pt idx="1417">
                  <c:v>0.95878306269193558</c:v>
                </c:pt>
                <c:pt idx="1418">
                  <c:v>0.96785819633650338</c:v>
                </c:pt>
                <c:pt idx="1419">
                  <c:v>0.96385579764489049</c:v>
                </c:pt>
                <c:pt idx="1420">
                  <c:v>0.95583333333333331</c:v>
                </c:pt>
                <c:pt idx="1421">
                  <c:v>0.93391501555916501</c:v>
                </c:pt>
                <c:pt idx="1422">
                  <c:v>0.90571836906965775</c:v>
                </c:pt>
                <c:pt idx="1423">
                  <c:v>0.87932403632174816</c:v>
                </c:pt>
                <c:pt idx="1424">
                  <c:v>0.86369846937920169</c:v>
                </c:pt>
                <c:pt idx="1425">
                  <c:v>0.870222198903434</c:v>
                </c:pt>
                <c:pt idx="1426">
                  <c:v>0.89337133393024537</c:v>
                </c:pt>
                <c:pt idx="1427">
                  <c:v>0.92843137564450284</c:v>
                </c:pt>
                <c:pt idx="1428">
                  <c:v>0.95242512142471658</c:v>
                </c:pt>
                <c:pt idx="1429">
                  <c:v>0.95696381050100354</c:v>
                </c:pt>
                <c:pt idx="1430">
                  <c:v>0.92874511047679453</c:v>
                </c:pt>
                <c:pt idx="1431">
                  <c:v>0.90811971467867458</c:v>
                </c:pt>
                <c:pt idx="1432">
                  <c:v>0.89878013606827156</c:v>
                </c:pt>
                <c:pt idx="1433">
                  <c:v>0.87412160389791738</c:v>
                </c:pt>
                <c:pt idx="1434">
                  <c:v>0.81849258246082757</c:v>
                </c:pt>
                <c:pt idx="1435">
                  <c:v>0.73537322574631836</c:v>
                </c:pt>
                <c:pt idx="1436">
                  <c:v>0.64031988256179173</c:v>
                </c:pt>
                <c:pt idx="1437">
                  <c:v>0.57414647332919477</c:v>
                </c:pt>
                <c:pt idx="1438">
                  <c:v>0.55485641150762566</c:v>
                </c:pt>
                <c:pt idx="1439">
                  <c:v>0.60072515725494868</c:v>
                </c:pt>
                <c:pt idx="1440">
                  <c:v>0.684628595963933</c:v>
                </c:pt>
                <c:pt idx="1441">
                  <c:v>0.77803902343577813</c:v>
                </c:pt>
                <c:pt idx="1442">
                  <c:v>0.87028757984141547</c:v>
                </c:pt>
                <c:pt idx="1443">
                  <c:v>0.93176644152572452</c:v>
                </c:pt>
                <c:pt idx="1444">
                  <c:v>0.96292599889395825</c:v>
                </c:pt>
                <c:pt idx="1445">
                  <c:v>0.97281947261663282</c:v>
                </c:pt>
                <c:pt idx="1446">
                  <c:v>0.96085918233787404</c:v>
                </c:pt>
                <c:pt idx="1447">
                  <c:v>0.94783232462009126</c:v>
                </c:pt>
                <c:pt idx="1448">
                  <c:v>0.93117945774856092</c:v>
                </c:pt>
                <c:pt idx="1449">
                  <c:v>0.90908695032110076</c:v>
                </c:pt>
                <c:pt idx="1450">
                  <c:v>0.90333660451422959</c:v>
                </c:pt>
                <c:pt idx="1451">
                  <c:v>0.90281213447657871</c:v>
                </c:pt>
                <c:pt idx="1452">
                  <c:v>0.91765699383926069</c:v>
                </c:pt>
                <c:pt idx="1453">
                  <c:v>0.94526087666304004</c:v>
                </c:pt>
                <c:pt idx="1454">
                  <c:v>0.96104885189916212</c:v>
                </c:pt>
                <c:pt idx="1455">
                  <c:v>0.97754939408095409</c:v>
                </c:pt>
                <c:pt idx="1456">
                  <c:v>0.99586702249467129</c:v>
                </c:pt>
                <c:pt idx="1457">
                  <c:v>0.999249033171561</c:v>
                </c:pt>
                <c:pt idx="1458">
                  <c:v>0.99198547311775687</c:v>
                </c:pt>
                <c:pt idx="1459">
                  <c:v>0.97811764627787556</c:v>
                </c:pt>
                <c:pt idx="1460">
                  <c:v>0.97124335106382975</c:v>
                </c:pt>
                <c:pt idx="1461">
                  <c:v>0.96784505599282522</c:v>
                </c:pt>
                <c:pt idx="1462">
                  <c:v>0.9561547458629629</c:v>
                </c:pt>
                <c:pt idx="1463">
                  <c:v>0.94259040860804211</c:v>
                </c:pt>
                <c:pt idx="1464">
                  <c:v>0.92273644005782729</c:v>
                </c:pt>
                <c:pt idx="1465">
                  <c:v>0.89840498337942398</c:v>
                </c:pt>
                <c:pt idx="1466">
                  <c:v>0.89917670601823874</c:v>
                </c:pt>
                <c:pt idx="1467">
                  <c:v>0.92960579198669047</c:v>
                </c:pt>
                <c:pt idx="1468">
                  <c:v>0.97120031982176236</c:v>
                </c:pt>
                <c:pt idx="1469">
                  <c:v>1.0019696310119584</c:v>
                </c:pt>
                <c:pt idx="1470">
                  <c:v>1.0022535211267605</c:v>
                </c:pt>
                <c:pt idx="1471">
                  <c:v>0.98803723254766651</c:v>
                </c:pt>
                <c:pt idx="1472">
                  <c:v>0.96343002116459553</c:v>
                </c:pt>
                <c:pt idx="1473">
                  <c:v>0.94695189418691694</c:v>
                </c:pt>
                <c:pt idx="1474">
                  <c:v>0.94947837964160442</c:v>
                </c:pt>
                <c:pt idx="1475">
                  <c:v>0.96894798147674654</c:v>
                </c:pt>
                <c:pt idx="1476">
                  <c:v>0.99878879498761486</c:v>
                </c:pt>
                <c:pt idx="1477">
                  <c:v>1.0041610078556271</c:v>
                </c:pt>
                <c:pt idx="1478">
                  <c:v>0.99933061925714728</c:v>
                </c:pt>
                <c:pt idx="1479">
                  <c:v>0.98687635810641505</c:v>
                </c:pt>
                <c:pt idx="1480">
                  <c:v>0.96532553874369553</c:v>
                </c:pt>
                <c:pt idx="1481">
                  <c:v>0.95547142599603385</c:v>
                </c:pt>
                <c:pt idx="1482">
                  <c:v>0.96272413142602098</c:v>
                </c:pt>
                <c:pt idx="1483">
                  <c:v>0.97691831704559973</c:v>
                </c:pt>
                <c:pt idx="1484">
                  <c:v>0.99358885564420796</c:v>
                </c:pt>
                <c:pt idx="1485">
                  <c:v>1.0017634644849815</c:v>
                </c:pt>
                <c:pt idx="1486">
                  <c:v>1.0079421345529191</c:v>
                </c:pt>
                <c:pt idx="1487">
                  <c:v>1.0066019814067593</c:v>
                </c:pt>
                <c:pt idx="1488">
                  <c:v>0.99636586001004446</c:v>
                </c:pt>
                <c:pt idx="1489">
                  <c:v>0.94632319286685096</c:v>
                </c:pt>
                <c:pt idx="1490">
                  <c:v>0.87125189592812979</c:v>
                </c:pt>
                <c:pt idx="1491">
                  <c:v>0.77493194507918217</c:v>
                </c:pt>
                <c:pt idx="1492">
                  <c:v>0.72363983812949639</c:v>
                </c:pt>
                <c:pt idx="1493">
                  <c:v>0.74782602575336876</c:v>
                </c:pt>
                <c:pt idx="1494">
                  <c:v>0.81775810765708812</c:v>
                </c:pt>
                <c:pt idx="1495">
                  <c:v>0.90042678440029433</c:v>
                </c:pt>
                <c:pt idx="1496">
                  <c:v>0.96694596991828496</c:v>
                </c:pt>
                <c:pt idx="1497">
                  <c:v>1.0015704189319972</c:v>
                </c:pt>
                <c:pt idx="1498">
                  <c:v>1.0291032725791864</c:v>
                </c:pt>
                <c:pt idx="1499">
                  <c:v>1.0351546979869752</c:v>
                </c:pt>
                <c:pt idx="1500">
                  <c:v>1.0438450570342206</c:v>
                </c:pt>
                <c:pt idx="1501">
                  <c:v>1.0276903810418327</c:v>
                </c:pt>
                <c:pt idx="1502">
                  <c:v>1.0115375991680142</c:v>
                </c:pt>
                <c:pt idx="1503">
                  <c:v>0.98385610895304276</c:v>
                </c:pt>
                <c:pt idx="1504">
                  <c:v>0.9677450248041527</c:v>
                </c:pt>
                <c:pt idx="1505">
                  <c:v>0.97478336481664718</c:v>
                </c:pt>
                <c:pt idx="1506">
                  <c:v>1.00197788042355</c:v>
                </c:pt>
                <c:pt idx="1507">
                  <c:v>1.0225358793495545</c:v>
                </c:pt>
                <c:pt idx="1508">
                  <c:v>1.0267098965570478</c:v>
                </c:pt>
                <c:pt idx="1509">
                  <c:v>1.0058865542207112</c:v>
                </c:pt>
                <c:pt idx="1510">
                  <c:v>0.97893207410098071</c:v>
                </c:pt>
                <c:pt idx="1511">
                  <c:v>0.96103571554216283</c:v>
                </c:pt>
                <c:pt idx="1512">
                  <c:v>0.94586841951731782</c:v>
                </c:pt>
                <c:pt idx="1513">
                  <c:v>0.94775504139920674</c:v>
                </c:pt>
                <c:pt idx="1514">
                  <c:v>0.96331708078929779</c:v>
                </c:pt>
                <c:pt idx="1515">
                  <c:v>0.96781686481860696</c:v>
                </c:pt>
                <c:pt idx="1516">
                  <c:v>0.95243169880840384</c:v>
                </c:pt>
                <c:pt idx="1517">
                  <c:v>0.92084964119633139</c:v>
                </c:pt>
                <c:pt idx="1518">
                  <c:v>0.87949276681144517</c:v>
                </c:pt>
                <c:pt idx="1519">
                  <c:v>0.89773397946522859</c:v>
                </c:pt>
                <c:pt idx="1520">
                  <c:v>0.93691358024691362</c:v>
                </c:pt>
                <c:pt idx="1521">
                  <c:v>1.0104539961083574</c:v>
                </c:pt>
                <c:pt idx="1522">
                  <c:v>1.0714604435321939</c:v>
                </c:pt>
                <c:pt idx="1523">
                  <c:v>1.1014156889483364</c:v>
                </c:pt>
                <c:pt idx="1524">
                  <c:v>1.1005072276202612</c:v>
                </c:pt>
                <c:pt idx="1525">
                  <c:v>1.0732254746095578</c:v>
                </c:pt>
                <c:pt idx="1526">
                  <c:v>1.0324677271841312</c:v>
                </c:pt>
                <c:pt idx="1527">
                  <c:v>0.97026482595952934</c:v>
                </c:pt>
                <c:pt idx="1528">
                  <c:v>0.94626262018024532</c:v>
                </c:pt>
                <c:pt idx="1529">
                  <c:v>0.94146085762879328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9-48A9-A6FD-3B6AAC528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166383"/>
        <c:axId val="1563332399"/>
      </c:scatterChart>
      <c:valAx>
        <c:axId val="156616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63332399"/>
        <c:crosses val="autoZero"/>
        <c:crossBetween val="midCat"/>
      </c:valAx>
      <c:valAx>
        <c:axId val="156333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6616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'ster orden1'!$A$1:$A$1530</c:f>
              <c:numCache>
                <c:formatCode>General</c:formatCode>
                <c:ptCount val="15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</c:numCache>
            </c:numRef>
          </c:xVal>
          <c:yVal>
            <c:numRef>
              <c:f>'ster orden1'!$D$1:$D$1530</c:f>
              <c:numCache>
                <c:formatCode>General</c:formatCode>
                <c:ptCount val="1530"/>
                <c:pt idx="0">
                  <c:v>1.0983791326749679</c:v>
                </c:pt>
                <c:pt idx="1">
                  <c:v>1.141431387112436</c:v>
                </c:pt>
                <c:pt idx="2">
                  <c:v>1.1581891883793698</c:v>
                </c:pt>
                <c:pt idx="3">
                  <c:v>1.144393003180858</c:v>
                </c:pt>
                <c:pt idx="4">
                  <c:v>1.1173592619145161</c:v>
                </c:pt>
                <c:pt idx="5">
                  <c:v>1.0869484168197918</c:v>
                </c:pt>
                <c:pt idx="6">
                  <c:v>1.0793934082390628</c:v>
                </c:pt>
                <c:pt idx="7">
                  <c:v>1.0865721285726573</c:v>
                </c:pt>
                <c:pt idx="8">
                  <c:v>1.1057137646120696</c:v>
                </c:pt>
                <c:pt idx="9">
                  <c:v>1.1291410396631369</c:v>
                </c:pt>
                <c:pt idx="10">
                  <c:v>1.1405539697642457</c:v>
                </c:pt>
                <c:pt idx="11">
                  <c:v>1.1647607616864015</c:v>
                </c:pt>
                <c:pt idx="12">
                  <c:v>1.1618616770102537</c:v>
                </c:pt>
                <c:pt idx="13">
                  <c:v>1.1523431538776467</c:v>
                </c:pt>
                <c:pt idx="14">
                  <c:v>1.1303496138988025</c:v>
                </c:pt>
                <c:pt idx="15">
                  <c:v>1.0969857551352344</c:v>
                </c:pt>
                <c:pt idx="16">
                  <c:v>1.0529304766215695</c:v>
                </c:pt>
                <c:pt idx="17">
                  <c:v>0.98897143831653578</c:v>
                </c:pt>
                <c:pt idx="18">
                  <c:v>0.92175479212198974</c:v>
                </c:pt>
                <c:pt idx="19">
                  <c:v>0.84420075547752504</c:v>
                </c:pt>
                <c:pt idx="20">
                  <c:v>0.77333333333333332</c:v>
                </c:pt>
                <c:pt idx="21">
                  <c:v>0.73642681134471744</c:v>
                </c:pt>
                <c:pt idx="22">
                  <c:v>0.75005504800601586</c:v>
                </c:pt>
                <c:pt idx="23">
                  <c:v>0.79014427639337026</c:v>
                </c:pt>
                <c:pt idx="24">
                  <c:v>0.84539511839467096</c:v>
                </c:pt>
                <c:pt idx="25">
                  <c:v>0.88156363918405334</c:v>
                </c:pt>
                <c:pt idx="26">
                  <c:v>0.90637404942769462</c:v>
                </c:pt>
                <c:pt idx="27">
                  <c:v>0.90523237408365653</c:v>
                </c:pt>
                <c:pt idx="28">
                  <c:v>0.87675670554896523</c:v>
                </c:pt>
                <c:pt idx="29">
                  <c:v>0.82497102884365248</c:v>
                </c:pt>
                <c:pt idx="30">
                  <c:v>0.75952356504774621</c:v>
                </c:pt>
                <c:pt idx="31">
                  <c:v>0.69175077080507208</c:v>
                </c:pt>
                <c:pt idx="32">
                  <c:v>0.61367564423911791</c:v>
                </c:pt>
                <c:pt idx="33">
                  <c:v>0.56000269930094237</c:v>
                </c:pt>
                <c:pt idx="34">
                  <c:v>0.52970990520765682</c:v>
                </c:pt>
                <c:pt idx="35">
                  <c:v>0.5402870179195024</c:v>
                </c:pt>
                <c:pt idx="36">
                  <c:v>0.5714538804900301</c:v>
                </c:pt>
                <c:pt idx="37">
                  <c:v>0.63329235768588243</c:v>
                </c:pt>
                <c:pt idx="38">
                  <c:v>0.69551902980679803</c:v>
                </c:pt>
                <c:pt idx="39">
                  <c:v>0.76675126414591199</c:v>
                </c:pt>
                <c:pt idx="40">
                  <c:v>0.82776427703523692</c:v>
                </c:pt>
                <c:pt idx="41">
                  <c:v>0.87324145894824756</c:v>
                </c:pt>
                <c:pt idx="42">
                  <c:v>0.91455656578304301</c:v>
                </c:pt>
                <c:pt idx="43">
                  <c:v>0.94673535880347426</c:v>
                </c:pt>
                <c:pt idx="44">
                  <c:v>0.9807416537767466</c:v>
                </c:pt>
                <c:pt idx="45">
                  <c:v>0.99585166561910743</c:v>
                </c:pt>
                <c:pt idx="46">
                  <c:v>0.98009086855393668</c:v>
                </c:pt>
                <c:pt idx="47">
                  <c:v>0.94095606030062062</c:v>
                </c:pt>
                <c:pt idx="48">
                  <c:v>0.87944303777183064</c:v>
                </c:pt>
                <c:pt idx="49">
                  <c:v>0.7942414121803355</c:v>
                </c:pt>
                <c:pt idx="50">
                  <c:v>0.70197782439316747</c:v>
                </c:pt>
                <c:pt idx="51">
                  <c:v>0.61185767912062483</c:v>
                </c:pt>
                <c:pt idx="52">
                  <c:v>0.53488029201734255</c:v>
                </c:pt>
                <c:pt idx="53">
                  <c:v>0.47362928074610661</c:v>
                </c:pt>
                <c:pt idx="54">
                  <c:v>0.44627420899722198</c:v>
                </c:pt>
                <c:pt idx="55">
                  <c:v>0.45416883729006968</c:v>
                </c:pt>
                <c:pt idx="56">
                  <c:v>0.49702508363855458</c:v>
                </c:pt>
                <c:pt idx="57">
                  <c:v>0.56688680375008282</c:v>
                </c:pt>
                <c:pt idx="58">
                  <c:v>0.64259564559043869</c:v>
                </c:pt>
                <c:pt idx="59">
                  <c:v>0.69782317074976374</c:v>
                </c:pt>
                <c:pt idx="60">
                  <c:v>0.72589708201892744</c:v>
                </c:pt>
                <c:pt idx="61">
                  <c:v>0.74981367878320682</c:v>
                </c:pt>
                <c:pt idx="62">
                  <c:v>0.76260820659249029</c:v>
                </c:pt>
                <c:pt idx="63">
                  <c:v>0.79383238195867634</c:v>
                </c:pt>
                <c:pt idx="64">
                  <c:v>0.84115944075695526</c:v>
                </c:pt>
                <c:pt idx="65">
                  <c:v>0.90844535860329589</c:v>
                </c:pt>
                <c:pt idx="66">
                  <c:v>0.96930011621036816</c:v>
                </c:pt>
                <c:pt idx="67">
                  <c:v>1.0077267189727146</c:v>
                </c:pt>
                <c:pt idx="68">
                  <c:v>1.013175971025353</c:v>
                </c:pt>
                <c:pt idx="69">
                  <c:v>0.99391053781966265</c:v>
                </c:pt>
                <c:pt idx="70">
                  <c:v>0.96700729927007301</c:v>
                </c:pt>
                <c:pt idx="71">
                  <c:v>0.92112259051573731</c:v>
                </c:pt>
                <c:pt idx="72">
                  <c:v>0.85890052965937158</c:v>
                </c:pt>
                <c:pt idx="73">
                  <c:v>0.7746819586364434</c:v>
                </c:pt>
                <c:pt idx="74">
                  <c:v>0.68631837038242094</c:v>
                </c:pt>
                <c:pt idx="75">
                  <c:v>0.60978263497666774</c:v>
                </c:pt>
                <c:pt idx="76">
                  <c:v>0.56917848973788332</c:v>
                </c:pt>
                <c:pt idx="77">
                  <c:v>0.57546613721852569</c:v>
                </c:pt>
                <c:pt idx="78">
                  <c:v>0.6183057824164897</c:v>
                </c:pt>
                <c:pt idx="79">
                  <c:v>0.68341547022044646</c:v>
                </c:pt>
                <c:pt idx="80">
                  <c:v>0.73543829296424457</c:v>
                </c:pt>
                <c:pt idx="81">
                  <c:v>0.76088699109802538</c:v>
                </c:pt>
                <c:pt idx="82">
                  <c:v>0.75899654443715747</c:v>
                </c:pt>
                <c:pt idx="83">
                  <c:v>0.7559151183981323</c:v>
                </c:pt>
                <c:pt idx="84">
                  <c:v>0.76455948518609196</c:v>
                </c:pt>
                <c:pt idx="85">
                  <c:v>0.79955100188674744</c:v>
                </c:pt>
                <c:pt idx="86">
                  <c:v>0.86465835403857083</c:v>
                </c:pt>
                <c:pt idx="87">
                  <c:v>0.9338508792912682</c:v>
                </c:pt>
                <c:pt idx="88">
                  <c:v>0.99631059533056154</c:v>
                </c:pt>
                <c:pt idx="89">
                  <c:v>1.0306710437624009</c:v>
                </c:pt>
                <c:pt idx="90">
                  <c:v>1.0513721393979678</c:v>
                </c:pt>
                <c:pt idx="91">
                  <c:v>1.050828038647178</c:v>
                </c:pt>
                <c:pt idx="92">
                  <c:v>1.0449349005699042</c:v>
                </c:pt>
                <c:pt idx="93">
                  <c:v>1.0471476651360478</c:v>
                </c:pt>
                <c:pt idx="94">
                  <c:v>1.0468054783749352</c:v>
                </c:pt>
                <c:pt idx="95">
                  <c:v>1.0332035398230088</c:v>
                </c:pt>
                <c:pt idx="96">
                  <c:v>0.9993645250343195</c:v>
                </c:pt>
                <c:pt idx="97">
                  <c:v>0.95176344395882373</c:v>
                </c:pt>
                <c:pt idx="98">
                  <c:v>0.89651552605736351</c:v>
                </c:pt>
                <c:pt idx="99">
                  <c:v>0.84825702605981623</c:v>
                </c:pt>
                <c:pt idx="100">
                  <c:v>0.81874061561561562</c:v>
                </c:pt>
                <c:pt idx="101">
                  <c:v>0.80972855323061876</c:v>
                </c:pt>
                <c:pt idx="102">
                  <c:v>0.81693624798235331</c:v>
                </c:pt>
                <c:pt idx="103">
                  <c:v>0.84002689582357237</c:v>
                </c:pt>
                <c:pt idx="104">
                  <c:v>0.8715662317475974</c:v>
                </c:pt>
                <c:pt idx="105">
                  <c:v>0.89902264934337894</c:v>
                </c:pt>
                <c:pt idx="106">
                  <c:v>0.91155298582297917</c:v>
                </c:pt>
                <c:pt idx="107">
                  <c:v>0.93932310648268391</c:v>
                </c:pt>
                <c:pt idx="108">
                  <c:v>0.96033682456557967</c:v>
                </c:pt>
                <c:pt idx="109">
                  <c:v>0.96881243156038144</c:v>
                </c:pt>
                <c:pt idx="110">
                  <c:v>0.97212171815567305</c:v>
                </c:pt>
                <c:pt idx="111">
                  <c:v>0.96713152117607049</c:v>
                </c:pt>
                <c:pt idx="112">
                  <c:v>0.96016424519779031</c:v>
                </c:pt>
                <c:pt idx="113">
                  <c:v>0.96014889727807562</c:v>
                </c:pt>
                <c:pt idx="114">
                  <c:v>0.97172606403611506</c:v>
                </c:pt>
                <c:pt idx="115">
                  <c:v>0.97797458428469286</c:v>
                </c:pt>
                <c:pt idx="116">
                  <c:v>0.98365807088936064</c:v>
                </c:pt>
                <c:pt idx="117">
                  <c:v>0.98468231051251343</c:v>
                </c:pt>
                <c:pt idx="118">
                  <c:v>0.98474065737645233</c:v>
                </c:pt>
                <c:pt idx="119">
                  <c:v>0.98654572607065216</c:v>
                </c:pt>
                <c:pt idx="120">
                  <c:v>0.97137614678899087</c:v>
                </c:pt>
                <c:pt idx="121">
                  <c:v>0.96765118003223982</c:v>
                </c:pt>
                <c:pt idx="122">
                  <c:v>0.95830632847428965</c:v>
                </c:pt>
                <c:pt idx="123">
                  <c:v>0.95538459990983837</c:v>
                </c:pt>
                <c:pt idx="124">
                  <c:v>0.96041776277329594</c:v>
                </c:pt>
                <c:pt idx="125">
                  <c:v>0.96909144825383786</c:v>
                </c:pt>
                <c:pt idx="126">
                  <c:v>0.98130270406247389</c:v>
                </c:pt>
                <c:pt idx="127">
                  <c:v>0.98852734690458699</c:v>
                </c:pt>
                <c:pt idx="128">
                  <c:v>0.98482450779237785</c:v>
                </c:pt>
                <c:pt idx="129">
                  <c:v>0.95287716483498508</c:v>
                </c:pt>
                <c:pt idx="130">
                  <c:v>0.90997368182230698</c:v>
                </c:pt>
                <c:pt idx="131">
                  <c:v>0.86127104223722861</c:v>
                </c:pt>
                <c:pt idx="132">
                  <c:v>0.82589544453460073</c:v>
                </c:pt>
                <c:pt idx="133">
                  <c:v>0.81931843778580482</c:v>
                </c:pt>
                <c:pt idx="134">
                  <c:v>0.84443034726062793</c:v>
                </c:pt>
                <c:pt idx="135">
                  <c:v>0.89214867640089368</c:v>
                </c:pt>
                <c:pt idx="136">
                  <c:v>0.9325538530349593</c:v>
                </c:pt>
                <c:pt idx="137">
                  <c:v>0.97598348273280777</c:v>
                </c:pt>
                <c:pt idx="138">
                  <c:v>0.99642213095576615</c:v>
                </c:pt>
                <c:pt idx="139">
                  <c:v>1.0185277574770393</c:v>
                </c:pt>
                <c:pt idx="140">
                  <c:v>1.0275682471264367</c:v>
                </c:pt>
                <c:pt idx="141">
                  <c:v>1.0371299985019184</c:v>
                </c:pt>
                <c:pt idx="142">
                  <c:v>1.0325149921678693</c:v>
                </c:pt>
                <c:pt idx="143">
                  <c:v>1.0181537252332216</c:v>
                </c:pt>
                <c:pt idx="144">
                  <c:v>0.99523887879351547</c:v>
                </c:pt>
                <c:pt idx="145">
                  <c:v>0.97170295924064765</c:v>
                </c:pt>
                <c:pt idx="146">
                  <c:v>0.95870324955110287</c:v>
                </c:pt>
                <c:pt idx="147">
                  <c:v>0.96128900542137585</c:v>
                </c:pt>
                <c:pt idx="148">
                  <c:v>0.98618117305061559</c:v>
                </c:pt>
                <c:pt idx="149">
                  <c:v>1.0148501858163865</c:v>
                </c:pt>
                <c:pt idx="150">
                  <c:v>1.0358190383077059</c:v>
                </c:pt>
                <c:pt idx="151">
                  <c:v>1.0498215742839665</c:v>
                </c:pt>
                <c:pt idx="152">
                  <c:v>1.0420658236471239</c:v>
                </c:pt>
                <c:pt idx="153">
                  <c:v>1.0204597030954947</c:v>
                </c:pt>
                <c:pt idx="154">
                  <c:v>0.98929397226028726</c:v>
                </c:pt>
                <c:pt idx="155">
                  <c:v>0.96212774424620284</c:v>
                </c:pt>
                <c:pt idx="156">
                  <c:v>0.94597244996042062</c:v>
                </c:pt>
                <c:pt idx="157">
                  <c:v>0.94401653617597403</c:v>
                </c:pt>
                <c:pt idx="158">
                  <c:v>0.96384447994808475</c:v>
                </c:pt>
                <c:pt idx="159">
                  <c:v>0.98707013870599203</c:v>
                </c:pt>
                <c:pt idx="160">
                  <c:v>1.0069077789510736</c:v>
                </c:pt>
                <c:pt idx="161">
                  <c:v>0.99928001202617267</c:v>
                </c:pt>
                <c:pt idx="162">
                  <c:v>0.98978075521940279</c:v>
                </c:pt>
                <c:pt idx="163">
                  <c:v>0.96889583777509292</c:v>
                </c:pt>
                <c:pt idx="164">
                  <c:v>0.96567163132503087</c:v>
                </c:pt>
                <c:pt idx="165">
                  <c:v>0.95374241993038378</c:v>
                </c:pt>
                <c:pt idx="166">
                  <c:v>0.96003443316501669</c:v>
                </c:pt>
                <c:pt idx="167">
                  <c:v>0.95827532291374429</c:v>
                </c:pt>
                <c:pt idx="168">
                  <c:v>0.96538362135203482</c:v>
                </c:pt>
                <c:pt idx="169">
                  <c:v>0.97487872895911465</c:v>
                </c:pt>
                <c:pt idx="170">
                  <c:v>0.9622222222222222</c:v>
                </c:pt>
                <c:pt idx="171">
                  <c:v>0.94349725186945144</c:v>
                </c:pt>
                <c:pt idx="172">
                  <c:v>0.89354055332888005</c:v>
                </c:pt>
                <c:pt idx="173">
                  <c:v>0.82256465335582218</c:v>
                </c:pt>
                <c:pt idx="174">
                  <c:v>0.76036302266547673</c:v>
                </c:pt>
                <c:pt idx="175">
                  <c:v>0.72403998352089161</c:v>
                </c:pt>
                <c:pt idx="176">
                  <c:v>0.73401475134827876</c:v>
                </c:pt>
                <c:pt idx="177">
                  <c:v>0.77353523478748665</c:v>
                </c:pt>
                <c:pt idx="178">
                  <c:v>0.81665853683850009</c:v>
                </c:pt>
                <c:pt idx="179">
                  <c:v>0.8406498121952547</c:v>
                </c:pt>
                <c:pt idx="180">
                  <c:v>0.84880006906077343</c:v>
                </c:pt>
                <c:pt idx="181">
                  <c:v>0.84067930510168787</c:v>
                </c:pt>
                <c:pt idx="182">
                  <c:v>0.82219212170718181</c:v>
                </c:pt>
                <c:pt idx="183">
                  <c:v>0.82220601895094059</c:v>
                </c:pt>
                <c:pt idx="184">
                  <c:v>0.8315530005917241</c:v>
                </c:pt>
                <c:pt idx="185">
                  <c:v>0.84917617237008869</c:v>
                </c:pt>
                <c:pt idx="186">
                  <c:v>0.87067452809131518</c:v>
                </c:pt>
                <c:pt idx="187">
                  <c:v>0.89346442395688863</c:v>
                </c:pt>
                <c:pt idx="188">
                  <c:v>0.90284633102994405</c:v>
                </c:pt>
                <c:pt idx="189">
                  <c:v>0.91576565508514707</c:v>
                </c:pt>
                <c:pt idx="190">
                  <c:v>0.91715849798990678</c:v>
                </c:pt>
                <c:pt idx="191">
                  <c:v>0.91654211094389737</c:v>
                </c:pt>
                <c:pt idx="192">
                  <c:v>0.90709143317714236</c:v>
                </c:pt>
                <c:pt idx="193">
                  <c:v>0.90781056598687515</c:v>
                </c:pt>
                <c:pt idx="194">
                  <c:v>0.91049019708111312</c:v>
                </c:pt>
                <c:pt idx="195">
                  <c:v>0.93236828100053215</c:v>
                </c:pt>
                <c:pt idx="196">
                  <c:v>0.9505080719808342</c:v>
                </c:pt>
                <c:pt idx="197">
                  <c:v>0.96049966382511776</c:v>
                </c:pt>
                <c:pt idx="198">
                  <c:v>0.96678091847584235</c:v>
                </c:pt>
                <c:pt idx="199">
                  <c:v>0.96248893776213151</c:v>
                </c:pt>
                <c:pt idx="200">
                  <c:v>0.96125805357748384</c:v>
                </c:pt>
                <c:pt idx="201">
                  <c:v>0.96354601194776734</c:v>
                </c:pt>
                <c:pt idx="202">
                  <c:v>0.9707821771788544</c:v>
                </c:pt>
                <c:pt idx="203">
                  <c:v>0.99094368784935627</c:v>
                </c:pt>
                <c:pt idx="204">
                  <c:v>1.000807607050173</c:v>
                </c:pt>
                <c:pt idx="205">
                  <c:v>1.0031440568884387</c:v>
                </c:pt>
                <c:pt idx="206">
                  <c:v>0.98582902402083306</c:v>
                </c:pt>
                <c:pt idx="207">
                  <c:v>0.97149467784377053</c:v>
                </c:pt>
                <c:pt idx="208">
                  <c:v>0.96232203230021152</c:v>
                </c:pt>
                <c:pt idx="209">
                  <c:v>0.95489112012240096</c:v>
                </c:pt>
                <c:pt idx="210">
                  <c:v>0.95928229262963272</c:v>
                </c:pt>
                <c:pt idx="211">
                  <c:v>0.96429731996886436</c:v>
                </c:pt>
                <c:pt idx="212">
                  <c:v>0.97018631872852223</c:v>
                </c:pt>
                <c:pt idx="213">
                  <c:v>0.96537913124679886</c:v>
                </c:pt>
                <c:pt idx="214">
                  <c:v>0.95526330777142365</c:v>
                </c:pt>
                <c:pt idx="215">
                  <c:v>0.94432937927571703</c:v>
                </c:pt>
                <c:pt idx="216">
                  <c:v>0.9380978340847369</c:v>
                </c:pt>
                <c:pt idx="217">
                  <c:v>0.93283909402827592</c:v>
                </c:pt>
                <c:pt idx="218">
                  <c:v>0.92646386131506286</c:v>
                </c:pt>
                <c:pt idx="219">
                  <c:v>0.92927517037128471</c:v>
                </c:pt>
                <c:pt idx="220">
                  <c:v>0.92166666666666663</c:v>
                </c:pt>
                <c:pt idx="221">
                  <c:v>0.91144955158164165</c:v>
                </c:pt>
                <c:pt idx="222">
                  <c:v>0.9105687539725591</c:v>
                </c:pt>
                <c:pt idx="223">
                  <c:v>0.90254208053094331</c:v>
                </c:pt>
                <c:pt idx="224">
                  <c:v>0.91176460816755034</c:v>
                </c:pt>
                <c:pt idx="225">
                  <c:v>0.92255026037884602</c:v>
                </c:pt>
                <c:pt idx="226">
                  <c:v>0.93236614028279452</c:v>
                </c:pt>
                <c:pt idx="227">
                  <c:v>0.94299602883629907</c:v>
                </c:pt>
                <c:pt idx="228">
                  <c:v>0.94905690367701601</c:v>
                </c:pt>
                <c:pt idx="229">
                  <c:v>0.95333103375825834</c:v>
                </c:pt>
                <c:pt idx="230">
                  <c:v>0.96739399950409122</c:v>
                </c:pt>
                <c:pt idx="231">
                  <c:v>0.97548970623819553</c:v>
                </c:pt>
                <c:pt idx="232">
                  <c:v>0.98369773306399444</c:v>
                </c:pt>
                <c:pt idx="233">
                  <c:v>0.9887610062737513</c:v>
                </c:pt>
                <c:pt idx="234">
                  <c:v>0.98883345251786936</c:v>
                </c:pt>
                <c:pt idx="235">
                  <c:v>0.98540882056347878</c:v>
                </c:pt>
                <c:pt idx="236">
                  <c:v>0.96739116129711511</c:v>
                </c:pt>
                <c:pt idx="237">
                  <c:v>0.94134926042420919</c:v>
                </c:pt>
                <c:pt idx="238">
                  <c:v>0.9009785854365201</c:v>
                </c:pt>
                <c:pt idx="239">
                  <c:v>0.85751399717225529</c:v>
                </c:pt>
                <c:pt idx="240">
                  <c:v>0.84048048540505083</c:v>
                </c:pt>
                <c:pt idx="241">
                  <c:v>0.85563254213847917</c:v>
                </c:pt>
                <c:pt idx="242">
                  <c:v>0.8794399745889534</c:v>
                </c:pt>
                <c:pt idx="243">
                  <c:v>0.89331362461768016</c:v>
                </c:pt>
                <c:pt idx="244">
                  <c:v>0.89184125863151287</c:v>
                </c:pt>
                <c:pt idx="245">
                  <c:v>0.86999489535477281</c:v>
                </c:pt>
                <c:pt idx="246">
                  <c:v>0.84124688653776469</c:v>
                </c:pt>
                <c:pt idx="247">
                  <c:v>0.81543965404058327</c:v>
                </c:pt>
                <c:pt idx="248">
                  <c:v>0.80002216398743176</c:v>
                </c:pt>
                <c:pt idx="249">
                  <c:v>0.79236483224077658</c:v>
                </c:pt>
                <c:pt idx="250">
                  <c:v>0.79631437637295577</c:v>
                </c:pt>
                <c:pt idx="251">
                  <c:v>0.81570584347325581</c:v>
                </c:pt>
                <c:pt idx="252">
                  <c:v>0.84489868202142038</c:v>
                </c:pt>
                <c:pt idx="253">
                  <c:v>0.87563143766067508</c:v>
                </c:pt>
                <c:pt idx="254">
                  <c:v>0.90688684050861257</c:v>
                </c:pt>
                <c:pt idx="255">
                  <c:v>0.90948511681627531</c:v>
                </c:pt>
                <c:pt idx="256">
                  <c:v>0.88839106376913002</c:v>
                </c:pt>
                <c:pt idx="257">
                  <c:v>0.82492265085612126</c:v>
                </c:pt>
                <c:pt idx="258">
                  <c:v>0.75811366407991232</c:v>
                </c:pt>
                <c:pt idx="259">
                  <c:v>0.69471885987560189</c:v>
                </c:pt>
                <c:pt idx="260">
                  <c:v>0.66658591731266148</c:v>
                </c:pt>
                <c:pt idx="261">
                  <c:v>0.69045984125152604</c:v>
                </c:pt>
                <c:pt idx="262">
                  <c:v>0.74514044101283949</c:v>
                </c:pt>
                <c:pt idx="263">
                  <c:v>0.79704242271891168</c:v>
                </c:pt>
                <c:pt idx="264">
                  <c:v>0.85188846951525854</c:v>
                </c:pt>
                <c:pt idx="265">
                  <c:v>0.87797421508879903</c:v>
                </c:pt>
                <c:pt idx="266">
                  <c:v>0.9002447173530651</c:v>
                </c:pt>
                <c:pt idx="267">
                  <c:v>0.90340466793220708</c:v>
                </c:pt>
                <c:pt idx="268">
                  <c:v>0.90880921187833952</c:v>
                </c:pt>
                <c:pt idx="269">
                  <c:v>0.90125212678656086</c:v>
                </c:pt>
                <c:pt idx="270">
                  <c:v>0.87923847695390778</c:v>
                </c:pt>
                <c:pt idx="271">
                  <c:v>0.88313111433123548</c:v>
                </c:pt>
                <c:pt idx="272">
                  <c:v>0.87781438506166676</c:v>
                </c:pt>
                <c:pt idx="273">
                  <c:v>0.88854423044158859</c:v>
                </c:pt>
                <c:pt idx="274">
                  <c:v>0.89969978035048004</c:v>
                </c:pt>
                <c:pt idx="275">
                  <c:v>0.90816509914335353</c:v>
                </c:pt>
                <c:pt idx="276">
                  <c:v>0.91370651563138539</c:v>
                </c:pt>
                <c:pt idx="277">
                  <c:v>0.91744692526665983</c:v>
                </c:pt>
                <c:pt idx="278">
                  <c:v>0.91687947739424025</c:v>
                </c:pt>
                <c:pt idx="279">
                  <c:v>0.91746919003216998</c:v>
                </c:pt>
                <c:pt idx="280">
                  <c:v>0.91837790512575612</c:v>
                </c:pt>
                <c:pt idx="281">
                  <c:v>0.90942424076119932</c:v>
                </c:pt>
                <c:pt idx="282">
                  <c:v>0.87644139518469888</c:v>
                </c:pt>
                <c:pt idx="283">
                  <c:v>0.82452298632837484</c:v>
                </c:pt>
                <c:pt idx="284">
                  <c:v>0.76081193487757792</c:v>
                </c:pt>
                <c:pt idx="285">
                  <c:v>0.70290099343657675</c:v>
                </c:pt>
                <c:pt idx="286">
                  <c:v>0.67079144354508879</c:v>
                </c:pt>
                <c:pt idx="287">
                  <c:v>0.67579609207365321</c:v>
                </c:pt>
                <c:pt idx="288">
                  <c:v>0.69619020782411567</c:v>
                </c:pt>
                <c:pt idx="289">
                  <c:v>0.71291899712000661</c:v>
                </c:pt>
                <c:pt idx="290">
                  <c:v>0.73334123784681049</c:v>
                </c:pt>
                <c:pt idx="291">
                  <c:v>0.76242595534294555</c:v>
                </c:pt>
                <c:pt idx="292">
                  <c:v>0.80540504698393456</c:v>
                </c:pt>
                <c:pt idx="293">
                  <c:v>0.85522978753951151</c:v>
                </c:pt>
                <c:pt idx="294">
                  <c:v>0.89308519192384217</c:v>
                </c:pt>
                <c:pt idx="295">
                  <c:v>0.9155292959133432</c:v>
                </c:pt>
                <c:pt idx="296">
                  <c:v>0.92341980627039011</c:v>
                </c:pt>
                <c:pt idx="297">
                  <c:v>0.92461396727641498</c:v>
                </c:pt>
                <c:pt idx="298">
                  <c:v>0.92219140257689969</c:v>
                </c:pt>
                <c:pt idx="299">
                  <c:v>0.91352722707126799</c:v>
                </c:pt>
                <c:pt idx="300">
                  <c:v>0.91025439698492461</c:v>
                </c:pt>
                <c:pt idx="301">
                  <c:v>0.91334304741144934</c:v>
                </c:pt>
                <c:pt idx="302">
                  <c:v>0.92238856529880586</c:v>
                </c:pt>
                <c:pt idx="303">
                  <c:v>0.92742715954960031</c:v>
                </c:pt>
                <c:pt idx="304">
                  <c:v>0.93931292210151729</c:v>
                </c:pt>
                <c:pt idx="305">
                  <c:v>0.94789771282111479</c:v>
                </c:pt>
                <c:pt idx="306">
                  <c:v>0.96323803147808074</c:v>
                </c:pt>
                <c:pt idx="307">
                  <c:v>0.97773932318350898</c:v>
                </c:pt>
                <c:pt idx="308">
                  <c:v>0.98261597680463908</c:v>
                </c:pt>
                <c:pt idx="309">
                  <c:v>0.97593512968364937</c:v>
                </c:pt>
                <c:pt idx="310">
                  <c:v>0.96551993135189951</c:v>
                </c:pt>
                <c:pt idx="311">
                  <c:v>0.9514554629657781</c:v>
                </c:pt>
                <c:pt idx="312">
                  <c:v>0.93269686241757144</c:v>
                </c:pt>
                <c:pt idx="313">
                  <c:v>0.92097098067428607</c:v>
                </c:pt>
                <c:pt idx="314">
                  <c:v>0.9235786249848269</c:v>
                </c:pt>
                <c:pt idx="315">
                  <c:v>0.92357938529131589</c:v>
                </c:pt>
                <c:pt idx="316">
                  <c:v>0.93282944146026059</c:v>
                </c:pt>
                <c:pt idx="317">
                  <c:v>0.94940862432247508</c:v>
                </c:pt>
                <c:pt idx="318">
                  <c:v>0.96146681610312368</c:v>
                </c:pt>
                <c:pt idx="319">
                  <c:v>0.96998213619464491</c:v>
                </c:pt>
                <c:pt idx="320">
                  <c:v>0.97197674418604652</c:v>
                </c:pt>
                <c:pt idx="321">
                  <c:v>0.97013555170092325</c:v>
                </c:pt>
                <c:pt idx="322">
                  <c:v>0.97623405461150392</c:v>
                </c:pt>
                <c:pt idx="323">
                  <c:v>0.97304144024525085</c:v>
                </c:pt>
                <c:pt idx="324">
                  <c:v>0.97155547857072155</c:v>
                </c:pt>
                <c:pt idx="325">
                  <c:v>0.9803898838849282</c:v>
                </c:pt>
                <c:pt idx="326">
                  <c:v>0.98083511744225205</c:v>
                </c:pt>
                <c:pt idx="327">
                  <c:v>0.97881133201240245</c:v>
                </c:pt>
                <c:pt idx="328">
                  <c:v>0.96707180854346397</c:v>
                </c:pt>
                <c:pt idx="329">
                  <c:v>0.96047471357678049</c:v>
                </c:pt>
                <c:pt idx="330">
                  <c:v>0.94926419600893752</c:v>
                </c:pt>
                <c:pt idx="331">
                  <c:v>0.92659540964318354</c:v>
                </c:pt>
                <c:pt idx="332">
                  <c:v>0.89610575502364065</c:v>
                </c:pt>
                <c:pt idx="333">
                  <c:v>0.86969161633586656</c:v>
                </c:pt>
                <c:pt idx="334">
                  <c:v>0.84972836363300952</c:v>
                </c:pt>
                <c:pt idx="335">
                  <c:v>0.8290987305794012</c:v>
                </c:pt>
                <c:pt idx="336">
                  <c:v>0.81874393494576758</c:v>
                </c:pt>
                <c:pt idx="337">
                  <c:v>0.81603700114554389</c:v>
                </c:pt>
                <c:pt idx="338">
                  <c:v>0.8327352086841564</c:v>
                </c:pt>
                <c:pt idx="339">
                  <c:v>0.87512712296306294</c:v>
                </c:pt>
                <c:pt idx="340">
                  <c:v>0.91781556372549022</c:v>
                </c:pt>
                <c:pt idx="341">
                  <c:v>0.93883075019960061</c:v>
                </c:pt>
                <c:pt idx="342">
                  <c:v>0.94811784110974084</c:v>
                </c:pt>
                <c:pt idx="343">
                  <c:v>0.9359485759681192</c:v>
                </c:pt>
                <c:pt idx="344">
                  <c:v>0.92241927398549928</c:v>
                </c:pt>
                <c:pt idx="345">
                  <c:v>0.9262052505966587</c:v>
                </c:pt>
                <c:pt idx="346">
                  <c:v>0.93685788520781244</c:v>
                </c:pt>
                <c:pt idx="347">
                  <c:v>0.95966727465936774</c:v>
                </c:pt>
                <c:pt idx="348">
                  <c:v>0.98973327559285651</c:v>
                </c:pt>
                <c:pt idx="349">
                  <c:v>1.004603161177696</c:v>
                </c:pt>
                <c:pt idx="350">
                  <c:v>1.0166019343538193</c:v>
                </c:pt>
                <c:pt idx="351">
                  <c:v>1.0209774561418865</c:v>
                </c:pt>
                <c:pt idx="352">
                  <c:v>1.0163733401492192</c:v>
                </c:pt>
                <c:pt idx="353">
                  <c:v>1.0054656275207916</c:v>
                </c:pt>
                <c:pt idx="354">
                  <c:v>0.98309782955585068</c:v>
                </c:pt>
                <c:pt idx="355">
                  <c:v>0.97894477036699512</c:v>
                </c:pt>
                <c:pt idx="356">
                  <c:v>0.96599327212668795</c:v>
                </c:pt>
                <c:pt idx="357">
                  <c:v>0.96333647137717138</c:v>
                </c:pt>
                <c:pt idx="358">
                  <c:v>0.95840952996157569</c:v>
                </c:pt>
                <c:pt idx="359">
                  <c:v>0.97034960774551982</c:v>
                </c:pt>
                <c:pt idx="360">
                  <c:v>0.98417146319297177</c:v>
                </c:pt>
                <c:pt idx="361">
                  <c:v>1.0159569274228892</c:v>
                </c:pt>
                <c:pt idx="362">
                  <c:v>1.0345837153777018</c:v>
                </c:pt>
                <c:pt idx="363">
                  <c:v>1.0527004251631884</c:v>
                </c:pt>
                <c:pt idx="364">
                  <c:v>1.0325981814664345</c:v>
                </c:pt>
                <c:pt idx="365">
                  <c:v>1.0179572877131366</c:v>
                </c:pt>
                <c:pt idx="366">
                  <c:v>0.98842440914210483</c:v>
                </c:pt>
                <c:pt idx="367">
                  <c:v>0.95896229867261817</c:v>
                </c:pt>
                <c:pt idx="368">
                  <c:v>0.94476568815530704</c:v>
                </c:pt>
                <c:pt idx="369">
                  <c:v>0.95278184562997115</c:v>
                </c:pt>
                <c:pt idx="370">
                  <c:v>0.96282485875706214</c:v>
                </c:pt>
                <c:pt idx="371">
                  <c:v>0.96856721018461844</c:v>
                </c:pt>
                <c:pt idx="372">
                  <c:v>0.96971471055673286</c:v>
                </c:pt>
                <c:pt idx="373">
                  <c:v>0.95935517012374483</c:v>
                </c:pt>
                <c:pt idx="374">
                  <c:v>0.92660664940719428</c:v>
                </c:pt>
                <c:pt idx="375">
                  <c:v>0.88581678844456135</c:v>
                </c:pt>
                <c:pt idx="376">
                  <c:v>0.83328076752093627</c:v>
                </c:pt>
                <c:pt idx="377">
                  <c:v>0.7845905470855653</c:v>
                </c:pt>
                <c:pt idx="378">
                  <c:v>0.74375335699861067</c:v>
                </c:pt>
                <c:pt idx="379">
                  <c:v>0.72567759775484941</c:v>
                </c:pt>
                <c:pt idx="380">
                  <c:v>0.73362559952038364</c:v>
                </c:pt>
                <c:pt idx="381">
                  <c:v>0.76160287144056638</c:v>
                </c:pt>
                <c:pt idx="382">
                  <c:v>0.80175570987515687</c:v>
                </c:pt>
                <c:pt idx="383">
                  <c:v>0.84280445455096453</c:v>
                </c:pt>
                <c:pt idx="384">
                  <c:v>0.87947534372793734</c:v>
                </c:pt>
                <c:pt idx="385">
                  <c:v>0.91188727551344584</c:v>
                </c:pt>
                <c:pt idx="386">
                  <c:v>0.94217613885975049</c:v>
                </c:pt>
                <c:pt idx="387">
                  <c:v>0.96037595091071615</c:v>
                </c:pt>
                <c:pt idx="388">
                  <c:v>0.96527329941721596</c:v>
                </c:pt>
                <c:pt idx="389">
                  <c:v>0.96572839196710936</c:v>
                </c:pt>
                <c:pt idx="390">
                  <c:v>0.97229885914547765</c:v>
                </c:pt>
                <c:pt idx="391">
                  <c:v>0.98001951170068546</c:v>
                </c:pt>
                <c:pt idx="392">
                  <c:v>0.98661666726260711</c:v>
                </c:pt>
                <c:pt idx="393">
                  <c:v>0.98937435176546895</c:v>
                </c:pt>
                <c:pt idx="394">
                  <c:v>0.97222346255629877</c:v>
                </c:pt>
                <c:pt idx="395">
                  <c:v>0.95680148768014872</c:v>
                </c:pt>
                <c:pt idx="396">
                  <c:v>0.94831021602588506</c:v>
                </c:pt>
                <c:pt idx="397">
                  <c:v>0.96591217318348999</c:v>
                </c:pt>
                <c:pt idx="398">
                  <c:v>0.98966364508778026</c:v>
                </c:pt>
                <c:pt idx="399">
                  <c:v>1.0021091956028356</c:v>
                </c:pt>
                <c:pt idx="400">
                  <c:v>0.99959186702285541</c:v>
                </c:pt>
                <c:pt idx="401">
                  <c:v>0.9869170080378924</c:v>
                </c:pt>
                <c:pt idx="402">
                  <c:v>0.96176372031231927</c:v>
                </c:pt>
                <c:pt idx="403">
                  <c:v>0.93759887840854939</c:v>
                </c:pt>
                <c:pt idx="404">
                  <c:v>0.93130806788016685</c:v>
                </c:pt>
                <c:pt idx="405">
                  <c:v>0.93527789602265365</c:v>
                </c:pt>
                <c:pt idx="406">
                  <c:v>0.94505418068912028</c:v>
                </c:pt>
                <c:pt idx="407">
                  <c:v>0.96691569941813471</c:v>
                </c:pt>
                <c:pt idx="408">
                  <c:v>0.99456181024591617</c:v>
                </c:pt>
                <c:pt idx="409">
                  <c:v>1.0029713015571806</c:v>
                </c:pt>
                <c:pt idx="410">
                  <c:v>0.99512519388433418</c:v>
                </c:pt>
                <c:pt idx="411">
                  <c:v>0.99168044154419388</c:v>
                </c:pt>
                <c:pt idx="412">
                  <c:v>0.99145030461887218</c:v>
                </c:pt>
                <c:pt idx="413">
                  <c:v>0.99299207597855355</c:v>
                </c:pt>
                <c:pt idx="414">
                  <c:v>0.99877319067742887</c:v>
                </c:pt>
                <c:pt idx="415">
                  <c:v>1.0041084028814091</c:v>
                </c:pt>
                <c:pt idx="416">
                  <c:v>1.0234725807021885</c:v>
                </c:pt>
                <c:pt idx="417">
                  <c:v>1.0603074236245122</c:v>
                </c:pt>
                <c:pt idx="418">
                  <c:v>1.0926217033314789</c:v>
                </c:pt>
                <c:pt idx="419">
                  <c:v>1.1104907389221266</c:v>
                </c:pt>
                <c:pt idx="420">
                  <c:v>1.1155514705882352</c:v>
                </c:pt>
                <c:pt idx="421">
                  <c:v>1.0952528996419959</c:v>
                </c:pt>
                <c:pt idx="422">
                  <c:v>1.0481591188925035</c:v>
                </c:pt>
                <c:pt idx="423">
                  <c:v>0.98337410072470743</c:v>
                </c:pt>
                <c:pt idx="424">
                  <c:v>0.89985642814360711</c:v>
                </c:pt>
                <c:pt idx="425">
                  <c:v>0.81046974449274567</c:v>
                </c:pt>
                <c:pt idx="426">
                  <c:v>0.74433616610588138</c:v>
                </c:pt>
                <c:pt idx="427">
                  <c:v>0.71923855936769465</c:v>
                </c:pt>
                <c:pt idx="428">
                  <c:v>0.73757854999062089</c:v>
                </c:pt>
                <c:pt idx="429">
                  <c:v>0.76806226237238329</c:v>
                </c:pt>
                <c:pt idx="430">
                  <c:v>0.81202869902628305</c:v>
                </c:pt>
                <c:pt idx="431">
                  <c:v>0.86788746844993592</c:v>
                </c:pt>
                <c:pt idx="432">
                  <c:v>0.92468779625706632</c:v>
                </c:pt>
                <c:pt idx="433">
                  <c:v>0.96780491228993792</c:v>
                </c:pt>
                <c:pt idx="434">
                  <c:v>0.99224969375911776</c:v>
                </c:pt>
                <c:pt idx="435">
                  <c:v>0.99585395700535151</c:v>
                </c:pt>
                <c:pt idx="436">
                  <c:v>0.98835646849878478</c:v>
                </c:pt>
                <c:pt idx="437">
                  <c:v>0.97356689595163481</c:v>
                </c:pt>
                <c:pt idx="438">
                  <c:v>0.94711618444978241</c:v>
                </c:pt>
                <c:pt idx="439">
                  <c:v>0.90464239164604365</c:v>
                </c:pt>
                <c:pt idx="440">
                  <c:v>0.86114756488772237</c:v>
                </c:pt>
                <c:pt idx="441">
                  <c:v>0.81193214488991439</c:v>
                </c:pt>
                <c:pt idx="442">
                  <c:v>0.78457597929943268</c:v>
                </c:pt>
                <c:pt idx="443">
                  <c:v>0.78181946607770791</c:v>
                </c:pt>
                <c:pt idx="444">
                  <c:v>0.81877300149072951</c:v>
                </c:pt>
                <c:pt idx="445">
                  <c:v>0.85791723510686679</c:v>
                </c:pt>
                <c:pt idx="446">
                  <c:v>0.89895877881250164</c:v>
                </c:pt>
                <c:pt idx="447">
                  <c:v>0.92426521533351125</c:v>
                </c:pt>
                <c:pt idx="448">
                  <c:v>0.93952395902373231</c:v>
                </c:pt>
                <c:pt idx="449">
                  <c:v>0.9637436535593461</c:v>
                </c:pt>
                <c:pt idx="450">
                  <c:v>0.98453271367366202</c:v>
                </c:pt>
                <c:pt idx="451">
                  <c:v>0.97402149619747991</c:v>
                </c:pt>
                <c:pt idx="452">
                  <c:v>0.9410626799479892</c:v>
                </c:pt>
                <c:pt idx="453">
                  <c:v>0.90555598671512738</c:v>
                </c:pt>
                <c:pt idx="454">
                  <c:v>0.88972654584685518</c:v>
                </c:pt>
                <c:pt idx="455">
                  <c:v>0.90442282256164952</c:v>
                </c:pt>
                <c:pt idx="456">
                  <c:v>0.94135060102702006</c:v>
                </c:pt>
                <c:pt idx="457">
                  <c:v>0.97890328360241052</c:v>
                </c:pt>
                <c:pt idx="458">
                  <c:v>1.0088275578489543</c:v>
                </c:pt>
                <c:pt idx="459">
                  <c:v>1.0247279248038359</c:v>
                </c:pt>
                <c:pt idx="460">
                  <c:v>1.0303819444444444</c:v>
                </c:pt>
                <c:pt idx="461">
                  <c:v>1.0315499317024353</c:v>
                </c:pt>
                <c:pt idx="462">
                  <c:v>1.0240083386582393</c:v>
                </c:pt>
                <c:pt idx="463">
                  <c:v>1.0199421800338306</c:v>
                </c:pt>
                <c:pt idx="464">
                  <c:v>1.009488148482012</c:v>
                </c:pt>
                <c:pt idx="465">
                  <c:v>1.017744002599325</c:v>
                </c:pt>
                <c:pt idx="466">
                  <c:v>1.0361721968640563</c:v>
                </c:pt>
                <c:pt idx="467">
                  <c:v>1.061875582164675</c:v>
                </c:pt>
                <c:pt idx="468">
                  <c:v>1.091708883401034</c:v>
                </c:pt>
                <c:pt idx="469">
                  <c:v>1.0989553705518174</c:v>
                </c:pt>
                <c:pt idx="470">
                  <c:v>1.0920000000000001</c:v>
                </c:pt>
                <c:pt idx="471">
                  <c:v>1.0776664824686473</c:v>
                </c:pt>
                <c:pt idx="472">
                  <c:v>1.0726714372961823</c:v>
                </c:pt>
                <c:pt idx="473">
                  <c:v>1.0731531017839568</c:v>
                </c:pt>
                <c:pt idx="474">
                  <c:v>1.0788897173339167</c:v>
                </c:pt>
                <c:pt idx="475">
                  <c:v>1.0735444882102196</c:v>
                </c:pt>
                <c:pt idx="476">
                  <c:v>1.0587472958667035</c:v>
                </c:pt>
                <c:pt idx="477">
                  <c:v>1.0374197221900698</c:v>
                </c:pt>
                <c:pt idx="478">
                  <c:v>1.028757341336576</c:v>
                </c:pt>
                <c:pt idx="479">
                  <c:v>1.0144627668707733</c:v>
                </c:pt>
                <c:pt idx="480">
                  <c:v>0.99041223786268318</c:v>
                </c:pt>
                <c:pt idx="481">
                  <c:v>0.96681046953827288</c:v>
                </c:pt>
                <c:pt idx="482">
                  <c:v>0.96149153554439792</c:v>
                </c:pt>
                <c:pt idx="483">
                  <c:v>0.97267889722642131</c:v>
                </c:pt>
                <c:pt idx="484">
                  <c:v>0.9921078903883227</c:v>
                </c:pt>
                <c:pt idx="485">
                  <c:v>1.019806061909627</c:v>
                </c:pt>
                <c:pt idx="486">
                  <c:v>1.0179939852814275</c:v>
                </c:pt>
                <c:pt idx="487">
                  <c:v>1.0018549685429146</c:v>
                </c:pt>
                <c:pt idx="488">
                  <c:v>0.99092091541467553</c:v>
                </c:pt>
                <c:pt idx="489">
                  <c:v>0.98414837334486582</c:v>
                </c:pt>
                <c:pt idx="490">
                  <c:v>0.98965714694724782</c:v>
                </c:pt>
                <c:pt idx="491">
                  <c:v>0.9969167670202117</c:v>
                </c:pt>
                <c:pt idx="492">
                  <c:v>1.0022775132759567</c:v>
                </c:pt>
                <c:pt idx="493">
                  <c:v>0.9808211968642897</c:v>
                </c:pt>
                <c:pt idx="494">
                  <c:v>0.93278834304079428</c:v>
                </c:pt>
                <c:pt idx="495">
                  <c:v>0.85456007146047341</c:v>
                </c:pt>
                <c:pt idx="496">
                  <c:v>0.7878847626558767</c:v>
                </c:pt>
                <c:pt idx="497">
                  <c:v>0.76499477601121502</c:v>
                </c:pt>
                <c:pt idx="498">
                  <c:v>0.79570019904106182</c:v>
                </c:pt>
                <c:pt idx="499">
                  <c:v>0.86524798399039649</c:v>
                </c:pt>
                <c:pt idx="500">
                  <c:v>0.91570348173515981</c:v>
                </c:pt>
                <c:pt idx="501">
                  <c:v>0.94280544264460553</c:v>
                </c:pt>
                <c:pt idx="502">
                  <c:v>0.95156708563996817</c:v>
                </c:pt>
                <c:pt idx="503">
                  <c:v>0.96050284016591214</c:v>
                </c:pt>
                <c:pt idx="504">
                  <c:v>0.99056254204243577</c:v>
                </c:pt>
                <c:pt idx="505">
                  <c:v>1.0193941336752685</c:v>
                </c:pt>
                <c:pt idx="506">
                  <c:v>1.0458950408914944</c:v>
                </c:pt>
                <c:pt idx="507">
                  <c:v>1.0669350170970169</c:v>
                </c:pt>
                <c:pt idx="508">
                  <c:v>1.0805974993167533</c:v>
                </c:pt>
                <c:pt idx="509">
                  <c:v>1.0769282216240867</c:v>
                </c:pt>
                <c:pt idx="510">
                  <c:v>1.0706664769898286</c:v>
                </c:pt>
                <c:pt idx="511">
                  <c:v>1.0678587148435028</c:v>
                </c:pt>
                <c:pt idx="512">
                  <c:v>1.0662981540246357</c:v>
                </c:pt>
                <c:pt idx="513">
                  <c:v>1.0845317950951958</c:v>
                </c:pt>
                <c:pt idx="514">
                  <c:v>1.0894708872918035</c:v>
                </c:pt>
                <c:pt idx="515">
                  <c:v>1.1019371792823025</c:v>
                </c:pt>
                <c:pt idx="516">
                  <c:v>1.0889430723439062</c:v>
                </c:pt>
                <c:pt idx="517">
                  <c:v>1.0624712963100986</c:v>
                </c:pt>
                <c:pt idx="518">
                  <c:v>1.0436802261715192</c:v>
                </c:pt>
                <c:pt idx="519">
                  <c:v>1.0279873921590468</c:v>
                </c:pt>
                <c:pt idx="520">
                  <c:v>1.0332978723404256</c:v>
                </c:pt>
                <c:pt idx="521">
                  <c:v>1.0426836661115046</c:v>
                </c:pt>
                <c:pt idx="522">
                  <c:v>1.055219890047888</c:v>
                </c:pt>
                <c:pt idx="523">
                  <c:v>1.0622941898013805</c:v>
                </c:pt>
                <c:pt idx="524">
                  <c:v>1.0732269563837504</c:v>
                </c:pt>
                <c:pt idx="525">
                  <c:v>1.0899980523734485</c:v>
                </c:pt>
                <c:pt idx="526">
                  <c:v>1.1181961590638108</c:v>
                </c:pt>
                <c:pt idx="527">
                  <c:v>1.1309140818162577</c:v>
                </c:pt>
                <c:pt idx="528">
                  <c:v>1.1325166155274509</c:v>
                </c:pt>
                <c:pt idx="529">
                  <c:v>1.1111276183765482</c:v>
                </c:pt>
                <c:pt idx="530">
                  <c:v>1.0666595940306953</c:v>
                </c:pt>
                <c:pt idx="531">
                  <c:v>1.0148280501937736</c:v>
                </c:pt>
                <c:pt idx="532">
                  <c:v>0.96719626538183134</c:v>
                </c:pt>
                <c:pt idx="533">
                  <c:v>0.93969672749218924</c:v>
                </c:pt>
                <c:pt idx="534">
                  <c:v>0.93075899177902555</c:v>
                </c:pt>
                <c:pt idx="535">
                  <c:v>0.93418798891066734</c:v>
                </c:pt>
                <c:pt idx="536">
                  <c:v>0.93051977764973048</c:v>
                </c:pt>
                <c:pt idx="537">
                  <c:v>0.93740888704711789</c:v>
                </c:pt>
                <c:pt idx="538">
                  <c:v>0.95710563239126079</c:v>
                </c:pt>
                <c:pt idx="539">
                  <c:v>0.99245787054970969</c:v>
                </c:pt>
                <c:pt idx="540">
                  <c:v>1.0141788939051919</c:v>
                </c:pt>
                <c:pt idx="541">
                  <c:v>1.0140279091285431</c:v>
                </c:pt>
                <c:pt idx="542">
                  <c:v>1.007074587045482</c:v>
                </c:pt>
                <c:pt idx="543">
                  <c:v>1.0057300106931064</c:v>
                </c:pt>
                <c:pt idx="544">
                  <c:v>1.0172837104939734</c:v>
                </c:pt>
                <c:pt idx="545">
                  <c:v>1.0265433729634523</c:v>
                </c:pt>
                <c:pt idx="546">
                  <c:v>1.0316089606148802</c:v>
                </c:pt>
                <c:pt idx="547">
                  <c:v>1.0041047243412478</c:v>
                </c:pt>
                <c:pt idx="548">
                  <c:v>0.9808394160583942</c:v>
                </c:pt>
                <c:pt idx="549">
                  <c:v>0.94653632319063263</c:v>
                </c:pt>
                <c:pt idx="550">
                  <c:v>0.92474139750897189</c:v>
                </c:pt>
                <c:pt idx="551">
                  <c:v>0.90872700129938744</c:v>
                </c:pt>
                <c:pt idx="552">
                  <c:v>0.87538402673838911</c:v>
                </c:pt>
                <c:pt idx="553">
                  <c:v>0.82595521727910126</c:v>
                </c:pt>
                <c:pt idx="554">
                  <c:v>0.74811380975279163</c:v>
                </c:pt>
                <c:pt idx="555">
                  <c:v>0.70127040466693613</c:v>
                </c:pt>
                <c:pt idx="556">
                  <c:v>0.69878940681777291</c:v>
                </c:pt>
                <c:pt idx="557">
                  <c:v>0.73814607100730556</c:v>
                </c:pt>
                <c:pt idx="558">
                  <c:v>0.79076049547815785</c:v>
                </c:pt>
                <c:pt idx="559">
                  <c:v>0.85248079636031426</c:v>
                </c:pt>
                <c:pt idx="560">
                  <c:v>0.89613170457736591</c:v>
                </c:pt>
                <c:pt idx="561">
                  <c:v>0.92140976571520417</c:v>
                </c:pt>
                <c:pt idx="562">
                  <c:v>0.93541496495527132</c:v>
                </c:pt>
                <c:pt idx="563">
                  <c:v>0.9469246522435526</c:v>
                </c:pt>
                <c:pt idx="564">
                  <c:v>0.96751408466511046</c:v>
                </c:pt>
                <c:pt idx="565">
                  <c:v>0.97897929486842339</c:v>
                </c:pt>
                <c:pt idx="566">
                  <c:v>0.99201841989393413</c:v>
                </c:pt>
                <c:pt idx="567">
                  <c:v>0.99891980252223656</c:v>
                </c:pt>
                <c:pt idx="568">
                  <c:v>0.98928022785122394</c:v>
                </c:pt>
                <c:pt idx="569">
                  <c:v>0.96633335645554685</c:v>
                </c:pt>
                <c:pt idx="570">
                  <c:v>0.94112084063047285</c:v>
                </c:pt>
                <c:pt idx="571">
                  <c:v>0.92905233859948078</c:v>
                </c:pt>
                <c:pt idx="572">
                  <c:v>0.93775208389351983</c:v>
                </c:pt>
                <c:pt idx="573">
                  <c:v>0.94207398394417219</c:v>
                </c:pt>
                <c:pt idx="574">
                  <c:v>0.94356064742098322</c:v>
                </c:pt>
                <c:pt idx="575">
                  <c:v>0.95537010794450572</c:v>
                </c:pt>
                <c:pt idx="576">
                  <c:v>0.96378275811886405</c:v>
                </c:pt>
                <c:pt idx="577">
                  <c:v>0.96295969853471475</c:v>
                </c:pt>
                <c:pt idx="578">
                  <c:v>0.95944569866753948</c:v>
                </c:pt>
                <c:pt idx="579">
                  <c:v>0.94576045769617767</c:v>
                </c:pt>
                <c:pt idx="580">
                  <c:v>0.93777964205816555</c:v>
                </c:pt>
                <c:pt idx="581">
                  <c:v>0.92393192323365336</c:v>
                </c:pt>
                <c:pt idx="582">
                  <c:v>0.90289289118603233</c:v>
                </c:pt>
                <c:pt idx="583">
                  <c:v>0.85311176183299553</c:v>
                </c:pt>
                <c:pt idx="584">
                  <c:v>0.76248477126155423</c:v>
                </c:pt>
                <c:pt idx="585">
                  <c:v>0.66068341743639891</c:v>
                </c:pt>
                <c:pt idx="586">
                  <c:v>0.58259383091580985</c:v>
                </c:pt>
                <c:pt idx="587">
                  <c:v>0.55480269299055862</c:v>
                </c:pt>
                <c:pt idx="588">
                  <c:v>0.59588461624374556</c:v>
                </c:pt>
                <c:pt idx="589">
                  <c:v>0.68716722534771879</c:v>
                </c:pt>
                <c:pt idx="590">
                  <c:v>0.79321052264322101</c:v>
                </c:pt>
                <c:pt idx="591">
                  <c:v>0.87539130113251462</c:v>
                </c:pt>
                <c:pt idx="592">
                  <c:v>0.92556165667793888</c:v>
                </c:pt>
                <c:pt idx="593">
                  <c:v>0.94729581670875562</c:v>
                </c:pt>
                <c:pt idx="594">
                  <c:v>0.94789571891970292</c:v>
                </c:pt>
                <c:pt idx="595">
                  <c:v>0.93040522875816989</c:v>
                </c:pt>
                <c:pt idx="596">
                  <c:v>0.91166744735902927</c:v>
                </c:pt>
                <c:pt idx="597">
                  <c:v>0.91112720237568401</c:v>
                </c:pt>
                <c:pt idx="598">
                  <c:v>0.90672112916307812</c:v>
                </c:pt>
                <c:pt idx="599">
                  <c:v>0.88483090293090438</c:v>
                </c:pt>
                <c:pt idx="600">
                  <c:v>0.85814293675118414</c:v>
                </c:pt>
                <c:pt idx="601">
                  <c:v>0.84758806523572627</c:v>
                </c:pt>
                <c:pt idx="602">
                  <c:v>0.84525470796810198</c:v>
                </c:pt>
                <c:pt idx="603">
                  <c:v>0.86784825848997882</c:v>
                </c:pt>
                <c:pt idx="604">
                  <c:v>0.86885608794439984</c:v>
                </c:pt>
                <c:pt idx="605">
                  <c:v>0.84428668371874516</c:v>
                </c:pt>
                <c:pt idx="606">
                  <c:v>0.82153563942758678</c:v>
                </c:pt>
                <c:pt idx="607">
                  <c:v>0.84130525990602767</c:v>
                </c:pt>
                <c:pt idx="608">
                  <c:v>0.88482708340290073</c:v>
                </c:pt>
                <c:pt idx="609">
                  <c:v>0.92019845876583017</c:v>
                </c:pt>
                <c:pt idx="610">
                  <c:v>0.95632519646707004</c:v>
                </c:pt>
                <c:pt idx="611">
                  <c:v>0.8965878345255156</c:v>
                </c:pt>
                <c:pt idx="612">
                  <c:v>1.0083527075731957</c:v>
                </c:pt>
                <c:pt idx="613">
                  <c:v>1.0233908982024273</c:v>
                </c:pt>
                <c:pt idx="614">
                  <c:v>1.0323096769171316</c:v>
                </c:pt>
                <c:pt idx="615">
                  <c:v>1.0319150784412516</c:v>
                </c:pt>
                <c:pt idx="616">
                  <c:v>1.0344750914407053</c:v>
                </c:pt>
                <c:pt idx="617">
                  <c:v>1.0364452744250867</c:v>
                </c:pt>
                <c:pt idx="618">
                  <c:v>1.0389025810018924</c:v>
                </c:pt>
                <c:pt idx="619">
                  <c:v>1.0187533120942576</c:v>
                </c:pt>
                <c:pt idx="620">
                  <c:v>0.97513888888888889</c:v>
                </c:pt>
                <c:pt idx="621">
                  <c:v>0.91980344382963741</c:v>
                </c:pt>
                <c:pt idx="622">
                  <c:v>0.86917070027964538</c:v>
                </c:pt>
                <c:pt idx="623">
                  <c:v>0.84965128895016007</c:v>
                </c:pt>
                <c:pt idx="624">
                  <c:v>0.86518867505469244</c:v>
                </c:pt>
                <c:pt idx="625">
                  <c:v>0.8795433647356824</c:v>
                </c:pt>
                <c:pt idx="626">
                  <c:v>0.89916900505424791</c:v>
                </c:pt>
                <c:pt idx="627">
                  <c:v>0.89839324356107564</c:v>
                </c:pt>
                <c:pt idx="628">
                  <c:v>0.8851322478245427</c:v>
                </c:pt>
                <c:pt idx="629">
                  <c:v>0.87468501143426702</c:v>
                </c:pt>
                <c:pt idx="630">
                  <c:v>0.87318815451834386</c:v>
                </c:pt>
                <c:pt idx="631">
                  <c:v>0.88351609031127976</c:v>
                </c:pt>
                <c:pt idx="632">
                  <c:v>0.90389639564682001</c:v>
                </c:pt>
                <c:pt idx="633">
                  <c:v>0.92850195260639856</c:v>
                </c:pt>
                <c:pt idx="634">
                  <c:v>0.9507113525264036</c:v>
                </c:pt>
                <c:pt idx="635">
                  <c:v>0.96570844379754295</c:v>
                </c:pt>
                <c:pt idx="636">
                  <c:v>0.96088275082054464</c:v>
                </c:pt>
                <c:pt idx="637">
                  <c:v>0.94576924436166032</c:v>
                </c:pt>
                <c:pt idx="638">
                  <c:v>0.93433272638081699</c:v>
                </c:pt>
                <c:pt idx="639">
                  <c:v>0.91912439666657197</c:v>
                </c:pt>
                <c:pt idx="640">
                  <c:v>0.89876004433361045</c:v>
                </c:pt>
                <c:pt idx="641">
                  <c:v>0.85509423664198803</c:v>
                </c:pt>
                <c:pt idx="642">
                  <c:v>0.78591829441601868</c:v>
                </c:pt>
                <c:pt idx="643">
                  <c:v>0.71568503210714718</c:v>
                </c:pt>
                <c:pt idx="644">
                  <c:v>0.65512690552158115</c:v>
                </c:pt>
                <c:pt idx="645">
                  <c:v>0.62968411942881874</c:v>
                </c:pt>
                <c:pt idx="646">
                  <c:v>0.64284151734412165</c:v>
                </c:pt>
                <c:pt idx="647">
                  <c:v>0.69185302397570103</c:v>
                </c:pt>
                <c:pt idx="648">
                  <c:v>0.72465974906147224</c:v>
                </c:pt>
                <c:pt idx="649">
                  <c:v>0.76237457256572672</c:v>
                </c:pt>
                <c:pt idx="650">
                  <c:v>0.8375544944986506</c:v>
                </c:pt>
                <c:pt idx="651">
                  <c:v>0.90555956488857559</c:v>
                </c:pt>
                <c:pt idx="652">
                  <c:v>0.95321217454835283</c:v>
                </c:pt>
                <c:pt idx="653">
                  <c:v>0.95889965555433332</c:v>
                </c:pt>
                <c:pt idx="654">
                  <c:v>0.94725949127171005</c:v>
                </c:pt>
                <c:pt idx="655">
                  <c:v>0.93472359115353354</c:v>
                </c:pt>
                <c:pt idx="656">
                  <c:v>0.93384484723743755</c:v>
                </c:pt>
                <c:pt idx="657">
                  <c:v>0.93400487264795851</c:v>
                </c:pt>
                <c:pt idx="658">
                  <c:v>0.9272167041453343</c:v>
                </c:pt>
                <c:pt idx="659">
                  <c:v>0.91835669327978897</c:v>
                </c:pt>
                <c:pt idx="660">
                  <c:v>0.90946487831858402</c:v>
                </c:pt>
                <c:pt idx="661">
                  <c:v>0.90185472848956694</c:v>
                </c:pt>
                <c:pt idx="662">
                  <c:v>0.91650560334458697</c:v>
                </c:pt>
                <c:pt idx="663">
                  <c:v>0.9462582019988236</c:v>
                </c:pt>
                <c:pt idx="664">
                  <c:v>0.96553649824724375</c:v>
                </c:pt>
                <c:pt idx="665">
                  <c:v>0.96781215985072311</c:v>
                </c:pt>
                <c:pt idx="666">
                  <c:v>0.95661343778246455</c:v>
                </c:pt>
                <c:pt idx="667">
                  <c:v>0.92696817489882122</c:v>
                </c:pt>
                <c:pt idx="668">
                  <c:v>0.90627625585920235</c:v>
                </c:pt>
                <c:pt idx="669">
                  <c:v>0.8699743470874306</c:v>
                </c:pt>
                <c:pt idx="670">
                  <c:v>0.81198618307426595</c:v>
                </c:pt>
                <c:pt idx="671">
                  <c:v>0.72585709163932832</c:v>
                </c:pt>
                <c:pt idx="672">
                  <c:v>0.64029326598954484</c:v>
                </c:pt>
                <c:pt idx="673">
                  <c:v>0.60657926454854327</c:v>
                </c:pt>
                <c:pt idx="674">
                  <c:v>0.63637694732450945</c:v>
                </c:pt>
                <c:pt idx="675">
                  <c:v>0.71651789568190061</c:v>
                </c:pt>
                <c:pt idx="676">
                  <c:v>0.80542020242199241</c:v>
                </c:pt>
                <c:pt idx="677">
                  <c:v>0.88105453091562969</c:v>
                </c:pt>
                <c:pt idx="678">
                  <c:v>0.91728834250771274</c:v>
                </c:pt>
                <c:pt idx="679">
                  <c:v>0.93159725171043117</c:v>
                </c:pt>
                <c:pt idx="680">
                  <c:v>0.93292598729632703</c:v>
                </c:pt>
                <c:pt idx="681">
                  <c:v>0.94430088389269018</c:v>
                </c:pt>
                <c:pt idx="682">
                  <c:v>0.94925567254562482</c:v>
                </c:pt>
                <c:pt idx="683">
                  <c:v>0.94986231828533285</c:v>
                </c:pt>
                <c:pt idx="684">
                  <c:v>0.94491352270719198</c:v>
                </c:pt>
                <c:pt idx="685">
                  <c:v>0.93779227278217803</c:v>
                </c:pt>
                <c:pt idx="686">
                  <c:v>0.91921559532979391</c:v>
                </c:pt>
                <c:pt idx="687">
                  <c:v>0.89674245001935937</c:v>
                </c:pt>
                <c:pt idx="688">
                  <c:v>0.85639789754971785</c:v>
                </c:pt>
                <c:pt idx="689">
                  <c:v>0.7929048148462533</c:v>
                </c:pt>
                <c:pt idx="690">
                  <c:v>0.70202194465530332</c:v>
                </c:pt>
                <c:pt idx="691">
                  <c:v>0.59710494155575755</c:v>
                </c:pt>
                <c:pt idx="692">
                  <c:v>0.51652065668609792</c:v>
                </c:pt>
                <c:pt idx="693">
                  <c:v>0.49990650471857923</c:v>
                </c:pt>
                <c:pt idx="694">
                  <c:v>0.55522436667025454</c:v>
                </c:pt>
                <c:pt idx="695">
                  <c:v>0.66018111254851231</c:v>
                </c:pt>
                <c:pt idx="696">
                  <c:v>0.7774122685977326</c:v>
                </c:pt>
                <c:pt idx="697">
                  <c:v>0.86021038020077678</c:v>
                </c:pt>
                <c:pt idx="698">
                  <c:v>0.90492274662715</c:v>
                </c:pt>
                <c:pt idx="699">
                  <c:v>0.93597432046574169</c:v>
                </c:pt>
                <c:pt idx="700">
                  <c:v>0.95647075055187636</c:v>
                </c:pt>
                <c:pt idx="701">
                  <c:v>0.95879042989323549</c:v>
                </c:pt>
                <c:pt idx="702">
                  <c:v>0.96145621504391321</c:v>
                </c:pt>
                <c:pt idx="703">
                  <c:v>0.95843240480344005</c:v>
                </c:pt>
                <c:pt idx="704">
                  <c:v>0.94740864594024876</c:v>
                </c:pt>
                <c:pt idx="705">
                  <c:v>0.91838388715490338</c:v>
                </c:pt>
                <c:pt idx="706">
                  <c:v>0.89246546429724294</c:v>
                </c:pt>
                <c:pt idx="707">
                  <c:v>0.87334316896245157</c:v>
                </c:pt>
                <c:pt idx="708">
                  <c:v>0.88112198728701341</c:v>
                </c:pt>
                <c:pt idx="709">
                  <c:v>0.90869651881294922</c:v>
                </c:pt>
                <c:pt idx="710">
                  <c:v>0.92502931236637009</c:v>
                </c:pt>
                <c:pt idx="711">
                  <c:v>0.92222393112994583</c:v>
                </c:pt>
                <c:pt idx="712">
                  <c:v>0.87696974211275525</c:v>
                </c:pt>
                <c:pt idx="713">
                  <c:v>0.83578686452162865</c:v>
                </c:pt>
                <c:pt idx="714">
                  <c:v>0.81119255374616206</c:v>
                </c:pt>
                <c:pt idx="715">
                  <c:v>0.82515215779582407</c:v>
                </c:pt>
                <c:pt idx="716">
                  <c:v>0.87011304952330504</c:v>
                </c:pt>
                <c:pt idx="717">
                  <c:v>0.91207462667009653</c:v>
                </c:pt>
                <c:pt idx="718">
                  <c:v>0.94820951230210293</c:v>
                </c:pt>
                <c:pt idx="719">
                  <c:v>0.96427652708726008</c:v>
                </c:pt>
                <c:pt idx="720">
                  <c:v>0.97296551724137936</c:v>
                </c:pt>
                <c:pt idx="721">
                  <c:v>0.97586274197430478</c:v>
                </c:pt>
                <c:pt idx="722">
                  <c:v>0.98251995177917739</c:v>
                </c:pt>
                <c:pt idx="723">
                  <c:v>0.9953165226542785</c:v>
                </c:pt>
                <c:pt idx="724">
                  <c:v>1.0177353681144068</c:v>
                </c:pt>
                <c:pt idx="725">
                  <c:v>1.0437421334850601</c:v>
                </c:pt>
                <c:pt idx="726">
                  <c:v>1.0618194658626008</c:v>
                </c:pt>
                <c:pt idx="727">
                  <c:v>1.0539666512868366</c:v>
                </c:pt>
                <c:pt idx="728">
                  <c:v>1.024803853411461</c:v>
                </c:pt>
                <c:pt idx="729">
                  <c:v>0.97715803434536685</c:v>
                </c:pt>
                <c:pt idx="730">
                  <c:v>0.91761500793158146</c:v>
                </c:pt>
                <c:pt idx="731">
                  <c:v>0.89066053098224052</c:v>
                </c:pt>
                <c:pt idx="732">
                  <c:v>0.89243345546040442</c:v>
                </c:pt>
                <c:pt idx="733">
                  <c:v>0.90296731136249675</c:v>
                </c:pt>
                <c:pt idx="734">
                  <c:v>0.92695288466578929</c:v>
                </c:pt>
                <c:pt idx="735">
                  <c:v>0.95183735407218362</c:v>
                </c:pt>
                <c:pt idx="736">
                  <c:v>0.95854854374289522</c:v>
                </c:pt>
                <c:pt idx="737">
                  <c:v>0.9544316074031306</c:v>
                </c:pt>
                <c:pt idx="738">
                  <c:v>0.94455588697060588</c:v>
                </c:pt>
                <c:pt idx="739">
                  <c:v>0.94668396752570816</c:v>
                </c:pt>
                <c:pt idx="740">
                  <c:v>0.94826158940397354</c:v>
                </c:pt>
                <c:pt idx="741">
                  <c:v>0.94815043747788119</c:v>
                </c:pt>
                <c:pt idx="742">
                  <c:v>0.96207975627726772</c:v>
                </c:pt>
                <c:pt idx="743">
                  <c:v>0.98394517724052433</c:v>
                </c:pt>
                <c:pt idx="744">
                  <c:v>1.0063997836381902</c:v>
                </c:pt>
                <c:pt idx="745">
                  <c:v>1.032479517033204</c:v>
                </c:pt>
                <c:pt idx="746">
                  <c:v>1.061874363496361</c:v>
                </c:pt>
                <c:pt idx="747">
                  <c:v>1.0756787377930008</c:v>
                </c:pt>
                <c:pt idx="748">
                  <c:v>1.0975589560148384</c:v>
                </c:pt>
                <c:pt idx="749">
                  <c:v>1.106883371665911</c:v>
                </c:pt>
                <c:pt idx="750">
                  <c:v>1.1140708025671107</c:v>
                </c:pt>
                <c:pt idx="751">
                  <c:v>1.1255735697934977</c:v>
                </c:pt>
                <c:pt idx="752">
                  <c:v>1.1306605492430517</c:v>
                </c:pt>
                <c:pt idx="753">
                  <c:v>1.1256039880986479</c:v>
                </c:pt>
                <c:pt idx="754">
                  <c:v>1.0854860840780649</c:v>
                </c:pt>
                <c:pt idx="755">
                  <c:v>1.0278338596400407</c:v>
                </c:pt>
                <c:pt idx="756">
                  <c:v>0.93832142383813388</c:v>
                </c:pt>
                <c:pt idx="757">
                  <c:v>0.83078437504098701</c:v>
                </c:pt>
                <c:pt idx="758">
                  <c:v>0.69420857736946318</c:v>
                </c:pt>
                <c:pt idx="759">
                  <c:v>0.54688400729316744</c:v>
                </c:pt>
                <c:pt idx="760">
                  <c:v>0.41438829052747861</c:v>
                </c:pt>
                <c:pt idx="761">
                  <c:v>0.31187880570509674</c:v>
                </c:pt>
                <c:pt idx="762">
                  <c:v>0.23973993188955389</c:v>
                </c:pt>
                <c:pt idx="763">
                  <c:v>0.20208527978090682</c:v>
                </c:pt>
                <c:pt idx="764">
                  <c:v>0.18307201891629099</c:v>
                </c:pt>
                <c:pt idx="765">
                  <c:v>0.17935392530948394</c:v>
                </c:pt>
                <c:pt idx="766">
                  <c:v>0.18257678101284358</c:v>
                </c:pt>
                <c:pt idx="767">
                  <c:v>0.192189342246222</c:v>
                </c:pt>
                <c:pt idx="768">
                  <c:v>0.20888363302792853</c:v>
                </c:pt>
                <c:pt idx="769">
                  <c:v>0.22830908283302212</c:v>
                </c:pt>
                <c:pt idx="770">
                  <c:v>0.24822107081174438</c:v>
                </c:pt>
                <c:pt idx="771">
                  <c:v>0.2685506898926972</c:v>
                </c:pt>
                <c:pt idx="772">
                  <c:v>0.2954820575749536</c:v>
                </c:pt>
                <c:pt idx="773">
                  <c:v>0.32335054598874646</c:v>
                </c:pt>
                <c:pt idx="774">
                  <c:v>0.37527192616323585</c:v>
                </c:pt>
                <c:pt idx="775">
                  <c:v>0.44931667789699198</c:v>
                </c:pt>
                <c:pt idx="776">
                  <c:v>0.53477728383593759</c:v>
                </c:pt>
                <c:pt idx="777">
                  <c:v>0.62636901581543747</c:v>
                </c:pt>
                <c:pt idx="778">
                  <c:v>0.69958856270685921</c:v>
                </c:pt>
                <c:pt idx="779">
                  <c:v>0.76870749710166264</c:v>
                </c:pt>
                <c:pt idx="780">
                  <c:v>0.82166067477876104</c:v>
                </c:pt>
                <c:pt idx="781">
                  <c:v>0.86276575958027457</c:v>
                </c:pt>
                <c:pt idx="782">
                  <c:v>0.89765557795977757</c:v>
                </c:pt>
                <c:pt idx="783">
                  <c:v>0.92774636228407281</c:v>
                </c:pt>
                <c:pt idx="784">
                  <c:v>0.95773993294160598</c:v>
                </c:pt>
                <c:pt idx="785">
                  <c:v>0.97401047880894331</c:v>
                </c:pt>
                <c:pt idx="786">
                  <c:v>0.97624311379565087</c:v>
                </c:pt>
                <c:pt idx="787">
                  <c:v>0.98508416746742156</c:v>
                </c:pt>
                <c:pt idx="788">
                  <c:v>0.99399740967056327</c:v>
                </c:pt>
                <c:pt idx="789">
                  <c:v>1.0053354497076263</c:v>
                </c:pt>
                <c:pt idx="790">
                  <c:v>1.0297903259290015</c:v>
                </c:pt>
                <c:pt idx="791">
                  <c:v>1.0422787082540057</c:v>
                </c:pt>
                <c:pt idx="792">
                  <c:v>1.0341455244127973</c:v>
                </c:pt>
                <c:pt idx="793">
                  <c:v>0.99552077947158912</c:v>
                </c:pt>
                <c:pt idx="794">
                  <c:v>0.94231733083008662</c:v>
                </c:pt>
                <c:pt idx="795">
                  <c:v>0.8962700129813933</c:v>
                </c:pt>
                <c:pt idx="796">
                  <c:v>0.86877104936630334</c:v>
                </c:pt>
                <c:pt idx="797">
                  <c:v>0.84476455797533501</c:v>
                </c:pt>
                <c:pt idx="798">
                  <c:v>0.83204286121907367</c:v>
                </c:pt>
                <c:pt idx="799">
                  <c:v>0.84532806375579306</c:v>
                </c:pt>
                <c:pt idx="800">
                  <c:v>0.88542532557495146</c:v>
                </c:pt>
                <c:pt idx="801">
                  <c:v>0.93970025751001607</c:v>
                </c:pt>
                <c:pt idx="802">
                  <c:v>0.98785679246381153</c:v>
                </c:pt>
                <c:pt idx="803">
                  <c:v>1.0227210519495729</c:v>
                </c:pt>
                <c:pt idx="804">
                  <c:v>1.0332694823915549</c:v>
                </c:pt>
                <c:pt idx="805">
                  <c:v>1.0230631941917485</c:v>
                </c:pt>
                <c:pt idx="806">
                  <c:v>1.0017648640929873</c:v>
                </c:pt>
                <c:pt idx="807">
                  <c:v>0.96638938015059306</c:v>
                </c:pt>
                <c:pt idx="808">
                  <c:v>0.93128404388679964</c:v>
                </c:pt>
                <c:pt idx="809">
                  <c:v>0.92612818021758858</c:v>
                </c:pt>
                <c:pt idx="810">
                  <c:v>0.93733962133296345</c:v>
                </c:pt>
                <c:pt idx="811">
                  <c:v>0.97321322671061417</c:v>
                </c:pt>
                <c:pt idx="812">
                  <c:v>0.99692272686911731</c:v>
                </c:pt>
                <c:pt idx="813">
                  <c:v>0.99635689016762741</c:v>
                </c:pt>
                <c:pt idx="814">
                  <c:v>1.0004760041188929</c:v>
                </c:pt>
                <c:pt idx="815">
                  <c:v>0.99755373965544158</c:v>
                </c:pt>
                <c:pt idx="816">
                  <c:v>0.9939033193039345</c:v>
                </c:pt>
                <c:pt idx="817">
                  <c:v>1.0020193101303563</c:v>
                </c:pt>
                <c:pt idx="818">
                  <c:v>1.0280159067367585</c:v>
                </c:pt>
                <c:pt idx="819">
                  <c:v>1.0381898612622285</c:v>
                </c:pt>
                <c:pt idx="820">
                  <c:v>1.0428124999999999</c:v>
                </c:pt>
                <c:pt idx="821">
                  <c:v>1.0400757327932579</c:v>
                </c:pt>
                <c:pt idx="822">
                  <c:v>1.0382079416725249</c:v>
                </c:pt>
                <c:pt idx="823">
                  <c:v>1.0395715965988395</c:v>
                </c:pt>
                <c:pt idx="824">
                  <c:v>1.0478854684321115</c:v>
                </c:pt>
                <c:pt idx="825">
                  <c:v>1.060407581785646</c:v>
                </c:pt>
                <c:pt idx="826">
                  <c:v>1.0608411108423619</c:v>
                </c:pt>
                <c:pt idx="827">
                  <c:v>1.050571025983785</c:v>
                </c:pt>
                <c:pt idx="828">
                  <c:v>1.022083852451722</c:v>
                </c:pt>
                <c:pt idx="829">
                  <c:v>0.98399367507139535</c:v>
                </c:pt>
                <c:pt idx="830">
                  <c:v>0.93810417970651649</c:v>
                </c:pt>
                <c:pt idx="831">
                  <c:v>0.90774783522608304</c:v>
                </c:pt>
                <c:pt idx="832">
                  <c:v>0.86868745895526545</c:v>
                </c:pt>
                <c:pt idx="833">
                  <c:v>0.8223104010420037</c:v>
                </c:pt>
                <c:pt idx="834">
                  <c:v>0.77783360380346889</c:v>
                </c:pt>
                <c:pt idx="835">
                  <c:v>0.74754223869429803</c:v>
                </c:pt>
                <c:pt idx="836">
                  <c:v>0.75023807137129106</c:v>
                </c:pt>
                <c:pt idx="837">
                  <c:v>0.77556323108296177</c:v>
                </c:pt>
                <c:pt idx="838">
                  <c:v>0.83216347881309904</c:v>
                </c:pt>
                <c:pt idx="839">
                  <c:v>0.89261400477351571</c:v>
                </c:pt>
                <c:pt idx="840">
                  <c:v>0.94375174143215379</c:v>
                </c:pt>
                <c:pt idx="841">
                  <c:v>0.9621634726921976</c:v>
                </c:pt>
                <c:pt idx="842">
                  <c:v>0.95831974558154187</c:v>
                </c:pt>
                <c:pt idx="843">
                  <c:v>0.95294280809912535</c:v>
                </c:pt>
                <c:pt idx="844">
                  <c:v>0.94937767665952888</c:v>
                </c:pt>
                <c:pt idx="845">
                  <c:v>0.95505010893246189</c:v>
                </c:pt>
                <c:pt idx="846">
                  <c:v>0.97407894993738342</c:v>
                </c:pt>
                <c:pt idx="847">
                  <c:v>0.99611471324826295</c:v>
                </c:pt>
                <c:pt idx="848">
                  <c:v>1.0065108090311492</c:v>
                </c:pt>
                <c:pt idx="849">
                  <c:v>0.99950535769475757</c:v>
                </c:pt>
                <c:pt idx="850">
                  <c:v>0.98210173749214991</c:v>
                </c:pt>
                <c:pt idx="851">
                  <c:v>0.96469317208702443</c:v>
                </c:pt>
                <c:pt idx="852">
                  <c:v>0.95118862803788418</c:v>
                </c:pt>
                <c:pt idx="853">
                  <c:v>0.94141565623666923</c:v>
                </c:pt>
                <c:pt idx="854">
                  <c:v>0.93094206602590424</c:v>
                </c:pt>
                <c:pt idx="855">
                  <c:v>0.91204972848387489</c:v>
                </c:pt>
                <c:pt idx="856">
                  <c:v>0.90321088868770183</c:v>
                </c:pt>
                <c:pt idx="857">
                  <c:v>0.90278927720263191</c:v>
                </c:pt>
                <c:pt idx="858">
                  <c:v>0.89202603015047288</c:v>
                </c:pt>
                <c:pt idx="859">
                  <c:v>0.89310739865476452</c:v>
                </c:pt>
                <c:pt idx="860">
                  <c:v>0.93403942953020136</c:v>
                </c:pt>
                <c:pt idx="861">
                  <c:v>0.99453262280971022</c:v>
                </c:pt>
                <c:pt idx="862">
                  <c:v>1.0472879407148792</c:v>
                </c:pt>
                <c:pt idx="863">
                  <c:v>1.0661739245399429</c:v>
                </c:pt>
                <c:pt idx="864">
                  <c:v>1.0738394026575917</c:v>
                </c:pt>
                <c:pt idx="865">
                  <c:v>1.0668836053814796</c:v>
                </c:pt>
                <c:pt idx="866">
                  <c:v>1.0562867646029492</c:v>
                </c:pt>
                <c:pt idx="867">
                  <c:v>1.0261546033264002</c:v>
                </c:pt>
                <c:pt idx="868">
                  <c:v>0.97710518060410512</c:v>
                </c:pt>
                <c:pt idx="869">
                  <c:v>0.91718091972329441</c:v>
                </c:pt>
                <c:pt idx="870">
                  <c:v>0.82549912434325745</c:v>
                </c:pt>
                <c:pt idx="871">
                  <c:v>0.69594359300980457</c:v>
                </c:pt>
                <c:pt idx="872">
                  <c:v>0.58122666262993239</c:v>
                </c:pt>
                <c:pt idx="873">
                  <c:v>0.49663848993860188</c:v>
                </c:pt>
                <c:pt idx="874">
                  <c:v>0.47806047042524491</c:v>
                </c:pt>
                <c:pt idx="875">
                  <c:v>0.52444818457546594</c:v>
                </c:pt>
                <c:pt idx="876">
                  <c:v>0.61718609714490935</c:v>
                </c:pt>
                <c:pt idx="877">
                  <c:v>0.73715176121530768</c:v>
                </c:pt>
                <c:pt idx="878">
                  <c:v>0.86408343368167539</c:v>
                </c:pt>
                <c:pt idx="879">
                  <c:v>0.96415503688797577</c:v>
                </c:pt>
                <c:pt idx="880">
                  <c:v>1.0242207245155854</c:v>
                </c:pt>
                <c:pt idx="881">
                  <c:v>1.044148533894538</c:v>
                </c:pt>
                <c:pt idx="882">
                  <c:v>1.0332528888376942</c:v>
                </c:pt>
                <c:pt idx="883">
                  <c:v>1.0037367459328903</c:v>
                </c:pt>
                <c:pt idx="884">
                  <c:v>0.96665458041014563</c:v>
                </c:pt>
                <c:pt idx="885">
                  <c:v>0.91289908804976194</c:v>
                </c:pt>
                <c:pt idx="886">
                  <c:v>0.82889027617255928</c:v>
                </c:pt>
                <c:pt idx="887">
                  <c:v>0.7033557858704419</c:v>
                </c:pt>
                <c:pt idx="888">
                  <c:v>0.573402561303609</c:v>
                </c:pt>
                <c:pt idx="889">
                  <c:v>0.48894113641176301</c:v>
                </c:pt>
                <c:pt idx="890">
                  <c:v>0.50580536204348747</c:v>
                </c:pt>
                <c:pt idx="891">
                  <c:v>0.59584348928987951</c:v>
                </c:pt>
                <c:pt idx="892">
                  <c:v>0.70859522844011891</c:v>
                </c:pt>
                <c:pt idx="893">
                  <c:v>0.79738970797938979</c:v>
                </c:pt>
                <c:pt idx="894">
                  <c:v>0.8335422941360433</c:v>
                </c:pt>
                <c:pt idx="895">
                  <c:v>0.80908850726552184</c:v>
                </c:pt>
                <c:pt idx="896">
                  <c:v>0.73976902434349245</c:v>
                </c:pt>
                <c:pt idx="897">
                  <c:v>0.66445990648994735</c:v>
                </c:pt>
                <c:pt idx="898">
                  <c:v>0.63462585206681732</c:v>
                </c:pt>
                <c:pt idx="899">
                  <c:v>0.65506125353412903</c:v>
                </c:pt>
                <c:pt idx="900">
                  <c:v>0.71857364559819414</c:v>
                </c:pt>
                <c:pt idx="901">
                  <c:v>0.8031461172039438</c:v>
                </c:pt>
                <c:pt idx="902">
                  <c:v>0.89616169657754097</c:v>
                </c:pt>
                <c:pt idx="903">
                  <c:v>0.96649443597684725</c:v>
                </c:pt>
                <c:pt idx="904">
                  <c:v>1.0132444158221197</c:v>
                </c:pt>
                <c:pt idx="905">
                  <c:v>1.026151754339496</c:v>
                </c:pt>
                <c:pt idx="906">
                  <c:v>1.0189670228429479</c:v>
                </c:pt>
                <c:pt idx="907">
                  <c:v>0.99927139405426457</c:v>
                </c:pt>
                <c:pt idx="908">
                  <c:v>0.98426755338400296</c:v>
                </c:pt>
                <c:pt idx="909">
                  <c:v>0.96809045457084486</c:v>
                </c:pt>
                <c:pt idx="910">
                  <c:v>0.94172147959544528</c:v>
                </c:pt>
                <c:pt idx="911">
                  <c:v>0.90904331671523342</c:v>
                </c:pt>
                <c:pt idx="912">
                  <c:v>0.8655217898348071</c:v>
                </c:pt>
                <c:pt idx="913">
                  <c:v>0.83666548457583823</c:v>
                </c:pt>
                <c:pt idx="914">
                  <c:v>0.82347751712731287</c:v>
                </c:pt>
                <c:pt idx="915">
                  <c:v>0.83524849944227053</c:v>
                </c:pt>
                <c:pt idx="916">
                  <c:v>0.87610797515415306</c:v>
                </c:pt>
                <c:pt idx="917">
                  <c:v>0.91585759829817515</c:v>
                </c:pt>
                <c:pt idx="918">
                  <c:v>0.94857796591427823</c:v>
                </c:pt>
                <c:pt idx="919">
                  <c:v>0.98454409000573595</c:v>
                </c:pt>
                <c:pt idx="920">
                  <c:v>1.0140425531914894</c:v>
                </c:pt>
                <c:pt idx="921">
                  <c:v>1.0394800223325924</c:v>
                </c:pt>
                <c:pt idx="922">
                  <c:v>1.0593984087380321</c:v>
                </c:pt>
                <c:pt idx="923">
                  <c:v>1.0570765997227409</c:v>
                </c:pt>
                <c:pt idx="924">
                  <c:v>1.0381401663182768</c:v>
                </c:pt>
                <c:pt idx="925">
                  <c:v>1.0102452103197854</c:v>
                </c:pt>
                <c:pt idx="926">
                  <c:v>0.9849640939950155</c:v>
                </c:pt>
                <c:pt idx="927">
                  <c:v>0.96741572155369249</c:v>
                </c:pt>
                <c:pt idx="928">
                  <c:v>0.95714476632431378</c:v>
                </c:pt>
                <c:pt idx="929">
                  <c:v>0.95454871903174165</c:v>
                </c:pt>
                <c:pt idx="930">
                  <c:v>0.95689593854470445</c:v>
                </c:pt>
                <c:pt idx="931">
                  <c:v>0.97763822867506378</c:v>
                </c:pt>
                <c:pt idx="932">
                  <c:v>0.9920956887127631</c:v>
                </c:pt>
                <c:pt idx="933">
                  <c:v>0.99962196477224274</c:v>
                </c:pt>
                <c:pt idx="934">
                  <c:v>0.99825239067827742</c:v>
                </c:pt>
                <c:pt idx="935">
                  <c:v>0.99214617727199872</c:v>
                </c:pt>
                <c:pt idx="936">
                  <c:v>0.971465300026223</c:v>
                </c:pt>
                <c:pt idx="937">
                  <c:v>0.95095127203365004</c:v>
                </c:pt>
                <c:pt idx="938">
                  <c:v>0.91334896283430156</c:v>
                </c:pt>
                <c:pt idx="939">
                  <c:v>0.87158773757363384</c:v>
                </c:pt>
                <c:pt idx="940">
                  <c:v>0.84535530821917804</c:v>
                </c:pt>
                <c:pt idx="941">
                  <c:v>0.84426535461000496</c:v>
                </c:pt>
                <c:pt idx="942">
                  <c:v>0.86548593719212175</c:v>
                </c:pt>
                <c:pt idx="943">
                  <c:v>0.88529291829938639</c:v>
                </c:pt>
                <c:pt idx="944">
                  <c:v>0.91268616626090138</c:v>
                </c:pt>
                <c:pt idx="945">
                  <c:v>0.92941491737382764</c:v>
                </c:pt>
                <c:pt idx="946">
                  <c:v>0.94762117170053561</c:v>
                </c:pt>
                <c:pt idx="947">
                  <c:v>0.96516123680791388</c:v>
                </c:pt>
                <c:pt idx="948">
                  <c:v>0.97395165720564003</c:v>
                </c:pt>
                <c:pt idx="949">
                  <c:v>0.98392983766696074</c:v>
                </c:pt>
                <c:pt idx="950">
                  <c:v>0.98385942309068786</c:v>
                </c:pt>
                <c:pt idx="951">
                  <c:v>0.97179729335927179</c:v>
                </c:pt>
                <c:pt idx="952">
                  <c:v>0.94841194806385443</c:v>
                </c:pt>
                <c:pt idx="953">
                  <c:v>0.92658867057721828</c:v>
                </c:pt>
                <c:pt idx="954">
                  <c:v>0.91955242237200085</c:v>
                </c:pt>
                <c:pt idx="955">
                  <c:v>0.93445179329999462</c:v>
                </c:pt>
                <c:pt idx="956">
                  <c:v>0.95043835490682083</c:v>
                </c:pt>
                <c:pt idx="957">
                  <c:v>0.9518370591556653</c:v>
                </c:pt>
                <c:pt idx="958">
                  <c:v>0.93569051986714091</c:v>
                </c:pt>
                <c:pt idx="959">
                  <c:v>0.89067320276922823</c:v>
                </c:pt>
                <c:pt idx="960">
                  <c:v>0.82013070956621659</c:v>
                </c:pt>
                <c:pt idx="961">
                  <c:v>0.74357775129156223</c:v>
                </c:pt>
                <c:pt idx="962">
                  <c:v>0.67635162522746284</c:v>
                </c:pt>
                <c:pt idx="963">
                  <c:v>0.62327860578841376</c:v>
                </c:pt>
                <c:pt idx="964">
                  <c:v>0.59433397772254448</c:v>
                </c:pt>
                <c:pt idx="965">
                  <c:v>0.60853612475044516</c:v>
                </c:pt>
                <c:pt idx="966">
                  <c:v>0.66315984926778571</c:v>
                </c:pt>
                <c:pt idx="967">
                  <c:v>0.7434893386638215</c:v>
                </c:pt>
                <c:pt idx="968">
                  <c:v>0.81998795819361381</c:v>
                </c:pt>
                <c:pt idx="969">
                  <c:v>0.8788190769589892</c:v>
                </c:pt>
                <c:pt idx="970">
                  <c:v>0.92172972972972977</c:v>
                </c:pt>
                <c:pt idx="971">
                  <c:v>0.94751330029798153</c:v>
                </c:pt>
                <c:pt idx="972">
                  <c:v>0.97046799990768096</c:v>
                </c:pt>
                <c:pt idx="973">
                  <c:v>0.97385192255938169</c:v>
                </c:pt>
                <c:pt idx="974">
                  <c:v>0.98427697468898956</c:v>
                </c:pt>
                <c:pt idx="975">
                  <c:v>0.98709362984891424</c:v>
                </c:pt>
                <c:pt idx="976">
                  <c:v>0.99861751551502964</c:v>
                </c:pt>
                <c:pt idx="977">
                  <c:v>1.0019140851085044</c:v>
                </c:pt>
                <c:pt idx="978">
                  <c:v>0.99816688303615053</c:v>
                </c:pt>
                <c:pt idx="979">
                  <c:v>0.9822339558571398</c:v>
                </c:pt>
                <c:pt idx="980">
                  <c:v>0.96404803240740744</c:v>
                </c:pt>
                <c:pt idx="981">
                  <c:v>0.94469197375457614</c:v>
                </c:pt>
                <c:pt idx="982">
                  <c:v>0.92662572139260269</c:v>
                </c:pt>
                <c:pt idx="983">
                  <c:v>0.92715908029295402</c:v>
                </c:pt>
                <c:pt idx="984">
                  <c:v>0.92631768074279286</c:v>
                </c:pt>
                <c:pt idx="985">
                  <c:v>0.93087641100904128</c:v>
                </c:pt>
                <c:pt idx="986">
                  <c:v>0.93170606506172948</c:v>
                </c:pt>
                <c:pt idx="987">
                  <c:v>0.93717972802131844</c:v>
                </c:pt>
                <c:pt idx="988">
                  <c:v>0.95140243336119623</c:v>
                </c:pt>
                <c:pt idx="989">
                  <c:v>0.95369686833778666</c:v>
                </c:pt>
                <c:pt idx="990">
                  <c:v>0.95076610267954398</c:v>
                </c:pt>
                <c:pt idx="991">
                  <c:v>0.96276294732009304</c:v>
                </c:pt>
                <c:pt idx="992">
                  <c:v>0.96942913454494717</c:v>
                </c:pt>
                <c:pt idx="993">
                  <c:v>0.97937361093036501</c:v>
                </c:pt>
                <c:pt idx="994">
                  <c:v>0.98710910566693144</c:v>
                </c:pt>
                <c:pt idx="995">
                  <c:v>1.0035834470213734</c:v>
                </c:pt>
                <c:pt idx="996">
                  <c:v>1.013921725053573</c:v>
                </c:pt>
                <c:pt idx="997">
                  <c:v>1.0098516607428543</c:v>
                </c:pt>
                <c:pt idx="998">
                  <c:v>0.99390551286646334</c:v>
                </c:pt>
                <c:pt idx="999">
                  <c:v>0.96566797288069384</c:v>
                </c:pt>
                <c:pt idx="1000">
                  <c:v>0.93992417614464863</c:v>
                </c:pt>
                <c:pt idx="1001">
                  <c:v>0.93250447288516236</c:v>
                </c:pt>
                <c:pt idx="1002">
                  <c:v>0.93033369427848422</c:v>
                </c:pt>
                <c:pt idx="1003">
                  <c:v>0.94312696226251191</c:v>
                </c:pt>
                <c:pt idx="1004">
                  <c:v>0.95377786735838466</c:v>
                </c:pt>
                <c:pt idx="1005">
                  <c:v>0.95709667403335097</c:v>
                </c:pt>
                <c:pt idx="1006">
                  <c:v>0.95464565225653475</c:v>
                </c:pt>
                <c:pt idx="1007">
                  <c:v>0.94784338758042197</c:v>
                </c:pt>
                <c:pt idx="1008">
                  <c:v>0.9337583829777274</c:v>
                </c:pt>
                <c:pt idx="1009">
                  <c:v>0.92928614343872096</c:v>
                </c:pt>
                <c:pt idx="1010">
                  <c:v>0.9280327988871806</c:v>
                </c:pt>
                <c:pt idx="1011">
                  <c:v>0.91875964518182196</c:v>
                </c:pt>
                <c:pt idx="1012">
                  <c:v>0.92285247842806228</c:v>
                </c:pt>
                <c:pt idx="1013">
                  <c:v>0.93149512040822458</c:v>
                </c:pt>
                <c:pt idx="1014">
                  <c:v>0.91759536039379164</c:v>
                </c:pt>
                <c:pt idx="1015">
                  <c:v>0.90196078431372551</c:v>
                </c:pt>
                <c:pt idx="1016">
                  <c:v>0.8803318300860844</c:v>
                </c:pt>
                <c:pt idx="1017">
                  <c:v>0.83357137769305278</c:v>
                </c:pt>
                <c:pt idx="1018">
                  <c:v>0.77692705532487616</c:v>
                </c:pt>
                <c:pt idx="1019">
                  <c:v>0.72074872905242471</c:v>
                </c:pt>
                <c:pt idx="1020">
                  <c:v>0.70882352941176474</c:v>
                </c:pt>
                <c:pt idx="1021">
                  <c:v>0.74602820805370607</c:v>
                </c:pt>
                <c:pt idx="1022">
                  <c:v>0.81270477687599907</c:v>
                </c:pt>
                <c:pt idx="1023">
                  <c:v>0.88316002682980521</c:v>
                </c:pt>
                <c:pt idx="1024">
                  <c:v>0.94436145387688719</c:v>
                </c:pt>
                <c:pt idx="1025">
                  <c:v>0.97566277934376089</c:v>
                </c:pt>
                <c:pt idx="1026">
                  <c:v>0.9834380741452885</c:v>
                </c:pt>
                <c:pt idx="1027">
                  <c:v>0.97138043785326356</c:v>
                </c:pt>
                <c:pt idx="1028">
                  <c:v>0.9596084821006895</c:v>
                </c:pt>
                <c:pt idx="1029">
                  <c:v>0.95764621980201081</c:v>
                </c:pt>
                <c:pt idx="1030">
                  <c:v>0.9703079991136716</c:v>
                </c:pt>
                <c:pt idx="1031">
                  <c:v>0.99329110996328174</c:v>
                </c:pt>
                <c:pt idx="1032">
                  <c:v>1.0110109296081191</c:v>
                </c:pt>
                <c:pt idx="1033">
                  <c:v>1.0237191307004057</c:v>
                </c:pt>
                <c:pt idx="1034">
                  <c:v>1.0182743280321798</c:v>
                </c:pt>
                <c:pt idx="1035">
                  <c:v>1.0151949806592511</c:v>
                </c:pt>
                <c:pt idx="1036">
                  <c:v>1.0115217339780054</c:v>
                </c:pt>
                <c:pt idx="1037">
                  <c:v>0.99676845909370126</c:v>
                </c:pt>
                <c:pt idx="1038">
                  <c:v>1.0113235019379099</c:v>
                </c:pt>
                <c:pt idx="1039">
                  <c:v>1.0174383028528324</c:v>
                </c:pt>
                <c:pt idx="1040">
                  <c:v>1.0289774413772632</c:v>
                </c:pt>
                <c:pt idx="1041">
                  <c:v>1.0316572367830052</c:v>
                </c:pt>
                <c:pt idx="1042">
                  <c:v>1.0236081276609652</c:v>
                </c:pt>
                <c:pt idx="1043">
                  <c:v>1.0027711082426538</c:v>
                </c:pt>
                <c:pt idx="1044">
                  <c:v>0.989015809383327</c:v>
                </c:pt>
                <c:pt idx="1045">
                  <c:v>0.97599256159925618</c:v>
                </c:pt>
                <c:pt idx="1046">
                  <c:v>0.97609330487510826</c:v>
                </c:pt>
                <c:pt idx="1047">
                  <c:v>0.96848937993598261</c:v>
                </c:pt>
                <c:pt idx="1048">
                  <c:v>0.95115821027162972</c:v>
                </c:pt>
                <c:pt idx="1049">
                  <c:v>0.9328798987001391</c:v>
                </c:pt>
                <c:pt idx="1050">
                  <c:v>0.90880620386250088</c:v>
                </c:pt>
                <c:pt idx="1051">
                  <c:v>0.9005631737065245</c:v>
                </c:pt>
                <c:pt idx="1052">
                  <c:v>0.89921748113117417</c:v>
                </c:pt>
                <c:pt idx="1053">
                  <c:v>0.90944664034572187</c:v>
                </c:pt>
                <c:pt idx="1054">
                  <c:v>0.92842883228584827</c:v>
                </c:pt>
                <c:pt idx="1055">
                  <c:v>0.94623535347872401</c:v>
                </c:pt>
                <c:pt idx="1056">
                  <c:v>0.95153406167358701</c:v>
                </c:pt>
                <c:pt idx="1057">
                  <c:v>0.95582936941750085</c:v>
                </c:pt>
                <c:pt idx="1058">
                  <c:v>0.95440334911465874</c:v>
                </c:pt>
                <c:pt idx="1059">
                  <c:v>0.96091691952311431</c:v>
                </c:pt>
                <c:pt idx="1060">
                  <c:v>0.97886690647482011</c:v>
                </c:pt>
                <c:pt idx="1061">
                  <c:v>1.0002481782144514</c:v>
                </c:pt>
                <c:pt idx="1062">
                  <c:v>1.0176394335936914</c:v>
                </c:pt>
                <c:pt idx="1063">
                  <c:v>1.0315224741828541</c:v>
                </c:pt>
                <c:pt idx="1064">
                  <c:v>1.0273612562928787</c:v>
                </c:pt>
                <c:pt idx="1065">
                  <c:v>1.0102744228854788</c:v>
                </c:pt>
                <c:pt idx="1066">
                  <c:v>0.99497550898905796</c:v>
                </c:pt>
                <c:pt idx="1067">
                  <c:v>0.97639048399094164</c:v>
                </c:pt>
                <c:pt idx="1068">
                  <c:v>0.97076821662492785</c:v>
                </c:pt>
                <c:pt idx="1069">
                  <c:v>0.96118879776298582</c:v>
                </c:pt>
                <c:pt idx="1070">
                  <c:v>0.96881355932203395</c:v>
                </c:pt>
                <c:pt idx="1071">
                  <c:v>0.96348429566196536</c:v>
                </c:pt>
                <c:pt idx="1072">
                  <c:v>0.94295586443213775</c:v>
                </c:pt>
                <c:pt idx="1073">
                  <c:v>0.91252317240723679</c:v>
                </c:pt>
                <c:pt idx="1074">
                  <c:v>0.87953051444721908</c:v>
                </c:pt>
                <c:pt idx="1075">
                  <c:v>0.85594516512774033</c:v>
                </c:pt>
                <c:pt idx="1076">
                  <c:v>0.8565939978719288</c:v>
                </c:pt>
                <c:pt idx="1077">
                  <c:v>0.87524034989955013</c:v>
                </c:pt>
                <c:pt idx="1078">
                  <c:v>0.89613991448258323</c:v>
                </c:pt>
                <c:pt idx="1079">
                  <c:v>0.91025108260497345</c:v>
                </c:pt>
                <c:pt idx="1080">
                  <c:v>0.91233717055437746</c:v>
                </c:pt>
                <c:pt idx="1081">
                  <c:v>0.91435114145182272</c:v>
                </c:pt>
                <c:pt idx="1082">
                  <c:v>0.92304064729983415</c:v>
                </c:pt>
                <c:pt idx="1083">
                  <c:v>0.93193074658386887</c:v>
                </c:pt>
                <c:pt idx="1084">
                  <c:v>0.91920024531234812</c:v>
                </c:pt>
                <c:pt idx="1085">
                  <c:v>0.87330789238860096</c:v>
                </c:pt>
                <c:pt idx="1086">
                  <c:v>0.82926558686487684</c:v>
                </c:pt>
                <c:pt idx="1087">
                  <c:v>0.78221044300549447</c:v>
                </c:pt>
                <c:pt idx="1088">
                  <c:v>0.73107222404790595</c:v>
                </c:pt>
                <c:pt idx="1089">
                  <c:v>0.65784316038723167</c:v>
                </c:pt>
                <c:pt idx="1090">
                  <c:v>0.59001599268905647</c:v>
                </c:pt>
                <c:pt idx="1091">
                  <c:v>0.55941247783571413</c:v>
                </c:pt>
                <c:pt idx="1092">
                  <c:v>0.57615948570313258</c:v>
                </c:pt>
                <c:pt idx="1093">
                  <c:v>0.62332601758678008</c:v>
                </c:pt>
                <c:pt idx="1094">
                  <c:v>0.69367479719476932</c:v>
                </c:pt>
                <c:pt idx="1095">
                  <c:v>0.76177565632458233</c:v>
                </c:pt>
                <c:pt idx="1096">
                  <c:v>0.80611390284757123</c:v>
                </c:pt>
                <c:pt idx="1097">
                  <c:v>0.82477553214346067</c:v>
                </c:pt>
                <c:pt idx="1098">
                  <c:v>0.80130608148014404</c:v>
                </c:pt>
                <c:pt idx="1099">
                  <c:v>0.7282454516714012</c:v>
                </c:pt>
                <c:pt idx="1100">
                  <c:v>0.63832720588235292</c:v>
                </c:pt>
                <c:pt idx="1101">
                  <c:v>0.57455364225011674</c:v>
                </c:pt>
                <c:pt idx="1102">
                  <c:v>0.56189209831328846</c:v>
                </c:pt>
                <c:pt idx="1103">
                  <c:v>0.6010077410533633</c:v>
                </c:pt>
                <c:pt idx="1104">
                  <c:v>0.66896012725865683</c:v>
                </c:pt>
                <c:pt idx="1105">
                  <c:v>0.74782508498012334</c:v>
                </c:pt>
                <c:pt idx="1106">
                  <c:v>0.82048172027142108</c:v>
                </c:pt>
                <c:pt idx="1107">
                  <c:v>0.87719028388032594</c:v>
                </c:pt>
                <c:pt idx="1108">
                  <c:v>0.91384394700551619</c:v>
                </c:pt>
                <c:pt idx="1109">
                  <c:v>0.92359235808078821</c:v>
                </c:pt>
                <c:pt idx="1110">
                  <c:v>0.94768472147314897</c:v>
                </c:pt>
                <c:pt idx="1111">
                  <c:v>0.95033686192246047</c:v>
                </c:pt>
                <c:pt idx="1112">
                  <c:v>0.9389540983201885</c:v>
                </c:pt>
                <c:pt idx="1113">
                  <c:v>0.92736603962329545</c:v>
                </c:pt>
                <c:pt idx="1114">
                  <c:v>0.90923905823764029</c:v>
                </c:pt>
                <c:pt idx="1115">
                  <c:v>0.88873432639734151</c:v>
                </c:pt>
                <c:pt idx="1116">
                  <c:v>0.88757670988815207</c:v>
                </c:pt>
                <c:pt idx="1117">
                  <c:v>0.88096404261558614</c:v>
                </c:pt>
                <c:pt idx="1118">
                  <c:v>0.90620441686099995</c:v>
                </c:pt>
                <c:pt idx="1119">
                  <c:v>0.93043146144364852</c:v>
                </c:pt>
                <c:pt idx="1120">
                  <c:v>0.94302325581395352</c:v>
                </c:pt>
                <c:pt idx="1121">
                  <c:v>0.928599851535721</c:v>
                </c:pt>
                <c:pt idx="1122">
                  <c:v>0.90364297933244131</c:v>
                </c:pt>
                <c:pt idx="1123">
                  <c:v>0.88121926916233495</c:v>
                </c:pt>
                <c:pt idx="1124">
                  <c:v>0.87100865413309458</c:v>
                </c:pt>
                <c:pt idx="1125">
                  <c:v>0.87979937401582453</c:v>
                </c:pt>
                <c:pt idx="1126">
                  <c:v>0.88821348870649974</c:v>
                </c:pt>
                <c:pt idx="1127">
                  <c:v>0.91030411468516004</c:v>
                </c:pt>
                <c:pt idx="1128">
                  <c:v>0.93246313309482554</c:v>
                </c:pt>
                <c:pt idx="1129">
                  <c:v>0.93687705569185453</c:v>
                </c:pt>
                <c:pt idx="1130">
                  <c:v>0.94742179577190111</c:v>
                </c:pt>
                <c:pt idx="1131">
                  <c:v>0.94654584143522758</c:v>
                </c:pt>
                <c:pt idx="1132">
                  <c:v>0.94621700659868035</c:v>
                </c:pt>
                <c:pt idx="1133">
                  <c:v>0.94862481837629387</c:v>
                </c:pt>
                <c:pt idx="1134">
                  <c:v>0.94098720166681782</c:v>
                </c:pt>
                <c:pt idx="1135">
                  <c:v>0.93952378157343819</c:v>
                </c:pt>
                <c:pt idx="1136">
                  <c:v>0.93054198148078537</c:v>
                </c:pt>
                <c:pt idx="1137">
                  <c:v>0.91951248755006421</c:v>
                </c:pt>
                <c:pt idx="1138">
                  <c:v>0.9077250728469759</c:v>
                </c:pt>
                <c:pt idx="1139">
                  <c:v>0.89309884584511312</c:v>
                </c:pt>
                <c:pt idx="1140">
                  <c:v>0.85493875628140703</c:v>
                </c:pt>
                <c:pt idx="1141">
                  <c:v>0.83692199387315269</c:v>
                </c:pt>
                <c:pt idx="1142">
                  <c:v>0.84384503379153974</c:v>
                </c:pt>
                <c:pt idx="1143">
                  <c:v>0.87028970057534161</c:v>
                </c:pt>
                <c:pt idx="1144">
                  <c:v>0.90342333320737134</c:v>
                </c:pt>
                <c:pt idx="1145">
                  <c:v>0.93089118660758252</c:v>
                </c:pt>
                <c:pt idx="1146">
                  <c:v>0.94578423427542568</c:v>
                </c:pt>
                <c:pt idx="1147">
                  <c:v>0.95805615179332815</c:v>
                </c:pt>
                <c:pt idx="1148">
                  <c:v>0.97054347276952613</c:v>
                </c:pt>
                <c:pt idx="1149">
                  <c:v>0.96503915213683855</c:v>
                </c:pt>
                <c:pt idx="1150">
                  <c:v>0.94439174768792977</c:v>
                </c:pt>
                <c:pt idx="1151">
                  <c:v>0.90022535295936923</c:v>
                </c:pt>
                <c:pt idx="1152">
                  <c:v>0.83997163156494981</c:v>
                </c:pt>
                <c:pt idx="1153">
                  <c:v>0.77896351002090281</c:v>
                </c:pt>
                <c:pt idx="1154">
                  <c:v>0.7312284606434144</c:v>
                </c:pt>
                <c:pt idx="1155">
                  <c:v>0.67236422041997979</c:v>
                </c:pt>
                <c:pt idx="1156">
                  <c:v>0.60433175861017974</c:v>
                </c:pt>
                <c:pt idx="1157">
                  <c:v>0.5385888036116665</c:v>
                </c:pt>
                <c:pt idx="1158">
                  <c:v>0.52274916624011647</c:v>
                </c:pt>
                <c:pt idx="1159">
                  <c:v>0.56749536101374476</c:v>
                </c:pt>
                <c:pt idx="1160">
                  <c:v>0.65588188475007958</c:v>
                </c:pt>
                <c:pt idx="1161">
                  <c:v>0.76745154792559889</c:v>
                </c:pt>
                <c:pt idx="1162">
                  <c:v>0.86355723891232195</c:v>
                </c:pt>
                <c:pt idx="1163">
                  <c:v>0.93383773971067618</c:v>
                </c:pt>
                <c:pt idx="1164">
                  <c:v>0.96790234215365756</c:v>
                </c:pt>
                <c:pt idx="1165">
                  <c:v>0.97458016334191977</c:v>
                </c:pt>
                <c:pt idx="1166">
                  <c:v>0.95653049675321555</c:v>
                </c:pt>
                <c:pt idx="1167">
                  <c:v>0.95861352385355514</c:v>
                </c:pt>
                <c:pt idx="1168">
                  <c:v>0.96710467335203198</c:v>
                </c:pt>
                <c:pt idx="1169">
                  <c:v>0.96055027278938865</c:v>
                </c:pt>
                <c:pt idx="1170">
                  <c:v>0.9642885771543086</c:v>
                </c:pt>
                <c:pt idx="1171">
                  <c:v>0.95636206991983796</c:v>
                </c:pt>
                <c:pt idx="1172">
                  <c:v>0.95179722821619406</c:v>
                </c:pt>
                <c:pt idx="1173">
                  <c:v>0.95369423461448555</c:v>
                </c:pt>
                <c:pt idx="1174">
                  <c:v>0.95229941055596823</c:v>
                </c:pt>
                <c:pt idx="1175">
                  <c:v>0.95536917476216332</c:v>
                </c:pt>
                <c:pt idx="1176">
                  <c:v>0.95715679707325874</c:v>
                </c:pt>
                <c:pt idx="1177">
                  <c:v>0.95741775174817567</c:v>
                </c:pt>
                <c:pt idx="1178">
                  <c:v>0.95796283933057902</c:v>
                </c:pt>
                <c:pt idx="1179">
                  <c:v>0.96177820238372846</c:v>
                </c:pt>
                <c:pt idx="1180">
                  <c:v>0.95736434108527135</c:v>
                </c:pt>
                <c:pt idx="1181">
                  <c:v>0.94842013480632792</c:v>
                </c:pt>
                <c:pt idx="1182">
                  <c:v>0.93562281045096218</c:v>
                </c:pt>
                <c:pt idx="1183">
                  <c:v>0.93195298596425635</c:v>
                </c:pt>
                <c:pt idx="1184">
                  <c:v>0.94350548795500777</c:v>
                </c:pt>
                <c:pt idx="1185">
                  <c:v>0.96739681060160887</c:v>
                </c:pt>
                <c:pt idx="1186">
                  <c:v>0.9774148229621914</c:v>
                </c:pt>
                <c:pt idx="1187">
                  <c:v>0.98659724606728894</c:v>
                </c:pt>
                <c:pt idx="1188">
                  <c:v>0.98901197098887383</c:v>
                </c:pt>
                <c:pt idx="1189">
                  <c:v>0.99090354045684736</c:v>
                </c:pt>
                <c:pt idx="1190">
                  <c:v>0.97852086892848422</c:v>
                </c:pt>
                <c:pt idx="1191">
                  <c:v>0.95166831004780328</c:v>
                </c:pt>
                <c:pt idx="1192">
                  <c:v>0.92709840810419686</c:v>
                </c:pt>
                <c:pt idx="1193">
                  <c:v>0.91684464527009124</c:v>
                </c:pt>
                <c:pt idx="1194">
                  <c:v>0.91016743326662986</c:v>
                </c:pt>
                <c:pt idx="1195">
                  <c:v>0.92896375701888723</c:v>
                </c:pt>
                <c:pt idx="1196">
                  <c:v>0.94059786304666249</c:v>
                </c:pt>
                <c:pt idx="1197">
                  <c:v>0.95061559742521506</c:v>
                </c:pt>
                <c:pt idx="1198">
                  <c:v>0.96568526323028103</c:v>
                </c:pt>
                <c:pt idx="1199">
                  <c:v>0.97332451770049622</c:v>
                </c:pt>
                <c:pt idx="1200">
                  <c:v>0.96232371269268613</c:v>
                </c:pt>
                <c:pt idx="1201">
                  <c:v>0.92410467743113434</c:v>
                </c:pt>
                <c:pt idx="1202">
                  <c:v>0.88668906999891595</c:v>
                </c:pt>
                <c:pt idx="1203">
                  <c:v>0.86290006418944187</c:v>
                </c:pt>
                <c:pt idx="1204">
                  <c:v>0.8716061934091387</c:v>
                </c:pt>
                <c:pt idx="1205">
                  <c:v>0.90029017719330739</c:v>
                </c:pt>
                <c:pt idx="1206">
                  <c:v>0.92333688140754189</c:v>
                </c:pt>
                <c:pt idx="1207">
                  <c:v>0.94798863155707602</c:v>
                </c:pt>
                <c:pt idx="1208">
                  <c:v>0.96104652698010329</c:v>
                </c:pt>
                <c:pt idx="1209">
                  <c:v>0.98606053949238526</c:v>
                </c:pt>
                <c:pt idx="1210">
                  <c:v>0.99731382758905696</c:v>
                </c:pt>
                <c:pt idx="1211">
                  <c:v>0.9999842834797037</c:v>
                </c:pt>
                <c:pt idx="1212">
                  <c:v>0.98738674896683265</c:v>
                </c:pt>
                <c:pt idx="1213">
                  <c:v>0.96449648742989569</c:v>
                </c:pt>
                <c:pt idx="1214">
                  <c:v>0.92212537024322461</c:v>
                </c:pt>
                <c:pt idx="1215">
                  <c:v>0.85383514180792131</c:v>
                </c:pt>
                <c:pt idx="1216">
                  <c:v>0.79311685205119009</c:v>
                </c:pt>
                <c:pt idx="1217">
                  <c:v>0.75682195461146429</c:v>
                </c:pt>
                <c:pt idx="1218">
                  <c:v>0.76381285794628273</c:v>
                </c:pt>
                <c:pt idx="1219">
                  <c:v>0.80478834703442714</c:v>
                </c:pt>
                <c:pt idx="1220">
                  <c:v>0.85150000000000003</c:v>
                </c:pt>
                <c:pt idx="1221">
                  <c:v>0.89824928961575445</c:v>
                </c:pt>
                <c:pt idx="1222">
                  <c:v>0.93372598906841098</c:v>
                </c:pt>
                <c:pt idx="1223">
                  <c:v>0.96487776432738426</c:v>
                </c:pt>
                <c:pt idx="1224">
                  <c:v>0.97697795288231282</c:v>
                </c:pt>
                <c:pt idx="1225">
                  <c:v>0.96303269942885839</c:v>
                </c:pt>
                <c:pt idx="1226">
                  <c:v>0.94094126791092536</c:v>
                </c:pt>
                <c:pt idx="1227">
                  <c:v>0.92811858995046737</c:v>
                </c:pt>
                <c:pt idx="1228">
                  <c:v>0.90113898732817865</c:v>
                </c:pt>
                <c:pt idx="1229">
                  <c:v>0.86135161165452889</c:v>
                </c:pt>
                <c:pt idx="1230">
                  <c:v>0.80439532733843178</c:v>
                </c:pt>
                <c:pt idx="1231">
                  <c:v>0.74137065252224987</c:v>
                </c:pt>
                <c:pt idx="1232">
                  <c:v>0.71460682102881157</c:v>
                </c:pt>
                <c:pt idx="1233">
                  <c:v>0.725966881552639</c:v>
                </c:pt>
                <c:pt idx="1234">
                  <c:v>0.781157763002992</c:v>
                </c:pt>
                <c:pt idx="1235">
                  <c:v>0.83277415543035593</c:v>
                </c:pt>
                <c:pt idx="1236">
                  <c:v>0.86990937229671272</c:v>
                </c:pt>
                <c:pt idx="1237">
                  <c:v>0.88766401935891348</c:v>
                </c:pt>
                <c:pt idx="1238">
                  <c:v>0.89804650344087544</c:v>
                </c:pt>
                <c:pt idx="1239">
                  <c:v>0.91005802789845169</c:v>
                </c:pt>
                <c:pt idx="1240">
                  <c:v>0.90233977619532046</c:v>
                </c:pt>
                <c:pt idx="1241">
                  <c:v>0.87920927166141027</c:v>
                </c:pt>
                <c:pt idx="1242">
                  <c:v>0.86172926737301236</c:v>
                </c:pt>
                <c:pt idx="1243">
                  <c:v>0.86228219820123064</c:v>
                </c:pt>
                <c:pt idx="1244">
                  <c:v>0.86441148045301097</c:v>
                </c:pt>
                <c:pt idx="1245">
                  <c:v>0.87493347525279408</c:v>
                </c:pt>
                <c:pt idx="1246">
                  <c:v>0.88061780036886661</c:v>
                </c:pt>
                <c:pt idx="1247">
                  <c:v>0.89684893680727418</c:v>
                </c:pt>
                <c:pt idx="1248">
                  <c:v>0.91140319121323476</c:v>
                </c:pt>
                <c:pt idx="1249">
                  <c:v>0.90906449465414529</c:v>
                </c:pt>
                <c:pt idx="1250">
                  <c:v>0.8752031477204687</c:v>
                </c:pt>
                <c:pt idx="1251">
                  <c:v>0.81992125262940707</c:v>
                </c:pt>
                <c:pt idx="1252">
                  <c:v>0.74890143413403532</c:v>
                </c:pt>
                <c:pt idx="1253">
                  <c:v>0.70039651397062042</c:v>
                </c:pt>
                <c:pt idx="1254">
                  <c:v>0.68000521958305149</c:v>
                </c:pt>
                <c:pt idx="1255">
                  <c:v>0.710360679684647</c:v>
                </c:pt>
                <c:pt idx="1256">
                  <c:v>0.77186455022086442</c:v>
                </c:pt>
                <c:pt idx="1257">
                  <c:v>0.83460238234000306</c:v>
                </c:pt>
                <c:pt idx="1258">
                  <c:v>0.88104322410982328</c:v>
                </c:pt>
                <c:pt idx="1259">
                  <c:v>0.91864535709573003</c:v>
                </c:pt>
                <c:pt idx="1260">
                  <c:v>0.93693888121546964</c:v>
                </c:pt>
                <c:pt idx="1261">
                  <c:v>0.94152951779068683</c:v>
                </c:pt>
                <c:pt idx="1262">
                  <c:v>0.91957870192590441</c:v>
                </c:pt>
                <c:pt idx="1263">
                  <c:v>0.8574203718821175</c:v>
                </c:pt>
                <c:pt idx="1264">
                  <c:v>0.7757368742114823</c:v>
                </c:pt>
                <c:pt idx="1265">
                  <c:v>0.6798499533814697</c:v>
                </c:pt>
                <c:pt idx="1266">
                  <c:v>0.63183445555281603</c:v>
                </c:pt>
                <c:pt idx="1267">
                  <c:v>0.63495456603327627</c:v>
                </c:pt>
                <c:pt idx="1268">
                  <c:v>0.66630657147628591</c:v>
                </c:pt>
                <c:pt idx="1269">
                  <c:v>0.68718499667856237</c:v>
                </c:pt>
                <c:pt idx="1270">
                  <c:v>0.66557734204793029</c:v>
                </c:pt>
                <c:pt idx="1271">
                  <c:v>0.62251449975095929</c:v>
                </c:pt>
                <c:pt idx="1272">
                  <c:v>0.59408222852432913</c:v>
                </c:pt>
                <c:pt idx="1273">
                  <c:v>0.61886520694534397</c:v>
                </c:pt>
                <c:pt idx="1274">
                  <c:v>0.67829660812328751</c:v>
                </c:pt>
                <c:pt idx="1275">
                  <c:v>0.76126885439698766</c:v>
                </c:pt>
                <c:pt idx="1276">
                  <c:v>0.83265840626051835</c:v>
                </c:pt>
                <c:pt idx="1277">
                  <c:v>0.88589525255955026</c:v>
                </c:pt>
                <c:pt idx="1278">
                  <c:v>0.90858711651484758</c:v>
                </c:pt>
                <c:pt idx="1279">
                  <c:v>0.91528141507966021</c:v>
                </c:pt>
                <c:pt idx="1280">
                  <c:v>0.91644667370644139</c:v>
                </c:pt>
                <c:pt idx="1281">
                  <c:v>0.90739809333212362</c:v>
                </c:pt>
                <c:pt idx="1282">
                  <c:v>0.91239653098868234</c:v>
                </c:pt>
                <c:pt idx="1283">
                  <c:v>0.90531503551094372</c:v>
                </c:pt>
                <c:pt idx="1284">
                  <c:v>0.92476923838063996</c:v>
                </c:pt>
                <c:pt idx="1285">
                  <c:v>0.94280471358139328</c:v>
                </c:pt>
                <c:pt idx="1286">
                  <c:v>0.96946471631770714</c:v>
                </c:pt>
                <c:pt idx="1287">
                  <c:v>0.96839995356713404</c:v>
                </c:pt>
                <c:pt idx="1288">
                  <c:v>0.9658268403797845</c:v>
                </c:pt>
                <c:pt idx="1289">
                  <c:v>0.96737903766429689</c:v>
                </c:pt>
                <c:pt idx="1290">
                  <c:v>0.9668029508488134</c:v>
                </c:pt>
                <c:pt idx="1291">
                  <c:v>0.96849618180022579</c:v>
                </c:pt>
                <c:pt idx="1292">
                  <c:v>0.98368744300045596</c:v>
                </c:pt>
                <c:pt idx="1293">
                  <c:v>0.98772278145730796</c:v>
                </c:pt>
                <c:pt idx="1294">
                  <c:v>0.98364693661179947</c:v>
                </c:pt>
                <c:pt idx="1295">
                  <c:v>0.95160245672808486</c:v>
                </c:pt>
                <c:pt idx="1296">
                  <c:v>0.91743693571234386</c:v>
                </c:pt>
                <c:pt idx="1297">
                  <c:v>0.8956010853383537</c:v>
                </c:pt>
                <c:pt idx="1298">
                  <c:v>0.8949150294466609</c:v>
                </c:pt>
                <c:pt idx="1299">
                  <c:v>0.91504082945282339</c:v>
                </c:pt>
                <c:pt idx="1300">
                  <c:v>0.94800646551724133</c:v>
                </c:pt>
                <c:pt idx="1301">
                  <c:v>0.97286233222675589</c:v>
                </c:pt>
                <c:pt idx="1302">
                  <c:v>0.98859329275535512</c:v>
                </c:pt>
                <c:pt idx="1303">
                  <c:v>1.0055751181638592</c:v>
                </c:pt>
                <c:pt idx="1304">
                  <c:v>0.99734522212122523</c:v>
                </c:pt>
                <c:pt idx="1305">
                  <c:v>0.98792624856130529</c:v>
                </c:pt>
                <c:pt idx="1306">
                  <c:v>0.97713364491724219</c:v>
                </c:pt>
                <c:pt idx="1307">
                  <c:v>0.97785388685499142</c:v>
                </c:pt>
                <c:pt idx="1308">
                  <c:v>0.98545989335806194</c:v>
                </c:pt>
                <c:pt idx="1309">
                  <c:v>0.9873272902484771</c:v>
                </c:pt>
                <c:pt idx="1310">
                  <c:v>0.97649514474997734</c:v>
                </c:pt>
                <c:pt idx="1311">
                  <c:v>0.94324709576195187</c:v>
                </c:pt>
                <c:pt idx="1312">
                  <c:v>0.88291788536255289</c:v>
                </c:pt>
                <c:pt idx="1313">
                  <c:v>0.81522209202704776</c:v>
                </c:pt>
                <c:pt idx="1314">
                  <c:v>0.75376151605411779</c:v>
                </c:pt>
                <c:pt idx="1315">
                  <c:v>0.67506101872761692</c:v>
                </c:pt>
                <c:pt idx="1316">
                  <c:v>0.61276927686191973</c:v>
                </c:pt>
                <c:pt idx="1317">
                  <c:v>0.60228184028581067</c:v>
                </c:pt>
                <c:pt idx="1318">
                  <c:v>0.64683503052006786</c:v>
                </c:pt>
                <c:pt idx="1319">
                  <c:v>0.72906041886035455</c:v>
                </c:pt>
                <c:pt idx="1320">
                  <c:v>0.80495412844036696</c:v>
                </c:pt>
                <c:pt idx="1321">
                  <c:v>0.85511650910774162</c:v>
                </c:pt>
                <c:pt idx="1322">
                  <c:v>0.8973001004049298</c:v>
                </c:pt>
                <c:pt idx="1323">
                  <c:v>0.91592253617712227</c:v>
                </c:pt>
                <c:pt idx="1324">
                  <c:v>0.9358320800896438</c:v>
                </c:pt>
                <c:pt idx="1325">
                  <c:v>0.95071380797527616</c:v>
                </c:pt>
                <c:pt idx="1326">
                  <c:v>0.96775474618661139</c:v>
                </c:pt>
                <c:pt idx="1327">
                  <c:v>0.96079611594830017</c:v>
                </c:pt>
                <c:pt idx="1328">
                  <c:v>0.95234260452303721</c:v>
                </c:pt>
                <c:pt idx="1329">
                  <c:v>0.95221194326112313</c:v>
                </c:pt>
                <c:pt idx="1330">
                  <c:v>0.94173856572965953</c:v>
                </c:pt>
                <c:pt idx="1331">
                  <c:v>0.94568576149437289</c:v>
                </c:pt>
                <c:pt idx="1332">
                  <c:v>0.95215424898833612</c:v>
                </c:pt>
                <c:pt idx="1333">
                  <c:v>0.95105242727122941</c:v>
                </c:pt>
                <c:pt idx="1334">
                  <c:v>0.96495446428904263</c:v>
                </c:pt>
                <c:pt idx="1335">
                  <c:v>0.96788038534207277</c:v>
                </c:pt>
                <c:pt idx="1336">
                  <c:v>0.97366385688024026</c:v>
                </c:pt>
                <c:pt idx="1337">
                  <c:v>0.9704847326923598</c:v>
                </c:pt>
                <c:pt idx="1338">
                  <c:v>0.97207502087866404</c:v>
                </c:pt>
                <c:pt idx="1339">
                  <c:v>0.97156178204958765</c:v>
                </c:pt>
                <c:pt idx="1340">
                  <c:v>0.97358295795795791</c:v>
                </c:pt>
                <c:pt idx="1341">
                  <c:v>0.96114187036516818</c:v>
                </c:pt>
                <c:pt idx="1342">
                  <c:v>0.9681916178479113</c:v>
                </c:pt>
                <c:pt idx="1343">
                  <c:v>0.97427088601157774</c:v>
                </c:pt>
                <c:pt idx="1344">
                  <c:v>0.97348353422136402</c:v>
                </c:pt>
                <c:pt idx="1345">
                  <c:v>0.95792330383480828</c:v>
                </c:pt>
                <c:pt idx="1346">
                  <c:v>0.94095777054485108</c:v>
                </c:pt>
                <c:pt idx="1347">
                  <c:v>0.93341571487911024</c:v>
                </c:pt>
                <c:pt idx="1348">
                  <c:v>0.92746794288832302</c:v>
                </c:pt>
                <c:pt idx="1349">
                  <c:v>0.91221301283528666</c:v>
                </c:pt>
                <c:pt idx="1350">
                  <c:v>0.90295318583230466</c:v>
                </c:pt>
                <c:pt idx="1351">
                  <c:v>0.9070779843683302</c:v>
                </c:pt>
                <c:pt idx="1352">
                  <c:v>0.90940588781773046</c:v>
                </c:pt>
                <c:pt idx="1353">
                  <c:v>0.92227185267284906</c:v>
                </c:pt>
                <c:pt idx="1354">
                  <c:v>0.94518932411234635</c:v>
                </c:pt>
                <c:pt idx="1355">
                  <c:v>0.9577511881731986</c:v>
                </c:pt>
                <c:pt idx="1356">
                  <c:v>0.9659934347453476</c:v>
                </c:pt>
                <c:pt idx="1357">
                  <c:v>0.9596056811184499</c:v>
                </c:pt>
                <c:pt idx="1358">
                  <c:v>0.95277269606771531</c:v>
                </c:pt>
                <c:pt idx="1359">
                  <c:v>0.94174884969361949</c:v>
                </c:pt>
                <c:pt idx="1360">
                  <c:v>0.93031526336024606</c:v>
                </c:pt>
                <c:pt idx="1361">
                  <c:v>0.93179895661613354</c:v>
                </c:pt>
                <c:pt idx="1362">
                  <c:v>0.93574514663203046</c:v>
                </c:pt>
                <c:pt idx="1363">
                  <c:v>0.94549134581897076</c:v>
                </c:pt>
                <c:pt idx="1364">
                  <c:v>0.94077452707715137</c:v>
                </c:pt>
                <c:pt idx="1365">
                  <c:v>0.92710171909378858</c:v>
                </c:pt>
                <c:pt idx="1366">
                  <c:v>0.91208927416324836</c:v>
                </c:pt>
                <c:pt idx="1367">
                  <c:v>0.90799706415898529</c:v>
                </c:pt>
                <c:pt idx="1368">
                  <c:v>0.91243922896506746</c:v>
                </c:pt>
                <c:pt idx="1369">
                  <c:v>0.91912997582618183</c:v>
                </c:pt>
                <c:pt idx="1370">
                  <c:v>0.92914841849148422</c:v>
                </c:pt>
                <c:pt idx="1371">
                  <c:v>0.93437042912729407</c:v>
                </c:pt>
                <c:pt idx="1372">
                  <c:v>0.94463243099787697</c:v>
                </c:pt>
                <c:pt idx="1373">
                  <c:v>0.92541845326893257</c:v>
                </c:pt>
                <c:pt idx="1374">
                  <c:v>0.91447190800208156</c:v>
                </c:pt>
                <c:pt idx="1375">
                  <c:v>0.91334263816449957</c:v>
                </c:pt>
                <c:pt idx="1376">
                  <c:v>0.92765852280751315</c:v>
                </c:pt>
                <c:pt idx="1377">
                  <c:v>0.94716851066086249</c:v>
                </c:pt>
                <c:pt idx="1378">
                  <c:v>0.95094962223559432</c:v>
                </c:pt>
                <c:pt idx="1379">
                  <c:v>0.95090275952305714</c:v>
                </c:pt>
                <c:pt idx="1380">
                  <c:v>0.94440063091482651</c:v>
                </c:pt>
                <c:pt idx="1381">
                  <c:v>0.95096236325103956</c:v>
                </c:pt>
                <c:pt idx="1382">
                  <c:v>0.96085419804775052</c:v>
                </c:pt>
                <c:pt idx="1383">
                  <c:v>0.97384185560419256</c:v>
                </c:pt>
                <c:pt idx="1384">
                  <c:v>0.98879798316129941</c:v>
                </c:pt>
                <c:pt idx="1385">
                  <c:v>0.99501376795415641</c:v>
                </c:pt>
                <c:pt idx="1386">
                  <c:v>0.99473989610947067</c:v>
                </c:pt>
                <c:pt idx="1387">
                  <c:v>0.99919312394352455</c:v>
                </c:pt>
                <c:pt idx="1388">
                  <c:v>0.99494309487375665</c:v>
                </c:pt>
                <c:pt idx="1389">
                  <c:v>0.99592094880586257</c:v>
                </c:pt>
                <c:pt idx="1390">
                  <c:v>0.99545499950054939</c:v>
                </c:pt>
                <c:pt idx="1391">
                  <c:v>0.9880381171862419</c:v>
                </c:pt>
                <c:pt idx="1392">
                  <c:v>0.98851580904152181</c:v>
                </c:pt>
                <c:pt idx="1393">
                  <c:v>0.98824456834066987</c:v>
                </c:pt>
                <c:pt idx="1394">
                  <c:v>0.97331188160574622</c:v>
                </c:pt>
                <c:pt idx="1395">
                  <c:v>0.97045883092394725</c:v>
                </c:pt>
                <c:pt idx="1396">
                  <c:v>0.97515266499097708</c:v>
                </c:pt>
                <c:pt idx="1397">
                  <c:v>0.98707131699928718</c:v>
                </c:pt>
                <c:pt idx="1398">
                  <c:v>1.013262433405095</c:v>
                </c:pt>
                <c:pt idx="1399">
                  <c:v>1.0344716009460453</c:v>
                </c:pt>
                <c:pt idx="1400">
                  <c:v>1.0266302146618065</c:v>
                </c:pt>
                <c:pt idx="1401">
                  <c:v>1.015473936844923</c:v>
                </c:pt>
                <c:pt idx="1402">
                  <c:v>0.99520142637245701</c:v>
                </c:pt>
                <c:pt idx="1403">
                  <c:v>0.98026356593876418</c:v>
                </c:pt>
                <c:pt idx="1404">
                  <c:v>0.97470432034406373</c:v>
                </c:pt>
                <c:pt idx="1405">
                  <c:v>0.96270806250159313</c:v>
                </c:pt>
                <c:pt idx="1406">
                  <c:v>0.96962029969246599</c:v>
                </c:pt>
                <c:pt idx="1407">
                  <c:v>0.95845632704893802</c:v>
                </c:pt>
                <c:pt idx="1408">
                  <c:v>0.96518118969217404</c:v>
                </c:pt>
                <c:pt idx="1409">
                  <c:v>0.96885096469830678</c:v>
                </c:pt>
                <c:pt idx="1410">
                  <c:v>0.96991477564431672</c:v>
                </c:pt>
                <c:pt idx="1411">
                  <c:v>0.96059819910973476</c:v>
                </c:pt>
                <c:pt idx="1412">
                  <c:v>0.94389457295373658</c:v>
                </c:pt>
                <c:pt idx="1413">
                  <c:v>0.92111273924955994</c:v>
                </c:pt>
                <c:pt idx="1414">
                  <c:v>0.9127249670578419</c:v>
                </c:pt>
                <c:pt idx="1415">
                  <c:v>0.92111998759016522</c:v>
                </c:pt>
                <c:pt idx="1416">
                  <c:v>0.94067424480935891</c:v>
                </c:pt>
                <c:pt idx="1417">
                  <c:v>0.95878306269193558</c:v>
                </c:pt>
                <c:pt idx="1418">
                  <c:v>0.96785819633650338</c:v>
                </c:pt>
                <c:pt idx="1419">
                  <c:v>0.96385579764489049</c:v>
                </c:pt>
                <c:pt idx="1420">
                  <c:v>0.95583333333333331</c:v>
                </c:pt>
                <c:pt idx="1421">
                  <c:v>0.93391501555916501</c:v>
                </c:pt>
                <c:pt idx="1422">
                  <c:v>0.90571836906965775</c:v>
                </c:pt>
                <c:pt idx="1423">
                  <c:v>0.87932403632174816</c:v>
                </c:pt>
                <c:pt idx="1424">
                  <c:v>0.86369846937920169</c:v>
                </c:pt>
                <c:pt idx="1425">
                  <c:v>0.870222198903434</c:v>
                </c:pt>
                <c:pt idx="1426">
                  <c:v>0.89337133393024537</c:v>
                </c:pt>
                <c:pt idx="1427">
                  <c:v>0.92843137564450284</c:v>
                </c:pt>
                <c:pt idx="1428">
                  <c:v>0.95242512142471658</c:v>
                </c:pt>
                <c:pt idx="1429">
                  <c:v>0.95696381050100354</c:v>
                </c:pt>
                <c:pt idx="1430">
                  <c:v>0.92874511047679453</c:v>
                </c:pt>
                <c:pt idx="1431">
                  <c:v>0.90811971467867458</c:v>
                </c:pt>
                <c:pt idx="1432">
                  <c:v>0.89878013606827156</c:v>
                </c:pt>
                <c:pt idx="1433">
                  <c:v>0.87412160389791738</c:v>
                </c:pt>
                <c:pt idx="1434">
                  <c:v>0.81849258246082757</c:v>
                </c:pt>
                <c:pt idx="1435">
                  <c:v>0.73537322574631836</c:v>
                </c:pt>
                <c:pt idx="1436">
                  <c:v>0.64031988256179173</c:v>
                </c:pt>
                <c:pt idx="1437">
                  <c:v>0.57414647332919477</c:v>
                </c:pt>
                <c:pt idx="1438">
                  <c:v>0.55485641150762566</c:v>
                </c:pt>
                <c:pt idx="1439">
                  <c:v>0.60072515725494868</c:v>
                </c:pt>
                <c:pt idx="1440">
                  <c:v>0.684628595963933</c:v>
                </c:pt>
                <c:pt idx="1441">
                  <c:v>0.77803902343577813</c:v>
                </c:pt>
                <c:pt idx="1442">
                  <c:v>0.87028757984141547</c:v>
                </c:pt>
                <c:pt idx="1443">
                  <c:v>0.93176644152572452</c:v>
                </c:pt>
                <c:pt idx="1444">
                  <c:v>0.96292599889395825</c:v>
                </c:pt>
                <c:pt idx="1445">
                  <c:v>0.97281947261663282</c:v>
                </c:pt>
                <c:pt idx="1446">
                  <c:v>0.96085918233787404</c:v>
                </c:pt>
                <c:pt idx="1447">
                  <c:v>0.94783232462009126</c:v>
                </c:pt>
                <c:pt idx="1448">
                  <c:v>0.93117945774856092</c:v>
                </c:pt>
                <c:pt idx="1449">
                  <c:v>0.90908695032110076</c:v>
                </c:pt>
                <c:pt idx="1450">
                  <c:v>0.90333660451422959</c:v>
                </c:pt>
                <c:pt idx="1451">
                  <c:v>0.90281213447657871</c:v>
                </c:pt>
                <c:pt idx="1452">
                  <c:v>0.91765699383926069</c:v>
                </c:pt>
                <c:pt idx="1453">
                  <c:v>0.94526087666304004</c:v>
                </c:pt>
                <c:pt idx="1454">
                  <c:v>0.96104885189916212</c:v>
                </c:pt>
                <c:pt idx="1455">
                  <c:v>0.97754939408095409</c:v>
                </c:pt>
                <c:pt idx="1456">
                  <c:v>0.99586702249467129</c:v>
                </c:pt>
                <c:pt idx="1457">
                  <c:v>0.999249033171561</c:v>
                </c:pt>
                <c:pt idx="1458">
                  <c:v>0.99198547311775687</c:v>
                </c:pt>
                <c:pt idx="1459">
                  <c:v>0.97811764627787556</c:v>
                </c:pt>
                <c:pt idx="1460">
                  <c:v>0.97124335106382975</c:v>
                </c:pt>
                <c:pt idx="1461">
                  <c:v>0.96784505599282522</c:v>
                </c:pt>
                <c:pt idx="1462">
                  <c:v>0.9561547458629629</c:v>
                </c:pt>
                <c:pt idx="1463">
                  <c:v>0.94259040860804211</c:v>
                </c:pt>
                <c:pt idx="1464">
                  <c:v>0.92273644005782729</c:v>
                </c:pt>
                <c:pt idx="1465">
                  <c:v>0.89840498337942398</c:v>
                </c:pt>
                <c:pt idx="1466">
                  <c:v>0.89917670601823874</c:v>
                </c:pt>
                <c:pt idx="1467">
                  <c:v>0.92960579198669047</c:v>
                </c:pt>
                <c:pt idx="1468">
                  <c:v>0.97120031982176236</c:v>
                </c:pt>
                <c:pt idx="1469">
                  <c:v>1.0019696310119584</c:v>
                </c:pt>
                <c:pt idx="1470">
                  <c:v>1.0022535211267605</c:v>
                </c:pt>
                <c:pt idx="1471">
                  <c:v>0.98803723254766651</c:v>
                </c:pt>
                <c:pt idx="1472">
                  <c:v>0.96343002116459553</c:v>
                </c:pt>
                <c:pt idx="1473">
                  <c:v>0.94695189418691694</c:v>
                </c:pt>
                <c:pt idx="1474">
                  <c:v>0.94947837964160442</c:v>
                </c:pt>
                <c:pt idx="1475">
                  <c:v>0.96894798147674654</c:v>
                </c:pt>
                <c:pt idx="1476">
                  <c:v>0.99878879498761486</c:v>
                </c:pt>
                <c:pt idx="1477">
                  <c:v>1.0041610078556271</c:v>
                </c:pt>
                <c:pt idx="1478">
                  <c:v>0.99933061925714728</c:v>
                </c:pt>
                <c:pt idx="1479">
                  <c:v>0.98687635810641505</c:v>
                </c:pt>
                <c:pt idx="1480">
                  <c:v>0.96532553874369553</c:v>
                </c:pt>
                <c:pt idx="1481">
                  <c:v>0.95547142599603385</c:v>
                </c:pt>
                <c:pt idx="1482">
                  <c:v>0.96272413142602098</c:v>
                </c:pt>
                <c:pt idx="1483">
                  <c:v>0.97691831704559973</c:v>
                </c:pt>
                <c:pt idx="1484">
                  <c:v>0.99358885564420796</c:v>
                </c:pt>
                <c:pt idx="1485">
                  <c:v>1.0017634644849815</c:v>
                </c:pt>
                <c:pt idx="1486">
                  <c:v>1.0079421345529191</c:v>
                </c:pt>
                <c:pt idx="1487">
                  <c:v>1.0066019814067593</c:v>
                </c:pt>
                <c:pt idx="1488">
                  <c:v>0.99636586001004446</c:v>
                </c:pt>
                <c:pt idx="1489">
                  <c:v>0.94632319286685096</c:v>
                </c:pt>
                <c:pt idx="1490">
                  <c:v>0.87125189592812979</c:v>
                </c:pt>
                <c:pt idx="1491">
                  <c:v>0.77493194507918217</c:v>
                </c:pt>
                <c:pt idx="1492">
                  <c:v>0.72363983812949639</c:v>
                </c:pt>
                <c:pt idx="1493">
                  <c:v>0.74782602575336876</c:v>
                </c:pt>
                <c:pt idx="1494">
                  <c:v>0.81775810765708812</c:v>
                </c:pt>
                <c:pt idx="1495">
                  <c:v>0.90042678440029433</c:v>
                </c:pt>
                <c:pt idx="1496">
                  <c:v>0.96694596991828496</c:v>
                </c:pt>
                <c:pt idx="1497">
                  <c:v>1.0015704189319972</c:v>
                </c:pt>
                <c:pt idx="1498">
                  <c:v>1.0291032725791864</c:v>
                </c:pt>
                <c:pt idx="1499">
                  <c:v>1.0351546979869752</c:v>
                </c:pt>
                <c:pt idx="1500">
                  <c:v>1.0438450570342206</c:v>
                </c:pt>
                <c:pt idx="1501">
                  <c:v>1.0276903810418327</c:v>
                </c:pt>
                <c:pt idx="1502">
                  <c:v>1.0115375991680142</c:v>
                </c:pt>
                <c:pt idx="1503">
                  <c:v>0.98385610895304276</c:v>
                </c:pt>
                <c:pt idx="1504">
                  <c:v>0.9677450248041527</c:v>
                </c:pt>
                <c:pt idx="1505">
                  <c:v>0.97478336481664718</c:v>
                </c:pt>
                <c:pt idx="1506">
                  <c:v>1.00197788042355</c:v>
                </c:pt>
                <c:pt idx="1507">
                  <c:v>1.0225358793495545</c:v>
                </c:pt>
                <c:pt idx="1508">
                  <c:v>1.0267098965570478</c:v>
                </c:pt>
                <c:pt idx="1509">
                  <c:v>1.0058865542207112</c:v>
                </c:pt>
                <c:pt idx="1510">
                  <c:v>0.97893207410098071</c:v>
                </c:pt>
                <c:pt idx="1511">
                  <c:v>0.96103571554216283</c:v>
                </c:pt>
                <c:pt idx="1512">
                  <c:v>0.94586841951731782</c:v>
                </c:pt>
                <c:pt idx="1513">
                  <c:v>0.94775504139920674</c:v>
                </c:pt>
                <c:pt idx="1514">
                  <c:v>0.96331708078929779</c:v>
                </c:pt>
                <c:pt idx="1515">
                  <c:v>0.96781686481860696</c:v>
                </c:pt>
                <c:pt idx="1516">
                  <c:v>0.95243169880840384</c:v>
                </c:pt>
                <c:pt idx="1517">
                  <c:v>0.92084964119633139</c:v>
                </c:pt>
                <c:pt idx="1518">
                  <c:v>0.87949276681144517</c:v>
                </c:pt>
                <c:pt idx="1519">
                  <c:v>0.89773397946522859</c:v>
                </c:pt>
                <c:pt idx="1520">
                  <c:v>0.93691358024691362</c:v>
                </c:pt>
                <c:pt idx="1521">
                  <c:v>1.0104539961083574</c:v>
                </c:pt>
                <c:pt idx="1522">
                  <c:v>1.0714604435321939</c:v>
                </c:pt>
                <c:pt idx="1523">
                  <c:v>1.1014156889483364</c:v>
                </c:pt>
                <c:pt idx="1524">
                  <c:v>1.1005072276202612</c:v>
                </c:pt>
                <c:pt idx="1525">
                  <c:v>1.0732254746095578</c:v>
                </c:pt>
                <c:pt idx="1526">
                  <c:v>1.0324677271841312</c:v>
                </c:pt>
                <c:pt idx="1527">
                  <c:v>0.97026482595952934</c:v>
                </c:pt>
                <c:pt idx="1528">
                  <c:v>0.94626262018024532</c:v>
                </c:pt>
                <c:pt idx="1529">
                  <c:v>0.94146085762879328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0-4DB4-9A75-6BAD681E7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166383"/>
        <c:axId val="1563332399"/>
      </c:scatterChart>
      <c:valAx>
        <c:axId val="1566166383"/>
        <c:scaling>
          <c:orientation val="minMax"/>
          <c:max val="1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63332399"/>
        <c:crosses val="autoZero"/>
        <c:crossBetween val="midCat"/>
        <c:majorUnit val="155"/>
      </c:valAx>
      <c:valAx>
        <c:axId val="1563332399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6616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'ster orden1'!$W$6:$W$36</c:f>
              <c:numCache>
                <c:formatCode>General</c:formatCode>
                <c:ptCount val="31"/>
                <c:pt idx="0">
                  <c:v>6494.4587077413898</c:v>
                </c:pt>
                <c:pt idx="1">
                  <c:v>6495.6705644979747</c:v>
                </c:pt>
                <c:pt idx="2">
                  <c:v>6497.5161126298935</c:v>
                </c:pt>
                <c:pt idx="3">
                  <c:v>6499.5663071480367</c:v>
                </c:pt>
                <c:pt idx="4">
                  <c:v>6501.8533392592481</c:v>
                </c:pt>
                <c:pt idx="5">
                  <c:v>6504.7938283111553</c:v>
                </c:pt>
                <c:pt idx="6">
                  <c:v>6508.7514716165024</c:v>
                </c:pt>
                <c:pt idx="7">
                  <c:v>6532.0930106605638</c:v>
                </c:pt>
                <c:pt idx="8">
                  <c:v>6533.5180886363969</c:v>
                </c:pt>
                <c:pt idx="9">
                  <c:v>6538.5641458420696</c:v>
                </c:pt>
                <c:pt idx="10">
                  <c:v>6543.9822548352968</c:v>
                </c:pt>
                <c:pt idx="11">
                  <c:v>6546.8855673917396</c:v>
                </c:pt>
                <c:pt idx="12">
                  <c:v>6552.2708550960451</c:v>
                </c:pt>
                <c:pt idx="13">
                  <c:v>6554.8484828996379</c:v>
                </c:pt>
                <c:pt idx="14">
                  <c:v>6556.6721644082572</c:v>
                </c:pt>
                <c:pt idx="15">
                  <c:v>6566.4121362453407</c:v>
                </c:pt>
                <c:pt idx="16">
                  <c:v>6569.8818398262847</c:v>
                </c:pt>
                <c:pt idx="17">
                  <c:v>6573.4186381682348</c:v>
                </c:pt>
                <c:pt idx="18">
                  <c:v>6574.8598446636852</c:v>
                </c:pt>
                <c:pt idx="19">
                  <c:v>6577.1493920740495</c:v>
                </c:pt>
                <c:pt idx="20">
                  <c:v>6579.598430518944</c:v>
                </c:pt>
                <c:pt idx="21">
                  <c:v>6581.7909588120347</c:v>
                </c:pt>
                <c:pt idx="22">
                  <c:v>6586.9394863279012</c:v>
                </c:pt>
                <c:pt idx="23">
                  <c:v>6593.5433383396721</c:v>
                </c:pt>
                <c:pt idx="24">
                  <c:v>6594.5213333390784</c:v>
                </c:pt>
                <c:pt idx="25">
                  <c:v>6599.7096869018069</c:v>
                </c:pt>
                <c:pt idx="26">
                  <c:v>6605.2257242215464</c:v>
                </c:pt>
                <c:pt idx="27">
                  <c:v>6606.5967970188694</c:v>
                </c:pt>
                <c:pt idx="28">
                  <c:v>6608.6060800651867</c:v>
                </c:pt>
                <c:pt idx="29">
                  <c:v>6614.4173749632046</c:v>
                </c:pt>
                <c:pt idx="30">
                  <c:v>6630.6597926997065</c:v>
                </c:pt>
              </c:numCache>
            </c:numRef>
          </c:xVal>
          <c:yVal>
            <c:numRef>
              <c:f>'ster orden1'!$X$6:$X$36</c:f>
              <c:numCache>
                <c:formatCode>General</c:formatCode>
                <c:ptCount val="31"/>
                <c:pt idx="0">
                  <c:v>31.3087741050877</c:v>
                </c:pt>
                <c:pt idx="1">
                  <c:v>31.896841775114204</c:v>
                </c:pt>
                <c:pt idx="2">
                  <c:v>28.49571602820955</c:v>
                </c:pt>
                <c:pt idx="3">
                  <c:v>29.008146763653819</c:v>
                </c:pt>
                <c:pt idx="4">
                  <c:v>30.840804833953683</c:v>
                </c:pt>
                <c:pt idx="5">
                  <c:v>28.990421468355621</c:v>
                </c:pt>
                <c:pt idx="6">
                  <c:v>29.085430263720013</c:v>
                </c:pt>
                <c:pt idx="7">
                  <c:v>30.880448134262828</c:v>
                </c:pt>
                <c:pt idx="8">
                  <c:v>29.618911611684062</c:v>
                </c:pt>
                <c:pt idx="9">
                  <c:v>29.511484250210884</c:v>
                </c:pt>
                <c:pt idx="10">
                  <c:v>21.940302500200737</c:v>
                </c:pt>
                <c:pt idx="11">
                  <c:v>28.989135849477599</c:v>
                </c:pt>
                <c:pt idx="12">
                  <c:v>27.206246122224442</c:v>
                </c:pt>
                <c:pt idx="13">
                  <c:v>28.629613287689537</c:v>
                </c:pt>
                <c:pt idx="14">
                  <c:v>27.929773706070193</c:v>
                </c:pt>
                <c:pt idx="15">
                  <c:v>24.176622337379605</c:v>
                </c:pt>
                <c:pt idx="16">
                  <c:v>30.475781828331883</c:v>
                </c:pt>
                <c:pt idx="17">
                  <c:v>27.049468595463644</c:v>
                </c:pt>
                <c:pt idx="18">
                  <c:v>28.914946538582953</c:v>
                </c:pt>
                <c:pt idx="19">
                  <c:v>26.886034981021822</c:v>
                </c:pt>
                <c:pt idx="20">
                  <c:v>29.048529709108095</c:v>
                </c:pt>
                <c:pt idx="21">
                  <c:v>26.537319954100802</c:v>
                </c:pt>
                <c:pt idx="22">
                  <c:v>28.677043934766111</c:v>
                </c:pt>
                <c:pt idx="23">
                  <c:v>28.7280494418507</c:v>
                </c:pt>
                <c:pt idx="24">
                  <c:v>29.674535353363396</c:v>
                </c:pt>
                <c:pt idx="25">
                  <c:v>27.498588981678118</c:v>
                </c:pt>
                <c:pt idx="26">
                  <c:v>28.376773474136918</c:v>
                </c:pt>
                <c:pt idx="27">
                  <c:v>28.296979998709837</c:v>
                </c:pt>
                <c:pt idx="28">
                  <c:v>26.39881509458597</c:v>
                </c:pt>
                <c:pt idx="29">
                  <c:v>26.8925322952418</c:v>
                </c:pt>
                <c:pt idx="30">
                  <c:v>29.402340254702786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B7-44CE-889D-A2187EF89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41040"/>
        <c:axId val="1907160800"/>
      </c:scatterChart>
      <c:valAx>
        <c:axId val="207434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7160800"/>
        <c:crosses val="autoZero"/>
        <c:crossBetween val="midCat"/>
      </c:valAx>
      <c:valAx>
        <c:axId val="19071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434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0.1477138374462969"/>
                  <c:y val="0.77189505818210491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'ster orden1'!$F$763:$F$772</c:f>
              <c:numCache>
                <c:formatCode>General</c:formatCode>
                <c:ptCount val="10"/>
                <c:pt idx="0">
                  <c:v>-0.27749257293817209</c:v>
                </c:pt>
                <c:pt idx="1">
                  <c:v>-0.18499552802313701</c:v>
                </c:pt>
                <c:pt idx="2">
                  <c:v>-9.2498004279150337E-2</c:v>
                </c:pt>
                <c:pt idx="3">
                  <c:v>0</c:v>
                </c:pt>
                <c:pt idx="4">
                  <c:v>9.2498486489603238E-2</c:v>
                </c:pt>
                <c:pt idx="5">
                  <c:v>0.18499745683584479</c:v>
                </c:pt>
                <c:pt idx="6">
                  <c:v>0.27749691265034926</c:v>
                </c:pt>
                <c:pt idx="7">
                  <c:v>0.36999685551654693</c:v>
                </c:pt>
                <c:pt idx="8">
                  <c:v>0.46249728698512627</c:v>
                </c:pt>
                <c:pt idx="9">
                  <c:v>0.55499820857585291</c:v>
                </c:pt>
              </c:numCache>
            </c:numRef>
          </c:xVal>
          <c:yVal>
            <c:numRef>
              <c:f>'ster orden1'!$G$763:$G$772</c:f>
              <c:numCache>
                <c:formatCode>General</c:formatCode>
                <c:ptCount val="10"/>
                <c:pt idx="0">
                  <c:v>0.23973993188955389</c:v>
                </c:pt>
                <c:pt idx="1">
                  <c:v>0.20208527978090682</c:v>
                </c:pt>
                <c:pt idx="2">
                  <c:v>0.18307201891629099</c:v>
                </c:pt>
                <c:pt idx="3">
                  <c:v>0.17935392530948394</c:v>
                </c:pt>
                <c:pt idx="4">
                  <c:v>0.18257678101284358</c:v>
                </c:pt>
                <c:pt idx="5">
                  <c:v>0.192189342246222</c:v>
                </c:pt>
                <c:pt idx="6">
                  <c:v>0.20888363302792853</c:v>
                </c:pt>
                <c:pt idx="7">
                  <c:v>0.22830908283302212</c:v>
                </c:pt>
                <c:pt idx="8">
                  <c:v>0.24822107081174438</c:v>
                </c:pt>
                <c:pt idx="9">
                  <c:v>0.2685506898926972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62-428F-884E-D7658C4CF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917615"/>
        <c:axId val="1278916655"/>
      </c:scatterChart>
      <c:valAx>
        <c:axId val="127891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8916655"/>
        <c:crosses val="autoZero"/>
        <c:crossBetween val="midCat"/>
      </c:valAx>
      <c:valAx>
        <c:axId val="127891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891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561976</xdr:colOff>
      <xdr:row>20</xdr:row>
      <xdr:rowOff>66675</xdr:rowOff>
    </xdr:from>
    <xdr:to>
      <xdr:col>11</xdr:col>
      <xdr:colOff>409576</xdr:colOff>
      <xdr:row>44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7AC230-16F2-4300-9816-A93C52B6B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533400</xdr:colOff>
      <xdr:row>10</xdr:row>
      <xdr:rowOff>71437</xdr:rowOff>
    </xdr:from>
    <xdr:to>
      <xdr:col>43</xdr:col>
      <xdr:colOff>533400</xdr:colOff>
      <xdr:row>24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8AA071-42FD-46BA-8928-858A09646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361950</xdr:colOff>
      <xdr:row>30</xdr:row>
      <xdr:rowOff>100012</xdr:rowOff>
    </xdr:from>
    <xdr:to>
      <xdr:col>27</xdr:col>
      <xdr:colOff>361950</xdr:colOff>
      <xdr:row>44</xdr:row>
      <xdr:rowOff>176212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106AB1-901C-4FF8-A408-57C2A7F13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533400</xdr:colOff>
      <xdr:row>33</xdr:row>
      <xdr:rowOff>138112</xdr:rowOff>
    </xdr:from>
    <xdr:to>
      <xdr:col>38</xdr:col>
      <xdr:colOff>495300</xdr:colOff>
      <xdr:row>48</xdr:row>
      <xdr:rowOff>23812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EF9A165-9072-4DB8-A892-C2D4F3174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0</xdr:row>
      <xdr:rowOff>61913</xdr:rowOff>
    </xdr:from>
    <xdr:to>
      <xdr:col>8</xdr:col>
      <xdr:colOff>676275</xdr:colOff>
      <xdr:row>20</xdr:row>
      <xdr:rowOff>19051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3D71F6-1A55-4D9E-A2A4-EA398A01A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495301</xdr:colOff>
      <xdr:row>6</xdr:row>
      <xdr:rowOff>9525</xdr:rowOff>
    </xdr:from>
    <xdr:to>
      <xdr:col>45</xdr:col>
      <xdr:colOff>133351</xdr:colOff>
      <xdr:row>29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B01727-4FAA-4C86-8E2B-C4F431D38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123825</xdr:colOff>
      <xdr:row>14</xdr:row>
      <xdr:rowOff>80962</xdr:rowOff>
    </xdr:from>
    <xdr:to>
      <xdr:col>30</xdr:col>
      <xdr:colOff>123825</xdr:colOff>
      <xdr:row>28</xdr:row>
      <xdr:rowOff>128587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F5CB857-D1F9-4189-B09E-DB30241C3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238124</xdr:colOff>
      <xdr:row>738</xdr:row>
      <xdr:rowOff>76200</xdr:rowOff>
    </xdr:from>
    <xdr:to>
      <xdr:col>18</xdr:col>
      <xdr:colOff>380999</xdr:colOff>
      <xdr:row>761</xdr:row>
      <xdr:rowOff>85726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971D77F-DC1C-91ED-06EE-BCCF84B8D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30"/>
  <sheetViews>
    <sheetView workbookViewId="0">
      <selection activeCell="E4" sqref="E4"/>
    </sheetView>
  </sheetViews>
  <sheetFormatPr baseColWidth="10" defaultRowHeight="15"/>
  <cols>
    <col min="35" max="35" width="12" bestFit="1" customWidth="1"/>
  </cols>
  <sheetData>
    <row r="1" spans="1:37">
      <c r="A1">
        <v>0</v>
      </c>
      <c r="B1">
        <v>133</v>
      </c>
      <c r="C1">
        <f xml:space="preserve"> -0.0002123656*A1*A1 + 0.2323925*A1 + 150</f>
        <v>150</v>
      </c>
      <c r="D1">
        <f>B1-C1</f>
        <v>-17</v>
      </c>
    </row>
    <row r="2" spans="1:37">
      <c r="A2">
        <v>1</v>
      </c>
      <c r="B2">
        <v>131</v>
      </c>
      <c r="C2">
        <f t="shared" ref="C2:C65" si="0" xml:space="preserve"> -0.0002123656*A2*A2 + 0.2323925*A2 + 150</f>
        <v>150.23218013440001</v>
      </c>
      <c r="D2">
        <f t="shared" ref="D2:D65" si="1">B2-C2</f>
        <v>-19.232180134400011</v>
      </c>
    </row>
    <row r="3" spans="1:37">
      <c r="A3">
        <v>2</v>
      </c>
      <c r="B3">
        <v>137</v>
      </c>
      <c r="C3">
        <f t="shared" si="0"/>
        <v>150.46393553760001</v>
      </c>
      <c r="D3">
        <f t="shared" si="1"/>
        <v>-13.463935537600008</v>
      </c>
      <c r="Q3" s="1" t="s">
        <v>0</v>
      </c>
      <c r="R3" s="1"/>
    </row>
    <row r="4" spans="1:37">
      <c r="A4">
        <v>3</v>
      </c>
      <c r="B4">
        <v>134</v>
      </c>
      <c r="C4">
        <f t="shared" si="0"/>
        <v>150.69526620959999</v>
      </c>
      <c r="D4">
        <f t="shared" si="1"/>
        <v>-16.695266209599993</v>
      </c>
      <c r="Q4" s="1"/>
      <c r="R4" s="1"/>
    </row>
    <row r="5" spans="1:37">
      <c r="A5">
        <v>4</v>
      </c>
      <c r="B5">
        <v>161</v>
      </c>
      <c r="C5">
        <f t="shared" si="0"/>
        <v>150.92617215039999</v>
      </c>
      <c r="D5">
        <f t="shared" si="1"/>
        <v>10.073827849600008</v>
      </c>
      <c r="Q5" s="1" t="s">
        <v>1</v>
      </c>
      <c r="R5" s="1"/>
    </row>
    <row r="6" spans="1:37">
      <c r="A6">
        <v>5</v>
      </c>
      <c r="B6">
        <v>181</v>
      </c>
      <c r="C6">
        <f t="shared" si="0"/>
        <v>151.15665336000001</v>
      </c>
      <c r="D6">
        <f t="shared" si="1"/>
        <v>29.843346639999993</v>
      </c>
    </row>
    <row r="7" spans="1:37">
      <c r="A7">
        <v>6</v>
      </c>
      <c r="B7">
        <v>271</v>
      </c>
      <c r="C7">
        <f t="shared" si="0"/>
        <v>151.38670983840001</v>
      </c>
      <c r="D7">
        <f t="shared" si="1"/>
        <v>119.61329016159999</v>
      </c>
    </row>
    <row r="8" spans="1:37">
      <c r="A8">
        <v>7</v>
      </c>
      <c r="B8">
        <v>589</v>
      </c>
      <c r="C8">
        <f t="shared" si="0"/>
        <v>151.6163415856</v>
      </c>
      <c r="D8">
        <f t="shared" si="1"/>
        <v>437.38365841439997</v>
      </c>
      <c r="P8" t="s">
        <v>13</v>
      </c>
      <c r="Q8" s="2" t="s">
        <v>6</v>
      </c>
      <c r="W8" t="s">
        <v>35</v>
      </c>
      <c r="X8" t="s">
        <v>36</v>
      </c>
      <c r="Y8" t="s">
        <v>41</v>
      </c>
      <c r="Z8" t="s">
        <v>37</v>
      </c>
      <c r="AA8" t="s">
        <v>40</v>
      </c>
      <c r="AC8" t="s">
        <v>39</v>
      </c>
      <c r="AD8" t="s">
        <v>99</v>
      </c>
      <c r="AE8" t="s">
        <v>38</v>
      </c>
      <c r="AF8" s="2" t="s">
        <v>6</v>
      </c>
      <c r="AG8" t="s">
        <v>44</v>
      </c>
      <c r="AH8" t="s">
        <v>45</v>
      </c>
      <c r="AJ8" t="s">
        <v>42</v>
      </c>
      <c r="AK8" t="s">
        <v>43</v>
      </c>
    </row>
    <row r="9" spans="1:37">
      <c r="A9">
        <v>8</v>
      </c>
      <c r="B9">
        <v>1023</v>
      </c>
      <c r="C9">
        <f t="shared" si="0"/>
        <v>151.8455486016</v>
      </c>
      <c r="D9">
        <f t="shared" si="1"/>
        <v>871.15445139839994</v>
      </c>
    </row>
    <row r="10" spans="1:37" ht="17.25" customHeight="1">
      <c r="A10">
        <v>9</v>
      </c>
      <c r="B10">
        <v>1480</v>
      </c>
      <c r="C10">
        <f t="shared" si="0"/>
        <v>152.07433088639999</v>
      </c>
      <c r="D10">
        <f t="shared" si="1"/>
        <v>1327.9256691136</v>
      </c>
      <c r="I10" s="3"/>
      <c r="P10" s="3">
        <v>10</v>
      </c>
      <c r="Q10">
        <v>6493.1971999999996</v>
      </c>
      <c r="R10" s="3" t="s">
        <v>2</v>
      </c>
      <c r="T10">
        <f xml:space="preserve"> -0.0000001170177682808*P10*P10 + 0.0927507620537*P10 + 6492.246527128</f>
        <v>6493.1740230467603</v>
      </c>
      <c r="U10">
        <f>Q10-T10</f>
        <v>2.3176953239271825E-2</v>
      </c>
      <c r="W10">
        <v>10.5</v>
      </c>
      <c r="X10">
        <v>-4.8999999999999998E-3</v>
      </c>
      <c r="Y10">
        <v>-0.1178</v>
      </c>
      <c r="Z10">
        <v>-2.07E-2</v>
      </c>
      <c r="AA10">
        <v>7.5327000000000002</v>
      </c>
      <c r="AC10">
        <f t="shared" ref="AC10:AC30" si="2">W10+(-2*Y10-SQRT(4*Y10*Y10-12*X10*Z10))/(6*X10)</f>
        <v>10.411652214049873</v>
      </c>
      <c r="AD10">
        <f>2.788-0.0002348*AC10+0.0000001013*AC10*AC10</f>
        <v>2.7855663252335758</v>
      </c>
      <c r="AE10">
        <f>AC10-AD10</f>
        <v>7.6260858888162968</v>
      </c>
      <c r="AF10">
        <v>6493.1971999999996</v>
      </c>
      <c r="AG10">
        <f xml:space="preserve"> -9.75434121157164E-14*AE10*AE10*AE10*AE10 + 4.20038617905282E-10*AE10*AE10*AE10 - 6.30566834487719E-07*AE10*AE10 + 0.0929307505683971*AE10+ 6492.48207749488</f>
        <v>6493.1907388943964</v>
      </c>
      <c r="AH10">
        <f>AF10-AG10</f>
        <v>6.4611056031935732E-3</v>
      </c>
      <c r="AJ10">
        <f xml:space="preserve"> 1.39394098683175E-18*AE10*AE10*AE10*AE10*AE10*AE10 - 6.58044383788171E-15*AE10*AE10*AE10*AE10*AE10 + 1.16354508506345E-11*AE10*AE10*AE10*AE10 - 9.29864698195214E-09*AE10*AE10*AE10 + 3.02469198127472E-06*AE10*AE10 + 0.0924365570558958*AE10 + 6492.49282015586</f>
        <v>6493.1979211019343</v>
      </c>
      <c r="AK10">
        <f>AF10-AJ10</f>
        <v>-7.2110193468688522E-4</v>
      </c>
    </row>
    <row r="11" spans="1:37" ht="17.25">
      <c r="A11">
        <v>10</v>
      </c>
      <c r="B11">
        <v>1842</v>
      </c>
      <c r="C11">
        <f t="shared" si="0"/>
        <v>152.30268844</v>
      </c>
      <c r="D11">
        <f t="shared" si="1"/>
        <v>1689.6973115599999</v>
      </c>
      <c r="F11">
        <v>10.5</v>
      </c>
      <c r="G11" t="s">
        <v>14</v>
      </c>
      <c r="I11" s="3"/>
      <c r="P11" s="3">
        <v>19</v>
      </c>
      <c r="Q11">
        <v>6493.9690000000001</v>
      </c>
      <c r="R11" s="3" t="s">
        <v>3</v>
      </c>
      <c r="T11">
        <f t="shared" ref="T11:T36" si="3" xml:space="preserve"> -0.0000001170177682808*P11*P11 + 0.0927507620537*P11 + 6492.246527128</f>
        <v>6494.0087493636056</v>
      </c>
      <c r="U11">
        <f t="shared" ref="U11:U36" si="4">Q11-T11</f>
        <v>-3.974936360555148E-2</v>
      </c>
      <c r="W11">
        <v>18.5</v>
      </c>
      <c r="X11">
        <v>-7.4999999999999997E-3</v>
      </c>
      <c r="Y11">
        <v>-0.1075</v>
      </c>
      <c r="Z11">
        <v>4.9399999999999999E-2</v>
      </c>
      <c r="AA11">
        <v>7.0494000000000003</v>
      </c>
      <c r="AC11">
        <f t="shared" si="2"/>
        <v>18.724493311375898</v>
      </c>
      <c r="AD11">
        <f t="shared" ref="AD11:AD30" si="5">2.788-0.0002348*AC11+0.0000001013*AC11*AC11</f>
        <v>2.7836390054241105</v>
      </c>
      <c r="AE11">
        <f t="shared" ref="AE11:AE30" si="6">AC11-AD11</f>
        <v>15.940854305951788</v>
      </c>
      <c r="AF11">
        <v>6493.9690000000001</v>
      </c>
      <c r="AG11">
        <f t="shared" ref="AG11:AG30" si="7" xml:space="preserve"> -9.75434121157164E-14*AE11*AE11*AE11*AE11 + 4.20038617905282E-10*AE11*AE11*AE11 - 6.30566834487719E-07*AE11*AE11 + 0.0929307505683971*AE11+ 6492.48207749488</f>
        <v>6493.9633145115386</v>
      </c>
      <c r="AH11">
        <f t="shared" ref="AH11:AH30" si="8">AF11-AG11</f>
        <v>5.6854884614949697E-3</v>
      </c>
      <c r="AJ11">
        <f t="shared" ref="AJ11:AJ30" si="9" xml:space="preserve"> 1.39394098683175E-18*AE11*AE11*AE11*AE11*AE11*AE11 - 6.58044383788171E-15*AE11*AE11*AE11*AE11*AE11 + 1.16354508506345E-11*AE11*AE11*AE11*AE11 - 9.29864698195214E-09*AE11*AE11*AE11 + 3.02469198127472E-06*AE11*AE11 + 0.0924365570558958*AE11 + 6492.49282015586</f>
        <v>6493.9670695295799</v>
      </c>
      <c r="AK11">
        <f t="shared" ref="AK11:AK30" si="10">AF11-AJ11</f>
        <v>1.9304704201204004E-3</v>
      </c>
    </row>
    <row r="12" spans="1:37">
      <c r="A12">
        <v>11</v>
      </c>
      <c r="B12">
        <v>1834</v>
      </c>
      <c r="C12">
        <f t="shared" si="0"/>
        <v>152.53062126239999</v>
      </c>
      <c r="D12">
        <f t="shared" si="1"/>
        <v>1681.4693787376</v>
      </c>
      <c r="I12" s="3"/>
      <c r="P12" s="3">
        <v>74</v>
      </c>
      <c r="R12" s="3"/>
      <c r="S12" s="5" t="s">
        <v>8</v>
      </c>
      <c r="T12">
        <f t="shared" si="3"/>
        <v>6499.1094427306743</v>
      </c>
      <c r="W12">
        <v>105</v>
      </c>
      <c r="X12">
        <v>-7.1000000000000004E-3</v>
      </c>
      <c r="Y12">
        <v>-9.6199999999999994E-2</v>
      </c>
      <c r="Z12">
        <v>7.7899999999999997E-2</v>
      </c>
      <c r="AA12">
        <v>7.3226000000000004</v>
      </c>
      <c r="AC12">
        <f t="shared" si="2"/>
        <v>105.38820203978835</v>
      </c>
      <c r="AD12">
        <f t="shared" si="5"/>
        <v>2.7643799561490434</v>
      </c>
      <c r="AE12">
        <f t="shared" si="6"/>
        <v>102.62382208363931</v>
      </c>
      <c r="AF12">
        <v>6501.9916899999998</v>
      </c>
      <c r="AG12">
        <f t="shared" si="7"/>
        <v>6502.0127885566617</v>
      </c>
      <c r="AH12">
        <f t="shared" si="8"/>
        <v>-2.1098556661854673E-2</v>
      </c>
      <c r="AJ12">
        <f t="shared" si="9"/>
        <v>6502.0020352545998</v>
      </c>
      <c r="AK12">
        <f t="shared" si="10"/>
        <v>-1.0345254599997133E-2</v>
      </c>
    </row>
    <row r="13" spans="1:37">
      <c r="A13">
        <v>12</v>
      </c>
      <c r="B13">
        <v>1334</v>
      </c>
      <c r="C13">
        <f t="shared" si="0"/>
        <v>152.7581293536</v>
      </c>
      <c r="D13">
        <f t="shared" si="1"/>
        <v>1181.2418706464</v>
      </c>
      <c r="I13" s="3"/>
      <c r="P13" s="3">
        <v>105</v>
      </c>
      <c r="Q13">
        <v>6501.9916899999998</v>
      </c>
      <c r="R13" s="3" t="s">
        <v>2</v>
      </c>
      <c r="T13">
        <f t="shared" si="3"/>
        <v>6501.9840670227431</v>
      </c>
      <c r="U13">
        <f t="shared" si="4"/>
        <v>7.6229772566875909E-3</v>
      </c>
      <c r="W13">
        <v>159</v>
      </c>
      <c r="X13">
        <v>-1E-4</v>
      </c>
      <c r="Y13">
        <v>-0.13220000000000001</v>
      </c>
      <c r="Z13">
        <v>-1.9900000000000001E-2</v>
      </c>
      <c r="AA13">
        <v>7.5049000000000001</v>
      </c>
      <c r="AC13">
        <f t="shared" si="2"/>
        <v>158.92472882100941</v>
      </c>
      <c r="AD13">
        <f t="shared" si="5"/>
        <v>2.75324301480617</v>
      </c>
      <c r="AE13">
        <f t="shared" si="6"/>
        <v>156.17148580620324</v>
      </c>
      <c r="AF13">
        <v>6506.9870199999996</v>
      </c>
      <c r="AG13">
        <f t="shared" si="7"/>
        <v>6506.9813735399221</v>
      </c>
      <c r="AH13">
        <f t="shared" si="8"/>
        <v>5.6464600775143481E-3</v>
      </c>
      <c r="AJ13">
        <f t="shared" si="9"/>
        <v>6506.9734576112533</v>
      </c>
      <c r="AK13">
        <f t="shared" si="10"/>
        <v>1.356238874632254E-2</v>
      </c>
    </row>
    <row r="14" spans="1:37">
      <c r="A14">
        <v>13</v>
      </c>
      <c r="B14">
        <v>793</v>
      </c>
      <c r="C14">
        <f t="shared" si="0"/>
        <v>152.98521271359999</v>
      </c>
      <c r="D14">
        <f t="shared" si="1"/>
        <v>640.01478728639995</v>
      </c>
      <c r="I14" s="3"/>
      <c r="P14" s="3">
        <v>159</v>
      </c>
      <c r="Q14">
        <v>6506.9870199999996</v>
      </c>
      <c r="R14" s="3" t="s">
        <v>2</v>
      </c>
      <c r="T14">
        <f t="shared" si="3"/>
        <v>6506.9909399683384</v>
      </c>
      <c r="U14">
        <f t="shared" si="4"/>
        <v>-3.919968338777835E-3</v>
      </c>
      <c r="W14">
        <v>181</v>
      </c>
      <c r="X14">
        <v>-6.0000000000000001E-3</v>
      </c>
      <c r="Y14">
        <v>-0.14879999999999999</v>
      </c>
      <c r="Z14">
        <v>7.4999999999999997E-2</v>
      </c>
      <c r="AA14">
        <v>7.8364000000000003</v>
      </c>
      <c r="AC14">
        <f t="shared" si="2"/>
        <v>181.24828749906109</v>
      </c>
      <c r="AD14">
        <f t="shared" si="5"/>
        <v>2.7487707024915924</v>
      </c>
      <c r="AE14">
        <f t="shared" si="6"/>
        <v>178.49951679656951</v>
      </c>
      <c r="AF14">
        <v>6509.0502200000001</v>
      </c>
      <c r="AG14">
        <f t="shared" si="7"/>
        <v>6509.0523702853625</v>
      </c>
      <c r="AH14">
        <f t="shared" si="8"/>
        <v>-2.1502853624042473E-3</v>
      </c>
      <c r="AJ14">
        <f t="shared" si="9"/>
        <v>6509.0468539458934</v>
      </c>
      <c r="AK14">
        <f t="shared" si="10"/>
        <v>3.3660541066637961E-3</v>
      </c>
    </row>
    <row r="15" spans="1:37">
      <c r="A15">
        <v>14</v>
      </c>
      <c r="B15">
        <v>420</v>
      </c>
      <c r="C15">
        <f t="shared" si="0"/>
        <v>153.2118713424</v>
      </c>
      <c r="D15">
        <f t="shared" si="1"/>
        <v>266.7881286576</v>
      </c>
      <c r="I15" s="3"/>
      <c r="P15" s="3">
        <v>172.5</v>
      </c>
      <c r="R15" s="3"/>
      <c r="S15" s="5" t="s">
        <v>8</v>
      </c>
      <c r="T15">
        <f t="shared" si="3"/>
        <v>6508.2425515722953</v>
      </c>
      <c r="W15">
        <v>217</v>
      </c>
      <c r="X15">
        <v>1.6999999999999999E-3</v>
      </c>
      <c r="Y15">
        <v>-0.1724</v>
      </c>
      <c r="Z15">
        <v>-2.7099999999999999E-2</v>
      </c>
      <c r="AA15">
        <v>9.0911000000000008</v>
      </c>
      <c r="AC15">
        <f t="shared" si="2"/>
        <v>216.92149487117686</v>
      </c>
      <c r="AD15">
        <f t="shared" si="5"/>
        <v>2.74183349791338</v>
      </c>
      <c r="AE15">
        <f t="shared" si="6"/>
        <v>214.17966137326349</v>
      </c>
      <c r="AF15">
        <v>6512.3636900000001</v>
      </c>
      <c r="AG15">
        <f t="shared" si="7"/>
        <v>6512.3609498727137</v>
      </c>
      <c r="AH15">
        <f t="shared" si="8"/>
        <v>2.7401272864153725E-3</v>
      </c>
      <c r="AJ15">
        <f t="shared" si="9"/>
        <v>6512.3598959710771</v>
      </c>
      <c r="AK15">
        <f t="shared" si="10"/>
        <v>3.79402892303915E-3</v>
      </c>
    </row>
    <row r="16" spans="1:37">
      <c r="A16">
        <v>15</v>
      </c>
      <c r="B16">
        <v>400</v>
      </c>
      <c r="C16">
        <f t="shared" si="0"/>
        <v>153.43810524</v>
      </c>
      <c r="D16">
        <f t="shared" si="1"/>
        <v>246.56189476</v>
      </c>
      <c r="I16" s="3"/>
      <c r="P16" s="3">
        <v>181</v>
      </c>
      <c r="Q16">
        <v>6509.0502200000001</v>
      </c>
      <c r="R16" s="3" t="s">
        <v>2</v>
      </c>
      <c r="T16">
        <f t="shared" si="3"/>
        <v>6509.0305814406129</v>
      </c>
      <c r="U16">
        <f t="shared" si="4"/>
        <v>1.9638559387203713E-2</v>
      </c>
      <c r="W16">
        <v>233</v>
      </c>
      <c r="X16">
        <v>-5.1000000000000004E-3</v>
      </c>
      <c r="Y16">
        <v>-0.1071</v>
      </c>
      <c r="Z16">
        <v>9.1000000000000004E-3</v>
      </c>
      <c r="AA16">
        <v>7.0182000000000002</v>
      </c>
      <c r="AC16">
        <f t="shared" si="2"/>
        <v>233.04235551799468</v>
      </c>
      <c r="AD16">
        <f t="shared" si="5"/>
        <v>2.7387831302322172</v>
      </c>
      <c r="AE16">
        <f t="shared" si="6"/>
        <v>230.30357238776247</v>
      </c>
      <c r="AF16">
        <v>6513.8459999999995</v>
      </c>
      <c r="AG16">
        <f t="shared" si="7"/>
        <v>6513.8557726996823</v>
      </c>
      <c r="AH16">
        <f t="shared" si="8"/>
        <v>-9.7726996827987023E-3</v>
      </c>
      <c r="AJ16">
        <f t="shared" si="9"/>
        <v>6513.8568106942366</v>
      </c>
      <c r="AK16">
        <f t="shared" si="10"/>
        <v>-1.0810694237079588E-2</v>
      </c>
    </row>
    <row r="17" spans="1:39">
      <c r="A17">
        <v>16</v>
      </c>
      <c r="B17">
        <v>588</v>
      </c>
      <c r="C17">
        <f t="shared" si="0"/>
        <v>153.66391440640001</v>
      </c>
      <c r="D17">
        <f t="shared" si="1"/>
        <v>434.33608559359999</v>
      </c>
      <c r="I17" s="3"/>
      <c r="P17" s="3">
        <v>217</v>
      </c>
      <c r="Q17">
        <v>6512.3636900000001</v>
      </c>
      <c r="R17" s="3" t="s">
        <v>2</v>
      </c>
      <c r="T17">
        <f t="shared" si="3"/>
        <v>6512.3679322439621</v>
      </c>
      <c r="U17">
        <f t="shared" si="4"/>
        <v>-4.2422439619258512E-3</v>
      </c>
      <c r="W17">
        <v>321.5</v>
      </c>
      <c r="X17">
        <v>1.5E-3</v>
      </c>
      <c r="Y17">
        <v>-0.1288</v>
      </c>
      <c r="Z17">
        <v>-5.2999999999999999E-2</v>
      </c>
      <c r="AA17">
        <v>7.7282999999999999</v>
      </c>
      <c r="AC17">
        <f t="shared" si="2"/>
        <v>321.29498887047566</v>
      </c>
      <c r="AD17">
        <f t="shared" si="5"/>
        <v>2.7230171832113754</v>
      </c>
      <c r="AE17">
        <f t="shared" si="6"/>
        <v>318.57197168726429</v>
      </c>
      <c r="AF17">
        <v>6522.0434599999999</v>
      </c>
      <c r="AG17">
        <f t="shared" si="7"/>
        <v>6522.0357906017862</v>
      </c>
      <c r="AH17">
        <f t="shared" si="8"/>
        <v>7.6693982136930572E-3</v>
      </c>
      <c r="AJ17">
        <f t="shared" si="9"/>
        <v>6522.0465579388501</v>
      </c>
      <c r="AK17">
        <f t="shared" si="10"/>
        <v>-3.0979388502601068E-3</v>
      </c>
    </row>
    <row r="18" spans="1:39">
      <c r="A18">
        <v>17</v>
      </c>
      <c r="B18">
        <v>847</v>
      </c>
      <c r="C18">
        <f t="shared" si="0"/>
        <v>153.88929884160001</v>
      </c>
      <c r="D18">
        <f t="shared" si="1"/>
        <v>693.11070115839993</v>
      </c>
      <c r="I18" s="3"/>
      <c r="P18" s="3">
        <v>233</v>
      </c>
      <c r="Q18">
        <v>6513.8459999999995</v>
      </c>
      <c r="R18" s="3" t="s">
        <v>3</v>
      </c>
      <c r="T18">
        <f t="shared" si="3"/>
        <v>6513.8511019088901</v>
      </c>
      <c r="U18">
        <f t="shared" si="4"/>
        <v>-5.101908890537743E-3</v>
      </c>
      <c r="W18">
        <v>495</v>
      </c>
      <c r="X18">
        <v>3.3E-3</v>
      </c>
      <c r="Y18">
        <v>-0.2077</v>
      </c>
      <c r="Z18">
        <v>-0.11550000000000001</v>
      </c>
      <c r="AA18">
        <v>9.3042999999999996</v>
      </c>
      <c r="AC18">
        <f t="shared" si="2"/>
        <v>494.72377318822885</v>
      </c>
      <c r="AD18">
        <f t="shared" si="5"/>
        <v>2.6966321963264486</v>
      </c>
      <c r="AE18">
        <f t="shared" si="6"/>
        <v>492.0271409919024</v>
      </c>
      <c r="AF18">
        <v>6538.1120000000001</v>
      </c>
      <c r="AG18">
        <f t="shared" si="7"/>
        <v>6538.0981908040449</v>
      </c>
      <c r="AH18">
        <f t="shared" si="8"/>
        <v>1.3809195955218456E-2</v>
      </c>
      <c r="AJ18">
        <f t="shared" si="9"/>
        <v>6538.110703813908</v>
      </c>
      <c r="AK18">
        <f t="shared" si="10"/>
        <v>1.2961860920768231E-3</v>
      </c>
    </row>
    <row r="19" spans="1:39" ht="17.25">
      <c r="A19">
        <v>18</v>
      </c>
      <c r="B19">
        <v>1111</v>
      </c>
      <c r="C19">
        <f t="shared" si="0"/>
        <v>154.11425854559999</v>
      </c>
      <c r="D19">
        <f t="shared" si="1"/>
        <v>956.88574145439998</v>
      </c>
      <c r="F19">
        <v>18.5</v>
      </c>
      <c r="G19" t="s">
        <v>15</v>
      </c>
      <c r="I19" s="3"/>
      <c r="P19" s="3">
        <v>321</v>
      </c>
      <c r="Q19">
        <v>6522.0434599999999</v>
      </c>
      <c r="R19" s="3" t="s">
        <v>2</v>
      </c>
      <c r="T19">
        <f t="shared" si="3"/>
        <v>6522.007464119376</v>
      </c>
      <c r="U19">
        <f t="shared" si="4"/>
        <v>3.5995880623886478E-2</v>
      </c>
      <c r="W19">
        <v>641.5</v>
      </c>
      <c r="X19">
        <v>-8.0999999999999996E-3</v>
      </c>
      <c r="Y19">
        <v>-0.1389</v>
      </c>
      <c r="Z19">
        <v>3.1300000000000001E-2</v>
      </c>
      <c r="AA19">
        <v>7.4069000000000003</v>
      </c>
      <c r="AC19">
        <f t="shared" si="2"/>
        <v>641.61158190188576</v>
      </c>
      <c r="AD19">
        <f t="shared" si="5"/>
        <v>2.6790513078211413</v>
      </c>
      <c r="AE19">
        <f t="shared" si="6"/>
        <v>638.93253059406459</v>
      </c>
      <c r="AF19">
        <v>6551.7053900000001</v>
      </c>
      <c r="AG19">
        <f t="shared" si="7"/>
        <v>6551.6944422087781</v>
      </c>
      <c r="AH19">
        <f t="shared" si="8"/>
        <v>1.0947791221951775E-2</v>
      </c>
      <c r="AJ19">
        <f t="shared" si="9"/>
        <v>6551.6961729943523</v>
      </c>
      <c r="AK19">
        <f t="shared" si="10"/>
        <v>9.2170056477698381E-3</v>
      </c>
    </row>
    <row r="20" spans="1:39">
      <c r="A20">
        <v>19</v>
      </c>
      <c r="B20">
        <v>1155</v>
      </c>
      <c r="C20">
        <f t="shared" si="0"/>
        <v>154.3387935184</v>
      </c>
      <c r="D20">
        <f t="shared" si="1"/>
        <v>1000.6612064815999</v>
      </c>
      <c r="I20" s="3"/>
      <c r="P20" s="3">
        <v>422</v>
      </c>
      <c r="Q20">
        <v>6531.3416999999999</v>
      </c>
      <c r="R20" s="3" t="s">
        <v>2</v>
      </c>
      <c r="S20" s="5" t="s">
        <v>7</v>
      </c>
      <c r="T20">
        <f t="shared" si="3"/>
        <v>6531.3665097224148</v>
      </c>
      <c r="U20">
        <f t="shared" si="4"/>
        <v>-2.4809722414829594E-2</v>
      </c>
      <c r="W20">
        <v>668.5</v>
      </c>
      <c r="X20">
        <v>6.1999999999999998E-3</v>
      </c>
      <c r="Y20">
        <v>-0.22700000000000001</v>
      </c>
      <c r="Z20">
        <v>-9.1300000000000006E-2</v>
      </c>
      <c r="AA20">
        <v>9.5642999999999994</v>
      </c>
      <c r="AC20">
        <f t="shared" si="2"/>
        <v>668.30052879074401</v>
      </c>
      <c r="AD20">
        <f t="shared" si="5"/>
        <v>2.6763262087939483</v>
      </c>
      <c r="AE20">
        <f t="shared" si="6"/>
        <v>665.62420258195004</v>
      </c>
      <c r="AF20">
        <v>6554.16021</v>
      </c>
      <c r="AG20">
        <f t="shared" si="7"/>
        <v>6554.1643834482838</v>
      </c>
      <c r="AH20">
        <f t="shared" si="8"/>
        <v>-4.1734482838364784E-3</v>
      </c>
      <c r="AJ20">
        <f t="shared" si="9"/>
        <v>6554.1641308141407</v>
      </c>
      <c r="AK20">
        <f t="shared" si="10"/>
        <v>-3.9208141406561481E-3</v>
      </c>
    </row>
    <row r="21" spans="1:39">
      <c r="A21">
        <v>20</v>
      </c>
      <c r="B21">
        <v>938</v>
      </c>
      <c r="C21">
        <f t="shared" si="0"/>
        <v>154.56290376000001</v>
      </c>
      <c r="D21">
        <f t="shared" si="1"/>
        <v>783.43709623999996</v>
      </c>
      <c r="I21" s="3"/>
      <c r="P21" s="3">
        <v>495</v>
      </c>
      <c r="Q21">
        <v>6538.1120000000001</v>
      </c>
      <c r="R21" s="3" t="s">
        <v>9</v>
      </c>
      <c r="T21">
        <f t="shared" si="3"/>
        <v>6538.1294820659086</v>
      </c>
      <c r="U21">
        <f t="shared" si="4"/>
        <v>-1.7482065908552613E-2</v>
      </c>
      <c r="W21">
        <v>719.5</v>
      </c>
      <c r="X21">
        <v>1.3299999999999999E-2</v>
      </c>
      <c r="Y21">
        <v>-0.1515</v>
      </c>
      <c r="Z21">
        <v>-5.2200000000000003E-2</v>
      </c>
      <c r="AA21">
        <v>7.8826000000000001</v>
      </c>
      <c r="AC21">
        <f t="shared" si="2"/>
        <v>719.33146318752688</v>
      </c>
      <c r="AD21">
        <f t="shared" si="5"/>
        <v>2.6715174169168301</v>
      </c>
      <c r="AE21">
        <f t="shared" si="6"/>
        <v>716.65994577061008</v>
      </c>
      <c r="AF21">
        <v>6558.8751300000004</v>
      </c>
      <c r="AG21">
        <f t="shared" si="7"/>
        <v>6558.8868402758626</v>
      </c>
      <c r="AH21">
        <f t="shared" si="8"/>
        <v>-1.171027586224227E-2</v>
      </c>
      <c r="AJ21">
        <f t="shared" si="9"/>
        <v>6558.883386614496</v>
      </c>
      <c r="AK21">
        <f t="shared" si="10"/>
        <v>-8.2566144956217613E-3</v>
      </c>
    </row>
    <row r="22" spans="1:39">
      <c r="A22">
        <v>21</v>
      </c>
      <c r="B22">
        <v>595</v>
      </c>
      <c r="C22">
        <f t="shared" si="0"/>
        <v>154.78658927039999</v>
      </c>
      <c r="D22">
        <f t="shared" si="1"/>
        <v>440.21341072960001</v>
      </c>
      <c r="I22" s="3"/>
      <c r="P22" s="3">
        <v>642</v>
      </c>
      <c r="Q22">
        <v>6551.7053900000001</v>
      </c>
      <c r="R22" s="3" t="s">
        <v>2</v>
      </c>
      <c r="T22">
        <f t="shared" si="3"/>
        <v>6551.7442858550294</v>
      </c>
      <c r="U22">
        <f t="shared" si="4"/>
        <v>-3.889585502929549E-2</v>
      </c>
      <c r="W22">
        <v>779.5</v>
      </c>
      <c r="X22">
        <v>5.0000000000000001E-4</v>
      </c>
      <c r="Y22">
        <v>-0.1507</v>
      </c>
      <c r="Z22">
        <v>-4.4699999999999997E-2</v>
      </c>
      <c r="AA22">
        <v>7.2698</v>
      </c>
      <c r="AC22">
        <f t="shared" si="2"/>
        <v>779.35180140754551</v>
      </c>
      <c r="AD22">
        <f t="shared" si="5"/>
        <v>2.6665367260646908</v>
      </c>
      <c r="AE22">
        <f t="shared" si="6"/>
        <v>776.68526468148082</v>
      </c>
      <c r="AF22">
        <v>6564.4444000000003</v>
      </c>
      <c r="AG22">
        <f t="shared" si="7"/>
        <v>6564.4409427521941</v>
      </c>
      <c r="AH22">
        <f t="shared" si="8"/>
        <v>3.4572478061818401E-3</v>
      </c>
      <c r="AJ22">
        <f t="shared" si="9"/>
        <v>6564.4351314845353</v>
      </c>
      <c r="AK22">
        <f t="shared" si="10"/>
        <v>9.2685154650098411E-3</v>
      </c>
    </row>
    <row r="23" spans="1:39">
      <c r="A23">
        <v>22</v>
      </c>
      <c r="B23">
        <v>318</v>
      </c>
      <c r="C23">
        <f t="shared" si="0"/>
        <v>155.0098500496</v>
      </c>
      <c r="D23">
        <f t="shared" si="1"/>
        <v>162.9901499504</v>
      </c>
      <c r="I23" s="3"/>
      <c r="P23" s="3">
        <v>668</v>
      </c>
      <c r="Q23">
        <v>6554.16021</v>
      </c>
      <c r="R23" s="3" t="s">
        <v>2</v>
      </c>
      <c r="T23">
        <f t="shared" si="3"/>
        <v>6554.1518200432383</v>
      </c>
      <c r="U23">
        <f t="shared" si="4"/>
        <v>8.3899567616754211E-3</v>
      </c>
      <c r="W23">
        <v>836</v>
      </c>
      <c r="X23">
        <v>1.38E-2</v>
      </c>
      <c r="Y23">
        <v>-0.16320000000000001</v>
      </c>
      <c r="Z23">
        <v>-0.13900000000000001</v>
      </c>
      <c r="AA23">
        <v>6.9649999999999999</v>
      </c>
      <c r="AC23">
        <f t="shared" si="2"/>
        <v>835.59495175531174</v>
      </c>
      <c r="AD23">
        <f t="shared" si="5"/>
        <v>2.6625318822681674</v>
      </c>
      <c r="AE23">
        <f t="shared" si="6"/>
        <v>832.93241987304361</v>
      </c>
      <c r="AF23">
        <v>6569.6322</v>
      </c>
      <c r="AG23">
        <f t="shared" si="7"/>
        <v>6569.6454171363812</v>
      </c>
      <c r="AH23">
        <f t="shared" si="8"/>
        <v>-1.3217136381172168E-2</v>
      </c>
      <c r="AJ23">
        <f t="shared" si="9"/>
        <v>6569.6390329252863</v>
      </c>
      <c r="AK23">
        <f t="shared" si="10"/>
        <v>-6.8329252862895373E-3</v>
      </c>
    </row>
    <row r="24" spans="1:39">
      <c r="A24">
        <v>23</v>
      </c>
      <c r="B24">
        <v>177</v>
      </c>
      <c r="C24">
        <f t="shared" si="0"/>
        <v>155.23268609760001</v>
      </c>
      <c r="D24">
        <f t="shared" si="1"/>
        <v>21.767313902399991</v>
      </c>
      <c r="I24" s="3"/>
      <c r="P24" s="3">
        <v>719</v>
      </c>
      <c r="Q24">
        <v>6558.8751300000004</v>
      </c>
      <c r="R24" s="3" t="s">
        <v>2</v>
      </c>
      <c r="T24">
        <f t="shared" si="3"/>
        <v>6558.8738314221018</v>
      </c>
      <c r="U24">
        <f t="shared" si="4"/>
        <v>1.2985778985239449E-3</v>
      </c>
      <c r="W24">
        <v>917.5</v>
      </c>
      <c r="X24">
        <v>1.2999999999999999E-2</v>
      </c>
      <c r="Y24">
        <v>-0.21970000000000001</v>
      </c>
      <c r="Z24">
        <v>-2.8400000000000002E-2</v>
      </c>
      <c r="AA24">
        <v>9.5759000000000007</v>
      </c>
      <c r="AC24">
        <f t="shared" si="2"/>
        <v>917.43573299874947</v>
      </c>
      <c r="AD24">
        <f t="shared" si="5"/>
        <v>2.6578491171316263</v>
      </c>
      <c r="AE24">
        <f t="shared" si="6"/>
        <v>914.77788388161787</v>
      </c>
      <c r="AF24">
        <v>6577.21443</v>
      </c>
      <c r="AG24">
        <f t="shared" si="7"/>
        <v>6577.2186374120347</v>
      </c>
      <c r="AH24">
        <f t="shared" si="8"/>
        <v>-4.2074120347024291E-3</v>
      </c>
      <c r="AJ24">
        <f t="shared" si="9"/>
        <v>6577.2141103098247</v>
      </c>
      <c r="AK24">
        <f t="shared" si="10"/>
        <v>3.1969017527444521E-4</v>
      </c>
    </row>
    <row r="25" spans="1:39">
      <c r="A25">
        <v>24</v>
      </c>
      <c r="B25">
        <v>122</v>
      </c>
      <c r="C25">
        <f t="shared" si="0"/>
        <v>155.4550974144</v>
      </c>
      <c r="D25">
        <f t="shared" si="1"/>
        <v>-33.455097414400001</v>
      </c>
      <c r="I25" s="3"/>
      <c r="P25" s="3">
        <v>780</v>
      </c>
      <c r="Q25">
        <v>6564.4444000000003</v>
      </c>
      <c r="R25" s="3" t="s">
        <v>2</v>
      </c>
      <c r="S25" s="5" t="s">
        <v>10</v>
      </c>
      <c r="T25">
        <f t="shared" si="3"/>
        <v>6564.5209279196633</v>
      </c>
      <c r="U25">
        <f t="shared" si="4"/>
        <v>-7.6527919663021748E-2</v>
      </c>
      <c r="W25">
        <v>1098</v>
      </c>
      <c r="X25">
        <v>1.06E-2</v>
      </c>
      <c r="Y25">
        <v>-0.25700000000000001</v>
      </c>
      <c r="Z25">
        <v>3.1E-2</v>
      </c>
      <c r="AA25">
        <v>10.023999999999999</v>
      </c>
      <c r="AC25">
        <f t="shared" si="2"/>
        <v>1098.0605380200184</v>
      </c>
      <c r="AD25">
        <f t="shared" si="5"/>
        <v>2.6523165382172849</v>
      </c>
      <c r="AE25">
        <f t="shared" si="6"/>
        <v>1095.4082214818011</v>
      </c>
      <c r="AF25">
        <v>6593.9390199999998</v>
      </c>
      <c r="AG25">
        <f t="shared" si="7"/>
        <v>6593.9342121866603</v>
      </c>
      <c r="AH25">
        <f t="shared" si="8"/>
        <v>4.8078133395392797E-3</v>
      </c>
      <c r="AJ25">
        <f t="shared" si="9"/>
        <v>6593.938338370077</v>
      </c>
      <c r="AK25">
        <f t="shared" si="10"/>
        <v>6.8162992283760104E-4</v>
      </c>
    </row>
    <row r="26" spans="1:39">
      <c r="A26">
        <v>25</v>
      </c>
      <c r="B26">
        <v>101</v>
      </c>
      <c r="C26">
        <f t="shared" si="0"/>
        <v>155.67708400000001</v>
      </c>
      <c r="D26">
        <f t="shared" si="1"/>
        <v>-54.677084000000008</v>
      </c>
      <c r="I26" s="3"/>
      <c r="P26" s="3">
        <v>835</v>
      </c>
      <c r="Q26">
        <v>6569.6322</v>
      </c>
      <c r="R26" s="3" t="s">
        <v>4</v>
      </c>
      <c r="T26">
        <f t="shared" si="3"/>
        <v>6569.6118257293501</v>
      </c>
      <c r="U26">
        <f t="shared" si="4"/>
        <v>2.037427064988151E-2</v>
      </c>
      <c r="W26">
        <v>1158</v>
      </c>
      <c r="X26">
        <v>1.1299999999999999E-2</v>
      </c>
      <c r="Y26">
        <v>-0.22900000000000001</v>
      </c>
      <c r="Z26">
        <v>-3.1800000000000002E-2</v>
      </c>
      <c r="AA26">
        <v>7.3411999999999997</v>
      </c>
      <c r="AC26">
        <f t="shared" si="2"/>
        <v>1157.9309208912634</v>
      </c>
      <c r="AD26">
        <f t="shared" si="5"/>
        <v>2.651941266753163</v>
      </c>
      <c r="AE26">
        <f t="shared" si="6"/>
        <v>1155.2789796245104</v>
      </c>
      <c r="AF26">
        <v>6599.4824200000003</v>
      </c>
      <c r="AG26">
        <f t="shared" si="7"/>
        <v>6599.4753277197124</v>
      </c>
      <c r="AH26">
        <f t="shared" si="8"/>
        <v>7.0922802879067603E-3</v>
      </c>
      <c r="AJ26">
        <f t="shared" si="9"/>
        <v>6599.4806822828623</v>
      </c>
      <c r="AK26">
        <f t="shared" si="10"/>
        <v>1.7377171379848733E-3</v>
      </c>
    </row>
    <row r="27" spans="1:39">
      <c r="A27">
        <v>26</v>
      </c>
      <c r="B27">
        <v>99</v>
      </c>
      <c r="C27">
        <f t="shared" si="0"/>
        <v>155.8986458544</v>
      </c>
      <c r="D27">
        <f t="shared" si="1"/>
        <v>-56.898645854400002</v>
      </c>
      <c r="I27" s="3"/>
      <c r="P27" s="3">
        <v>917</v>
      </c>
      <c r="Q27">
        <v>6577.21443</v>
      </c>
      <c r="R27" s="3" t="s">
        <v>2</v>
      </c>
      <c r="T27">
        <f t="shared" si="3"/>
        <v>6577.2005769770913</v>
      </c>
      <c r="U27">
        <f t="shared" si="4"/>
        <v>1.3853022908733692E-2</v>
      </c>
      <c r="W27">
        <v>1216</v>
      </c>
      <c r="X27">
        <v>1.6199999999999999E-2</v>
      </c>
      <c r="Y27">
        <v>-0.25869999999999999</v>
      </c>
      <c r="Z27">
        <v>-4.7000000000000002E-3</v>
      </c>
      <c r="AA27">
        <v>9.3423999999999996</v>
      </c>
      <c r="AC27">
        <f t="shared" si="2"/>
        <v>1215.9909238567682</v>
      </c>
      <c r="AD27">
        <f t="shared" si="5"/>
        <v>2.6522709478736068</v>
      </c>
      <c r="AE27">
        <f t="shared" si="6"/>
        <v>1213.3386529088946</v>
      </c>
      <c r="AF27">
        <v>6604.8530000000001</v>
      </c>
      <c r="AG27">
        <f t="shared" si="7"/>
        <v>6604.8491249599838</v>
      </c>
      <c r="AH27">
        <f t="shared" si="8"/>
        <v>3.8750400162825827E-3</v>
      </c>
      <c r="AJ27">
        <f t="shared" si="9"/>
        <v>6604.853736906025</v>
      </c>
      <c r="AK27">
        <f t="shared" si="10"/>
        <v>-7.369060249402537E-4</v>
      </c>
    </row>
    <row r="28" spans="1:39">
      <c r="A28">
        <v>27</v>
      </c>
      <c r="B28">
        <v>99</v>
      </c>
      <c r="C28">
        <f t="shared" si="0"/>
        <v>156.11978297760001</v>
      </c>
      <c r="D28">
        <f t="shared" si="1"/>
        <v>-57.119782977600011</v>
      </c>
      <c r="I28" s="3"/>
      <c r="P28" s="3">
        <v>990</v>
      </c>
      <c r="R28" s="3"/>
      <c r="S28" s="5" t="s">
        <v>7</v>
      </c>
      <c r="T28">
        <f t="shared" si="3"/>
        <v>6583.9550924464711</v>
      </c>
      <c r="W28">
        <v>1308</v>
      </c>
      <c r="X28">
        <v>5.1000000000000004E-3</v>
      </c>
      <c r="Y28">
        <v>-0.25469999999999998</v>
      </c>
      <c r="Z28">
        <v>0.1009</v>
      </c>
      <c r="AA28">
        <v>7.5395000000000003</v>
      </c>
      <c r="AC28">
        <f t="shared" si="2"/>
        <v>1308.1992688129469</v>
      </c>
      <c r="AD28">
        <f t="shared" si="5"/>
        <v>2.6541981452999925</v>
      </c>
      <c r="AE28">
        <f t="shared" si="6"/>
        <v>1305.545070667647</v>
      </c>
      <c r="AF28" s="5">
        <v>6613.3829999999998</v>
      </c>
      <c r="AG28">
        <f t="shared" si="7"/>
        <v>6613.383898983363</v>
      </c>
      <c r="AH28">
        <f t="shared" si="8"/>
        <v>-8.9898336318583461E-4</v>
      </c>
      <c r="AJ28">
        <f t="shared" si="9"/>
        <v>6613.3833806167422</v>
      </c>
      <c r="AK28">
        <f t="shared" si="10"/>
        <v>-3.8061674240452703E-4</v>
      </c>
    </row>
    <row r="29" spans="1:39">
      <c r="A29">
        <v>28</v>
      </c>
      <c r="B29">
        <v>105</v>
      </c>
      <c r="C29">
        <f t="shared" si="0"/>
        <v>156.34049536960001</v>
      </c>
      <c r="D29">
        <f t="shared" si="1"/>
        <v>-51.340495369600006</v>
      </c>
      <c r="I29" s="3"/>
      <c r="P29" s="3">
        <v>1040</v>
      </c>
      <c r="R29" s="3"/>
      <c r="S29" s="5" t="s">
        <v>7</v>
      </c>
      <c r="T29">
        <f t="shared" si="3"/>
        <v>6588.5807532456756</v>
      </c>
      <c r="W29">
        <v>1379</v>
      </c>
      <c r="X29">
        <v>1.2E-2</v>
      </c>
      <c r="Y29">
        <v>-0.27900000000000003</v>
      </c>
      <c r="Z29">
        <v>8.72E-2</v>
      </c>
      <c r="AA29">
        <v>7.9843999999999999</v>
      </c>
      <c r="AC29">
        <f t="shared" si="2"/>
        <v>1379.1578805477141</v>
      </c>
      <c r="AD29">
        <f t="shared" si="5"/>
        <v>2.6568540749924026</v>
      </c>
      <c r="AE29">
        <f t="shared" si="6"/>
        <v>1376.5010264727216</v>
      </c>
      <c r="AF29">
        <v>6619.9458400000003</v>
      </c>
      <c r="AG29">
        <f t="shared" si="7"/>
        <v>6619.9519073308602</v>
      </c>
      <c r="AH29">
        <f t="shared" si="8"/>
        <v>-6.067330859877984E-3</v>
      </c>
      <c r="AJ29">
        <f t="shared" si="9"/>
        <v>6619.9462071485186</v>
      </c>
      <c r="AK29">
        <f t="shared" si="10"/>
        <v>-3.6714851830765838E-4</v>
      </c>
    </row>
    <row r="30" spans="1:39">
      <c r="A30">
        <v>29</v>
      </c>
      <c r="B30">
        <v>135</v>
      </c>
      <c r="C30">
        <f t="shared" si="0"/>
        <v>156.56078303039999</v>
      </c>
      <c r="D30">
        <f t="shared" si="1"/>
        <v>-21.560783030399989</v>
      </c>
      <c r="I30" s="3"/>
      <c r="P30" s="3">
        <v>1071.5</v>
      </c>
      <c r="Q30">
        <v>6591.4843000000001</v>
      </c>
      <c r="R30" s="3" t="s">
        <v>2</v>
      </c>
      <c r="S30" s="5" t="s">
        <v>7</v>
      </c>
      <c r="T30">
        <f t="shared" si="3"/>
        <v>6591.4946191353083</v>
      </c>
      <c r="U30">
        <f t="shared" si="4"/>
        <v>-1.0319135308236582E-2</v>
      </c>
      <c r="W30">
        <v>1510.5</v>
      </c>
      <c r="X30">
        <v>5.4000000000000003E-3</v>
      </c>
      <c r="Y30">
        <v>-0.2109</v>
      </c>
      <c r="Z30">
        <v>1.9E-3</v>
      </c>
      <c r="AA30">
        <v>6.9260000000000002</v>
      </c>
      <c r="AC30">
        <f t="shared" si="2"/>
        <v>1510.5045052840703</v>
      </c>
      <c r="AD30">
        <f t="shared" si="5"/>
        <v>2.6644620392262763</v>
      </c>
      <c r="AE30">
        <f t="shared" si="6"/>
        <v>1507.8400432448441</v>
      </c>
      <c r="AF30">
        <v>6632.11</v>
      </c>
      <c r="AG30">
        <f t="shared" si="7"/>
        <v>6632.1088957878874</v>
      </c>
      <c r="AH30">
        <f t="shared" si="8"/>
        <v>1.1042121122954995E-3</v>
      </c>
      <c r="AJ30">
        <f t="shared" si="9"/>
        <v>6632.1097898593371</v>
      </c>
      <c r="AK30">
        <f t="shared" si="10"/>
        <v>2.101406626024982E-4</v>
      </c>
    </row>
    <row r="31" spans="1:39">
      <c r="A31">
        <v>30</v>
      </c>
      <c r="B31">
        <v>159</v>
      </c>
      <c r="C31">
        <f t="shared" si="0"/>
        <v>156.78064595999999</v>
      </c>
      <c r="D31">
        <f t="shared" si="1"/>
        <v>2.2193540400000131</v>
      </c>
      <c r="I31" s="3"/>
      <c r="P31" s="3">
        <v>1098</v>
      </c>
      <c r="Q31">
        <v>6593.9390199999998</v>
      </c>
      <c r="R31" s="3" t="s">
        <v>2</v>
      </c>
      <c r="T31">
        <f t="shared" si="3"/>
        <v>6593.9457867734518</v>
      </c>
      <c r="U31">
        <f t="shared" si="4"/>
        <v>-6.7667734520000522E-3</v>
      </c>
    </row>
    <row r="32" spans="1:39">
      <c r="A32">
        <v>31</v>
      </c>
      <c r="B32">
        <v>207</v>
      </c>
      <c r="C32">
        <f t="shared" si="0"/>
        <v>157.0000841584</v>
      </c>
      <c r="D32">
        <f t="shared" si="1"/>
        <v>49.9999158416</v>
      </c>
      <c r="P32" s="3">
        <v>1158</v>
      </c>
      <c r="Q32">
        <v>6599.4824200000003</v>
      </c>
      <c r="R32" s="3" t="s">
        <v>5</v>
      </c>
      <c r="T32">
        <f t="shared" si="3"/>
        <v>6599.4949929715594</v>
      </c>
      <c r="U32">
        <f t="shared" si="4"/>
        <v>-1.2572971559166035E-2</v>
      </c>
      <c r="AG32" s="6">
        <v>6</v>
      </c>
      <c r="AH32" s="6">
        <v>5</v>
      </c>
      <c r="AI32" s="6">
        <v>4</v>
      </c>
      <c r="AJ32" s="6">
        <v>3</v>
      </c>
      <c r="AK32" s="6">
        <v>2</v>
      </c>
      <c r="AL32" s="6">
        <v>1</v>
      </c>
      <c r="AM32" s="6">
        <v>0</v>
      </c>
    </row>
    <row r="33" spans="1:47">
      <c r="A33">
        <v>32</v>
      </c>
      <c r="B33">
        <v>271</v>
      </c>
      <c r="C33">
        <f t="shared" si="0"/>
        <v>157.2190976256</v>
      </c>
      <c r="D33">
        <f t="shared" si="1"/>
        <v>113.7809023744</v>
      </c>
      <c r="P33" s="3">
        <v>1216</v>
      </c>
      <c r="Q33">
        <v>6604.8530000000001</v>
      </c>
      <c r="R33" s="3" t="s">
        <v>3</v>
      </c>
      <c r="T33">
        <f t="shared" si="3"/>
        <v>6604.8584247601239</v>
      </c>
      <c r="U33">
        <f t="shared" si="4"/>
        <v>-5.4247601237875642E-3</v>
      </c>
      <c r="AG33" s="8">
        <v>1.39394098683175E-18</v>
      </c>
      <c r="AH33" s="8">
        <v>6.5804438378817099E-15</v>
      </c>
      <c r="AI33" s="8">
        <v>1.16354508506345E-11</v>
      </c>
      <c r="AJ33" s="8">
        <v>9.2986469819521393E-9</v>
      </c>
      <c r="AK33" s="8">
        <v>3.0246919812747199E-6</v>
      </c>
      <c r="AL33" s="8">
        <v>9.2436557055895804E-2</v>
      </c>
      <c r="AM33" s="8">
        <v>6492.4928201558596</v>
      </c>
      <c r="AO33" s="8"/>
      <c r="AP33" s="8"/>
      <c r="AQ33" s="8"/>
      <c r="AR33" s="8"/>
      <c r="AS33" s="8"/>
      <c r="AT33" s="8"/>
      <c r="AU33" s="8"/>
    </row>
    <row r="34" spans="1:47">
      <c r="A34">
        <v>33</v>
      </c>
      <c r="B34">
        <v>279</v>
      </c>
      <c r="C34">
        <f t="shared" si="0"/>
        <v>157.43768636159999</v>
      </c>
      <c r="D34">
        <f t="shared" si="1"/>
        <v>121.56231363840001</v>
      </c>
      <c r="N34" s="5">
        <v>6613.3733199999997</v>
      </c>
      <c r="O34" s="5">
        <v>6613.3967000000002</v>
      </c>
      <c r="P34" s="4">
        <v>1308</v>
      </c>
      <c r="Q34" s="5">
        <v>6613.3829999999998</v>
      </c>
      <c r="R34" s="9" t="s">
        <v>11</v>
      </c>
      <c r="S34" s="9"/>
      <c r="T34">
        <f t="shared" si="3"/>
        <v>6613.3643224071275</v>
      </c>
      <c r="U34">
        <f t="shared" si="4"/>
        <v>1.867759287233639E-2</v>
      </c>
    </row>
    <row r="35" spans="1:47">
      <c r="A35">
        <v>34</v>
      </c>
      <c r="B35">
        <v>235</v>
      </c>
      <c r="C35">
        <f t="shared" si="0"/>
        <v>157.65585036639999</v>
      </c>
      <c r="D35">
        <f t="shared" si="1"/>
        <v>77.344149633600011</v>
      </c>
      <c r="N35" s="5">
        <v>650</v>
      </c>
      <c r="O35" s="5">
        <v>460</v>
      </c>
      <c r="P35" s="3">
        <v>1379</v>
      </c>
      <c r="Q35">
        <v>6619.9458400000003</v>
      </c>
      <c r="R35" s="3" t="s">
        <v>4</v>
      </c>
      <c r="T35">
        <f t="shared" si="3"/>
        <v>6619.9273022141606</v>
      </c>
      <c r="U35">
        <f t="shared" si="4"/>
        <v>1.8537785839725984E-2</v>
      </c>
    </row>
    <row r="36" spans="1:47">
      <c r="A36">
        <v>35</v>
      </c>
      <c r="B36">
        <v>187</v>
      </c>
      <c r="C36">
        <f t="shared" si="0"/>
        <v>157.87358964000001</v>
      </c>
      <c r="D36">
        <f t="shared" si="1"/>
        <v>29.126410359999994</v>
      </c>
      <c r="N36" s="5">
        <f>N34*N35</f>
        <v>4298692.6579999998</v>
      </c>
      <c r="O36" s="5">
        <f>O34*O35</f>
        <v>3042162.4820000003</v>
      </c>
      <c r="P36" s="3">
        <v>1511</v>
      </c>
      <c r="Q36">
        <v>6632.11</v>
      </c>
      <c r="R36" s="3" t="s">
        <v>2</v>
      </c>
      <c r="T36">
        <f t="shared" si="3"/>
        <v>6632.1257628670055</v>
      </c>
      <c r="U36">
        <f t="shared" si="4"/>
        <v>-1.5762867005832959E-2</v>
      </c>
    </row>
    <row r="37" spans="1:47">
      <c r="A37">
        <v>36</v>
      </c>
      <c r="B37">
        <v>152</v>
      </c>
      <c r="C37">
        <f t="shared" si="0"/>
        <v>158.09090418240001</v>
      </c>
      <c r="D37">
        <f t="shared" si="1"/>
        <v>-6.0909041824000099</v>
      </c>
      <c r="N37" s="5"/>
      <c r="O37" s="5"/>
    </row>
    <row r="38" spans="1:47">
      <c r="A38">
        <v>37</v>
      </c>
      <c r="B38">
        <v>166</v>
      </c>
      <c r="C38">
        <f t="shared" si="0"/>
        <v>158.3077939936</v>
      </c>
      <c r="D38">
        <f t="shared" si="1"/>
        <v>7.6922060063999993</v>
      </c>
      <c r="N38" s="5" t="s">
        <v>12</v>
      </c>
      <c r="O38" s="5">
        <f>(N36+O36)/(N35+O35)</f>
        <v>6613.3830090090096</v>
      </c>
    </row>
    <row r="39" spans="1:47">
      <c r="A39">
        <v>38</v>
      </c>
      <c r="B39">
        <v>213</v>
      </c>
      <c r="C39">
        <f t="shared" si="0"/>
        <v>158.52425907360001</v>
      </c>
      <c r="D39">
        <f t="shared" si="1"/>
        <v>54.475740926399993</v>
      </c>
    </row>
    <row r="40" spans="1:47">
      <c r="A40">
        <v>39</v>
      </c>
      <c r="B40">
        <v>273</v>
      </c>
      <c r="C40">
        <f t="shared" si="0"/>
        <v>158.7402994224</v>
      </c>
      <c r="D40">
        <f t="shared" si="1"/>
        <v>114.2597005776</v>
      </c>
    </row>
    <row r="41" spans="1:47">
      <c r="A41">
        <v>40</v>
      </c>
      <c r="B41">
        <v>344</v>
      </c>
      <c r="C41">
        <f t="shared" si="0"/>
        <v>158.95591504000001</v>
      </c>
      <c r="D41">
        <f t="shared" si="1"/>
        <v>185.04408495999999</v>
      </c>
    </row>
    <row r="42" spans="1:47">
      <c r="A42">
        <v>41</v>
      </c>
      <c r="B42">
        <v>355</v>
      </c>
      <c r="C42">
        <f t="shared" si="0"/>
        <v>159.1711059264</v>
      </c>
      <c r="D42">
        <f t="shared" si="1"/>
        <v>195.8288940736</v>
      </c>
    </row>
    <row r="43" spans="1:47">
      <c r="A43">
        <v>42</v>
      </c>
      <c r="B43">
        <v>314</v>
      </c>
      <c r="C43">
        <f t="shared" si="0"/>
        <v>159.38587208159998</v>
      </c>
      <c r="D43">
        <f t="shared" si="1"/>
        <v>154.61412791840002</v>
      </c>
    </row>
    <row r="44" spans="1:47">
      <c r="A44">
        <v>43</v>
      </c>
      <c r="B44">
        <v>243</v>
      </c>
      <c r="C44">
        <f t="shared" si="0"/>
        <v>159.60021350560001</v>
      </c>
      <c r="D44">
        <f t="shared" si="1"/>
        <v>83.39978649439999</v>
      </c>
    </row>
    <row r="45" spans="1:47">
      <c r="A45">
        <v>44</v>
      </c>
      <c r="B45">
        <v>199</v>
      </c>
      <c r="C45">
        <f t="shared" si="0"/>
        <v>159.81413019839999</v>
      </c>
      <c r="D45">
        <f t="shared" si="1"/>
        <v>39.185869801600006</v>
      </c>
    </row>
    <row r="46" spans="1:47">
      <c r="A46">
        <v>45</v>
      </c>
      <c r="B46">
        <v>158</v>
      </c>
      <c r="C46">
        <f t="shared" si="0"/>
        <v>160.02762215999999</v>
      </c>
      <c r="D46">
        <f t="shared" si="1"/>
        <v>-2.0276221599999928</v>
      </c>
    </row>
    <row r="47" spans="1:47">
      <c r="A47">
        <v>46</v>
      </c>
      <c r="B47">
        <v>151</v>
      </c>
      <c r="C47">
        <f t="shared" si="0"/>
        <v>160.24068939040001</v>
      </c>
      <c r="D47">
        <f t="shared" si="1"/>
        <v>-9.2406893904000071</v>
      </c>
    </row>
    <row r="48" spans="1:47">
      <c r="A48">
        <v>47</v>
      </c>
      <c r="B48">
        <v>141</v>
      </c>
      <c r="C48">
        <f t="shared" si="0"/>
        <v>160.45333188960001</v>
      </c>
      <c r="D48">
        <f t="shared" si="1"/>
        <v>-19.453331889600008</v>
      </c>
    </row>
    <row r="49" spans="1:4">
      <c r="A49">
        <v>48</v>
      </c>
      <c r="B49">
        <v>142</v>
      </c>
      <c r="C49">
        <f t="shared" si="0"/>
        <v>160.6655496576</v>
      </c>
      <c r="D49">
        <f t="shared" si="1"/>
        <v>-18.665549657599996</v>
      </c>
    </row>
    <row r="50" spans="1:4">
      <c r="A50">
        <v>49</v>
      </c>
      <c r="B50">
        <v>148</v>
      </c>
      <c r="C50">
        <f t="shared" si="0"/>
        <v>160.8773426944</v>
      </c>
      <c r="D50">
        <f t="shared" si="1"/>
        <v>-12.877342694399999</v>
      </c>
    </row>
    <row r="51" spans="1:4">
      <c r="A51">
        <v>50</v>
      </c>
      <c r="B51">
        <v>170</v>
      </c>
      <c r="C51">
        <f t="shared" si="0"/>
        <v>161.08871099999999</v>
      </c>
      <c r="D51">
        <f t="shared" si="1"/>
        <v>8.9112890000000107</v>
      </c>
    </row>
    <row r="52" spans="1:4">
      <c r="A52">
        <v>51</v>
      </c>
      <c r="B52">
        <v>180</v>
      </c>
      <c r="C52">
        <f t="shared" si="0"/>
        <v>161.29965457439999</v>
      </c>
      <c r="D52">
        <f t="shared" si="1"/>
        <v>18.700345425600005</v>
      </c>
    </row>
    <row r="53" spans="1:4">
      <c r="A53">
        <v>52</v>
      </c>
      <c r="B53">
        <v>181</v>
      </c>
      <c r="C53">
        <f t="shared" si="0"/>
        <v>161.51017341760002</v>
      </c>
      <c r="D53">
        <f t="shared" si="1"/>
        <v>19.489826582399985</v>
      </c>
    </row>
    <row r="54" spans="1:4">
      <c r="A54">
        <v>53</v>
      </c>
      <c r="B54">
        <v>203</v>
      </c>
      <c r="C54">
        <f t="shared" si="0"/>
        <v>161.72026752959999</v>
      </c>
      <c r="D54">
        <f t="shared" si="1"/>
        <v>41.279732470400006</v>
      </c>
    </row>
    <row r="55" spans="1:4">
      <c r="A55">
        <v>54</v>
      </c>
      <c r="B55">
        <v>225</v>
      </c>
      <c r="C55">
        <f t="shared" si="0"/>
        <v>161.92993691039999</v>
      </c>
      <c r="D55">
        <f t="shared" si="1"/>
        <v>63.070063089600012</v>
      </c>
    </row>
    <row r="56" spans="1:4">
      <c r="A56">
        <v>55</v>
      </c>
      <c r="B56">
        <v>266</v>
      </c>
      <c r="C56">
        <f t="shared" si="0"/>
        <v>162.13918156</v>
      </c>
      <c r="D56">
        <f t="shared" si="1"/>
        <v>103.86081844</v>
      </c>
    </row>
    <row r="57" spans="1:4">
      <c r="A57">
        <v>56</v>
      </c>
      <c r="B57">
        <v>322</v>
      </c>
      <c r="C57">
        <f t="shared" si="0"/>
        <v>162.34800147839999</v>
      </c>
      <c r="D57">
        <f t="shared" si="1"/>
        <v>159.65199852160001</v>
      </c>
    </row>
    <row r="58" spans="1:4">
      <c r="A58">
        <v>57</v>
      </c>
      <c r="B58">
        <v>321</v>
      </c>
      <c r="C58">
        <f t="shared" si="0"/>
        <v>162.5563966656</v>
      </c>
      <c r="D58">
        <f t="shared" si="1"/>
        <v>158.4436033344</v>
      </c>
    </row>
    <row r="59" spans="1:4">
      <c r="A59">
        <v>58</v>
      </c>
      <c r="B59">
        <v>288</v>
      </c>
      <c r="C59">
        <f t="shared" si="0"/>
        <v>162.7643671216</v>
      </c>
      <c r="D59">
        <f t="shared" si="1"/>
        <v>125.2356328784</v>
      </c>
    </row>
    <row r="60" spans="1:4">
      <c r="A60">
        <v>59</v>
      </c>
      <c r="B60">
        <v>231</v>
      </c>
      <c r="C60">
        <f t="shared" si="0"/>
        <v>162.97191284639999</v>
      </c>
      <c r="D60">
        <f t="shared" si="1"/>
        <v>68.028087153600012</v>
      </c>
    </row>
    <row r="61" spans="1:4">
      <c r="A61">
        <v>60</v>
      </c>
      <c r="B61">
        <v>175</v>
      </c>
      <c r="C61">
        <f t="shared" si="0"/>
        <v>163.17903383999999</v>
      </c>
      <c r="D61">
        <f t="shared" si="1"/>
        <v>11.820966160000012</v>
      </c>
    </row>
    <row r="62" spans="1:4">
      <c r="A62">
        <v>61</v>
      </c>
      <c r="B62">
        <v>152</v>
      </c>
      <c r="C62">
        <f t="shared" si="0"/>
        <v>163.3857301024</v>
      </c>
      <c r="D62">
        <f t="shared" si="1"/>
        <v>-11.385730102400004</v>
      </c>
    </row>
    <row r="63" spans="1:4">
      <c r="A63">
        <v>62</v>
      </c>
      <c r="B63">
        <v>156</v>
      </c>
      <c r="C63">
        <f t="shared" si="0"/>
        <v>163.59200163360001</v>
      </c>
      <c r="D63">
        <f t="shared" si="1"/>
        <v>-7.592001633600006</v>
      </c>
    </row>
    <row r="64" spans="1:4">
      <c r="A64">
        <v>63</v>
      </c>
      <c r="B64">
        <v>168</v>
      </c>
      <c r="C64">
        <f t="shared" si="0"/>
        <v>163.7978484336</v>
      </c>
      <c r="D64">
        <f t="shared" si="1"/>
        <v>4.2021515664000049</v>
      </c>
    </row>
    <row r="65" spans="1:4">
      <c r="A65">
        <v>64</v>
      </c>
      <c r="B65">
        <v>172</v>
      </c>
      <c r="C65">
        <f t="shared" si="0"/>
        <v>164.0032705024</v>
      </c>
      <c r="D65">
        <f t="shared" si="1"/>
        <v>7.9967294976000005</v>
      </c>
    </row>
    <row r="66" spans="1:4">
      <c r="A66">
        <v>65</v>
      </c>
      <c r="B66">
        <v>188</v>
      </c>
      <c r="C66">
        <f t="shared" ref="C66:C129" si="11" xml:space="preserve"> -0.0002123656*A66*A66 + 0.2323925*A66 + 150</f>
        <v>164.20826783999999</v>
      </c>
      <c r="D66">
        <f t="shared" ref="D66:D129" si="12">B66-C66</f>
        <v>23.791732160000009</v>
      </c>
    </row>
    <row r="67" spans="1:4">
      <c r="A67">
        <v>66</v>
      </c>
      <c r="B67">
        <v>187</v>
      </c>
      <c r="C67">
        <f t="shared" si="11"/>
        <v>164.4128404464</v>
      </c>
      <c r="D67">
        <f t="shared" si="12"/>
        <v>22.587159553600003</v>
      </c>
    </row>
    <row r="68" spans="1:4">
      <c r="A68">
        <v>67</v>
      </c>
      <c r="B68">
        <v>198</v>
      </c>
      <c r="C68">
        <f t="shared" si="11"/>
        <v>164.61698832159999</v>
      </c>
      <c r="D68">
        <f t="shared" si="12"/>
        <v>33.38301167840001</v>
      </c>
    </row>
    <row r="69" spans="1:4">
      <c r="A69">
        <v>68</v>
      </c>
      <c r="B69">
        <v>226</v>
      </c>
      <c r="C69">
        <f t="shared" si="11"/>
        <v>164.8207114656</v>
      </c>
      <c r="D69">
        <f t="shared" si="12"/>
        <v>61.179288534400001</v>
      </c>
    </row>
    <row r="70" spans="1:4">
      <c r="A70">
        <v>69</v>
      </c>
      <c r="B70">
        <v>268</v>
      </c>
      <c r="C70">
        <f t="shared" si="11"/>
        <v>165.02400987839999</v>
      </c>
      <c r="D70">
        <f t="shared" si="12"/>
        <v>102.97599012160001</v>
      </c>
    </row>
    <row r="71" spans="1:4">
      <c r="A71">
        <v>70</v>
      </c>
      <c r="B71">
        <v>320</v>
      </c>
      <c r="C71">
        <f t="shared" si="11"/>
        <v>165.22688356</v>
      </c>
      <c r="D71">
        <f t="shared" si="12"/>
        <v>154.77311644</v>
      </c>
    </row>
    <row r="72" spans="1:4">
      <c r="A72">
        <v>71</v>
      </c>
      <c r="B72">
        <v>445</v>
      </c>
      <c r="C72">
        <f t="shared" si="11"/>
        <v>165.4293325104</v>
      </c>
      <c r="D72">
        <f t="shared" si="12"/>
        <v>279.5706674896</v>
      </c>
    </row>
    <row r="73" spans="1:4">
      <c r="A73">
        <v>72</v>
      </c>
      <c r="B73">
        <v>633</v>
      </c>
      <c r="C73">
        <f t="shared" si="11"/>
        <v>165.63135672959999</v>
      </c>
      <c r="D73">
        <f t="shared" si="12"/>
        <v>467.36864327040001</v>
      </c>
    </row>
    <row r="74" spans="1:4">
      <c r="A74">
        <v>73</v>
      </c>
      <c r="B74">
        <v>831</v>
      </c>
      <c r="C74">
        <f t="shared" si="11"/>
        <v>165.83295621759999</v>
      </c>
      <c r="D74">
        <f t="shared" si="12"/>
        <v>665.16704378240001</v>
      </c>
    </row>
    <row r="75" spans="1:4">
      <c r="A75">
        <v>74</v>
      </c>
      <c r="B75">
        <v>950</v>
      </c>
      <c r="C75">
        <f t="shared" si="11"/>
        <v>166.0341309744</v>
      </c>
      <c r="D75">
        <f t="shared" si="12"/>
        <v>783.9658690256</v>
      </c>
    </row>
    <row r="76" spans="1:4">
      <c r="A76">
        <v>75</v>
      </c>
      <c r="B76">
        <v>863</v>
      </c>
      <c r="C76">
        <f t="shared" si="11"/>
        <v>166.234881</v>
      </c>
      <c r="D76">
        <f t="shared" si="12"/>
        <v>696.76511900000003</v>
      </c>
    </row>
    <row r="77" spans="1:4">
      <c r="A77">
        <v>76</v>
      </c>
      <c r="B77">
        <v>646</v>
      </c>
      <c r="C77">
        <f t="shared" si="11"/>
        <v>166.43520629440002</v>
      </c>
      <c r="D77">
        <f t="shared" si="12"/>
        <v>479.56479370559998</v>
      </c>
    </row>
    <row r="78" spans="1:4">
      <c r="A78">
        <v>77</v>
      </c>
      <c r="B78">
        <v>435</v>
      </c>
      <c r="C78">
        <f t="shared" si="11"/>
        <v>166.63510685759999</v>
      </c>
      <c r="D78">
        <f t="shared" si="12"/>
        <v>268.36489314239998</v>
      </c>
    </row>
    <row r="79" spans="1:4">
      <c r="A79">
        <v>78</v>
      </c>
      <c r="B79">
        <v>291</v>
      </c>
      <c r="C79">
        <f t="shared" si="11"/>
        <v>166.83458268960001</v>
      </c>
      <c r="D79">
        <f t="shared" si="12"/>
        <v>124.16541731039999</v>
      </c>
    </row>
    <row r="80" spans="1:4">
      <c r="A80">
        <v>79</v>
      </c>
      <c r="B80">
        <v>273</v>
      </c>
      <c r="C80">
        <f t="shared" si="11"/>
        <v>167.03363379039999</v>
      </c>
      <c r="D80">
        <f t="shared" si="12"/>
        <v>105.96636620960001</v>
      </c>
    </row>
    <row r="81" spans="1:4">
      <c r="A81">
        <v>80</v>
      </c>
      <c r="B81">
        <v>302</v>
      </c>
      <c r="C81">
        <f t="shared" si="11"/>
        <v>167.23226016000001</v>
      </c>
      <c r="D81">
        <f t="shared" si="12"/>
        <v>134.76773983999999</v>
      </c>
    </row>
    <row r="82" spans="1:4">
      <c r="A82">
        <v>81</v>
      </c>
      <c r="B82">
        <v>384</v>
      </c>
      <c r="C82">
        <f t="shared" si="11"/>
        <v>167.43046179839999</v>
      </c>
      <c r="D82">
        <f t="shared" si="12"/>
        <v>216.56953820160001</v>
      </c>
    </row>
    <row r="83" spans="1:4">
      <c r="A83">
        <v>82</v>
      </c>
      <c r="B83">
        <v>513</v>
      </c>
      <c r="C83">
        <f t="shared" si="11"/>
        <v>167.62823870559998</v>
      </c>
      <c r="D83">
        <f t="shared" si="12"/>
        <v>345.37176129440002</v>
      </c>
    </row>
    <row r="84" spans="1:4">
      <c r="A84">
        <v>83</v>
      </c>
      <c r="B84">
        <v>661</v>
      </c>
      <c r="C84">
        <f t="shared" si="11"/>
        <v>167.82559088159999</v>
      </c>
      <c r="D84">
        <f t="shared" si="12"/>
        <v>493.17440911840004</v>
      </c>
    </row>
    <row r="85" spans="1:4">
      <c r="A85">
        <v>84</v>
      </c>
      <c r="B85">
        <v>734</v>
      </c>
      <c r="C85">
        <f t="shared" si="11"/>
        <v>168.02251832639999</v>
      </c>
      <c r="D85">
        <f t="shared" si="12"/>
        <v>565.97748167359998</v>
      </c>
    </row>
    <row r="86" spans="1:4">
      <c r="A86">
        <v>85</v>
      </c>
      <c r="B86">
        <v>789</v>
      </c>
      <c r="C86">
        <f t="shared" si="11"/>
        <v>168.21902104</v>
      </c>
      <c r="D86">
        <f t="shared" si="12"/>
        <v>620.78097895999997</v>
      </c>
    </row>
    <row r="87" spans="1:4">
      <c r="A87">
        <v>86</v>
      </c>
      <c r="B87">
        <v>758</v>
      </c>
      <c r="C87">
        <f t="shared" si="11"/>
        <v>168.4150990224</v>
      </c>
      <c r="D87">
        <f t="shared" si="12"/>
        <v>589.5849009776</v>
      </c>
    </row>
    <row r="88" spans="1:4">
      <c r="A88">
        <v>87</v>
      </c>
      <c r="B88">
        <v>681</v>
      </c>
      <c r="C88">
        <f t="shared" si="11"/>
        <v>168.61075227359999</v>
      </c>
      <c r="D88">
        <f t="shared" si="12"/>
        <v>512.38924772640007</v>
      </c>
    </row>
    <row r="89" spans="1:4">
      <c r="A89">
        <v>88</v>
      </c>
      <c r="B89">
        <v>595</v>
      </c>
      <c r="C89">
        <f t="shared" si="11"/>
        <v>168.80598079359999</v>
      </c>
      <c r="D89">
        <f t="shared" si="12"/>
        <v>426.19401920640001</v>
      </c>
    </row>
    <row r="90" spans="1:4">
      <c r="A90">
        <v>89</v>
      </c>
      <c r="B90">
        <v>560</v>
      </c>
      <c r="C90">
        <f t="shared" si="11"/>
        <v>169.0007845824</v>
      </c>
      <c r="D90">
        <f t="shared" si="12"/>
        <v>390.9992154176</v>
      </c>
    </row>
    <row r="91" spans="1:4">
      <c r="A91">
        <v>90</v>
      </c>
      <c r="B91">
        <v>533</v>
      </c>
      <c r="C91">
        <f t="shared" si="11"/>
        <v>169.19516364</v>
      </c>
      <c r="D91">
        <f t="shared" si="12"/>
        <v>363.80483635999997</v>
      </c>
    </row>
    <row r="92" spans="1:4">
      <c r="A92">
        <v>91</v>
      </c>
      <c r="B92">
        <v>524</v>
      </c>
      <c r="C92">
        <f t="shared" si="11"/>
        <v>169.38911796639999</v>
      </c>
      <c r="D92">
        <f t="shared" si="12"/>
        <v>354.61088203359998</v>
      </c>
    </row>
    <row r="93" spans="1:4">
      <c r="A93">
        <v>92</v>
      </c>
      <c r="B93">
        <v>452</v>
      </c>
      <c r="C93">
        <f t="shared" si="11"/>
        <v>169.5826475616</v>
      </c>
      <c r="D93">
        <f t="shared" si="12"/>
        <v>282.41735243840003</v>
      </c>
    </row>
    <row r="94" spans="1:4">
      <c r="A94">
        <v>93</v>
      </c>
      <c r="B94">
        <v>388</v>
      </c>
      <c r="C94">
        <f t="shared" si="11"/>
        <v>169.77575242559999</v>
      </c>
      <c r="D94">
        <f t="shared" si="12"/>
        <v>218.22424757440001</v>
      </c>
    </row>
    <row r="95" spans="1:4">
      <c r="A95">
        <v>94</v>
      </c>
      <c r="B95">
        <v>353</v>
      </c>
      <c r="C95">
        <f t="shared" si="11"/>
        <v>169.9684325584</v>
      </c>
      <c r="D95">
        <f t="shared" si="12"/>
        <v>183.0315674416</v>
      </c>
    </row>
    <row r="96" spans="1:4">
      <c r="A96">
        <v>95</v>
      </c>
      <c r="B96">
        <v>368</v>
      </c>
      <c r="C96">
        <f t="shared" si="11"/>
        <v>170.16068795999999</v>
      </c>
      <c r="D96">
        <f t="shared" si="12"/>
        <v>197.83931204000001</v>
      </c>
    </row>
    <row r="97" spans="1:7">
      <c r="A97">
        <v>96</v>
      </c>
      <c r="B97">
        <v>452</v>
      </c>
      <c r="C97">
        <f t="shared" si="11"/>
        <v>170.3525186304</v>
      </c>
      <c r="D97">
        <f t="shared" si="12"/>
        <v>281.64748136959997</v>
      </c>
    </row>
    <row r="98" spans="1:7">
      <c r="A98">
        <v>97</v>
      </c>
      <c r="B98">
        <v>546</v>
      </c>
      <c r="C98">
        <f t="shared" si="11"/>
        <v>170.54392456959999</v>
      </c>
      <c r="D98">
        <f t="shared" si="12"/>
        <v>375.45607543040001</v>
      </c>
    </row>
    <row r="99" spans="1:7">
      <c r="A99">
        <v>98</v>
      </c>
      <c r="B99">
        <v>623</v>
      </c>
      <c r="C99">
        <f t="shared" si="11"/>
        <v>170.73490577760001</v>
      </c>
      <c r="D99">
        <f t="shared" si="12"/>
        <v>452.26509422239997</v>
      </c>
    </row>
    <row r="100" spans="1:7">
      <c r="A100">
        <v>99</v>
      </c>
      <c r="B100">
        <v>645</v>
      </c>
      <c r="C100">
        <f t="shared" si="11"/>
        <v>170.9254622544</v>
      </c>
      <c r="D100">
        <f t="shared" si="12"/>
        <v>474.07453774559997</v>
      </c>
    </row>
    <row r="101" spans="1:7">
      <c r="A101">
        <v>100</v>
      </c>
      <c r="B101">
        <v>605</v>
      </c>
      <c r="C101">
        <f t="shared" si="11"/>
        <v>171.11559399999999</v>
      </c>
      <c r="D101">
        <f t="shared" si="12"/>
        <v>433.88440600000001</v>
      </c>
    </row>
    <row r="102" spans="1:7">
      <c r="A102">
        <v>101</v>
      </c>
      <c r="B102">
        <v>570</v>
      </c>
      <c r="C102">
        <f t="shared" si="11"/>
        <v>171.30530101440002</v>
      </c>
      <c r="D102">
        <f t="shared" si="12"/>
        <v>398.69469898559998</v>
      </c>
    </row>
    <row r="103" spans="1:7">
      <c r="A103">
        <v>102</v>
      </c>
      <c r="B103">
        <v>704</v>
      </c>
      <c r="C103">
        <f t="shared" si="11"/>
        <v>171.4945832976</v>
      </c>
      <c r="D103">
        <f t="shared" si="12"/>
        <v>532.5054167024</v>
      </c>
    </row>
    <row r="104" spans="1:7">
      <c r="A104">
        <v>103</v>
      </c>
      <c r="B104">
        <v>932</v>
      </c>
      <c r="C104">
        <f t="shared" si="11"/>
        <v>171.6834408496</v>
      </c>
      <c r="D104">
        <f t="shared" si="12"/>
        <v>760.31655915040005</v>
      </c>
    </row>
    <row r="105" spans="1:7">
      <c r="A105">
        <v>104</v>
      </c>
      <c r="B105">
        <v>1287</v>
      </c>
      <c r="C105">
        <f t="shared" si="11"/>
        <v>171.87187367039999</v>
      </c>
      <c r="D105">
        <f t="shared" si="12"/>
        <v>1115.1281263296</v>
      </c>
    </row>
    <row r="106" spans="1:7" ht="17.25">
      <c r="A106">
        <v>105</v>
      </c>
      <c r="B106">
        <v>1504</v>
      </c>
      <c r="C106">
        <f t="shared" si="11"/>
        <v>172.05988176</v>
      </c>
      <c r="D106">
        <f t="shared" si="12"/>
        <v>1331.9401182399999</v>
      </c>
      <c r="F106">
        <v>105</v>
      </c>
      <c r="G106" t="s">
        <v>16</v>
      </c>
    </row>
    <row r="107" spans="1:7">
      <c r="A107">
        <v>106</v>
      </c>
      <c r="B107">
        <v>1483</v>
      </c>
      <c r="C107">
        <f t="shared" si="11"/>
        <v>172.24746511839999</v>
      </c>
      <c r="D107">
        <f t="shared" si="12"/>
        <v>1310.7525348816</v>
      </c>
    </row>
    <row r="108" spans="1:7">
      <c r="A108">
        <v>107</v>
      </c>
      <c r="B108">
        <v>1137</v>
      </c>
      <c r="C108">
        <f t="shared" si="11"/>
        <v>172.43462374559999</v>
      </c>
      <c r="D108">
        <f t="shared" si="12"/>
        <v>964.56537625440001</v>
      </c>
    </row>
    <row r="109" spans="1:7">
      <c r="A109">
        <v>108</v>
      </c>
      <c r="B109">
        <v>818</v>
      </c>
      <c r="C109">
        <f t="shared" si="11"/>
        <v>172.62135764160001</v>
      </c>
      <c r="D109">
        <f t="shared" si="12"/>
        <v>645.37864235839993</v>
      </c>
    </row>
    <row r="110" spans="1:7">
      <c r="A110">
        <v>109</v>
      </c>
      <c r="B110">
        <v>511</v>
      </c>
      <c r="C110">
        <f t="shared" si="11"/>
        <v>172.80766680639999</v>
      </c>
      <c r="D110">
        <f t="shared" si="12"/>
        <v>338.19233319360001</v>
      </c>
    </row>
    <row r="111" spans="1:7">
      <c r="A111">
        <v>110</v>
      </c>
      <c r="B111">
        <v>355</v>
      </c>
      <c r="C111">
        <f t="shared" si="11"/>
        <v>172.99355123999999</v>
      </c>
      <c r="D111">
        <f t="shared" si="12"/>
        <v>182.00644876000001</v>
      </c>
    </row>
    <row r="112" spans="1:7">
      <c r="A112">
        <v>111</v>
      </c>
      <c r="B112">
        <v>265</v>
      </c>
      <c r="C112">
        <f t="shared" si="11"/>
        <v>173.1790109424</v>
      </c>
      <c r="D112">
        <f t="shared" si="12"/>
        <v>91.820989057600002</v>
      </c>
    </row>
    <row r="113" spans="1:4">
      <c r="A113">
        <v>112</v>
      </c>
      <c r="B113">
        <v>221</v>
      </c>
      <c r="C113">
        <f t="shared" si="11"/>
        <v>173.36404591359999</v>
      </c>
      <c r="D113">
        <f t="shared" si="12"/>
        <v>47.635954086400005</v>
      </c>
    </row>
    <row r="114" spans="1:4">
      <c r="A114">
        <v>113</v>
      </c>
      <c r="B114">
        <v>194</v>
      </c>
      <c r="C114">
        <f t="shared" si="11"/>
        <v>173.54865615360001</v>
      </c>
      <c r="D114">
        <f t="shared" si="12"/>
        <v>20.451343846399993</v>
      </c>
    </row>
    <row r="115" spans="1:4">
      <c r="A115">
        <v>114</v>
      </c>
      <c r="B115">
        <v>173</v>
      </c>
      <c r="C115">
        <f t="shared" si="11"/>
        <v>173.73284166240001</v>
      </c>
      <c r="D115">
        <f t="shared" si="12"/>
        <v>-0.73284166240000559</v>
      </c>
    </row>
    <row r="116" spans="1:4">
      <c r="A116">
        <v>115</v>
      </c>
      <c r="B116">
        <v>167</v>
      </c>
      <c r="C116">
        <f t="shared" si="11"/>
        <v>173.91660243999999</v>
      </c>
      <c r="D116">
        <f t="shared" si="12"/>
        <v>-6.9166024399999912</v>
      </c>
    </row>
    <row r="117" spans="1:4">
      <c r="A117">
        <v>116</v>
      </c>
      <c r="B117">
        <v>172</v>
      </c>
      <c r="C117">
        <f t="shared" si="11"/>
        <v>174.09993848639999</v>
      </c>
      <c r="D117">
        <f t="shared" si="12"/>
        <v>-2.0999384863999921</v>
      </c>
    </row>
    <row r="118" spans="1:4">
      <c r="A118">
        <v>117</v>
      </c>
      <c r="B118">
        <v>178</v>
      </c>
      <c r="C118">
        <f t="shared" si="11"/>
        <v>174.28284980160001</v>
      </c>
      <c r="D118">
        <f t="shared" si="12"/>
        <v>3.7171501983999917</v>
      </c>
    </row>
    <row r="119" spans="1:4">
      <c r="A119">
        <v>118</v>
      </c>
      <c r="B119">
        <v>257</v>
      </c>
      <c r="C119">
        <f t="shared" si="11"/>
        <v>174.46533638560001</v>
      </c>
      <c r="D119">
        <f t="shared" si="12"/>
        <v>82.534663614399989</v>
      </c>
    </row>
    <row r="120" spans="1:4">
      <c r="A120">
        <v>119</v>
      </c>
      <c r="B120">
        <v>390</v>
      </c>
      <c r="C120">
        <f t="shared" si="11"/>
        <v>174.6473982384</v>
      </c>
      <c r="D120">
        <f t="shared" si="12"/>
        <v>215.3526017616</v>
      </c>
    </row>
    <row r="121" spans="1:4">
      <c r="A121">
        <v>120</v>
      </c>
      <c r="B121">
        <v>568</v>
      </c>
      <c r="C121">
        <f t="shared" si="11"/>
        <v>174.82903536000001</v>
      </c>
      <c r="D121">
        <f t="shared" si="12"/>
        <v>393.17096463999997</v>
      </c>
    </row>
    <row r="122" spans="1:4">
      <c r="A122">
        <v>121</v>
      </c>
      <c r="B122">
        <v>726</v>
      </c>
      <c r="C122">
        <f t="shared" si="11"/>
        <v>175.0102477504</v>
      </c>
      <c r="D122">
        <f t="shared" si="12"/>
        <v>550.98975224959997</v>
      </c>
    </row>
    <row r="123" spans="1:4">
      <c r="A123">
        <v>122</v>
      </c>
      <c r="B123">
        <v>742</v>
      </c>
      <c r="C123">
        <f t="shared" si="11"/>
        <v>175.1910354096</v>
      </c>
      <c r="D123">
        <f t="shared" si="12"/>
        <v>566.80896459040002</v>
      </c>
    </row>
    <row r="124" spans="1:4">
      <c r="A124">
        <v>123</v>
      </c>
      <c r="B124">
        <v>555</v>
      </c>
      <c r="C124">
        <f t="shared" si="11"/>
        <v>175.3713983376</v>
      </c>
      <c r="D124">
        <f t="shared" si="12"/>
        <v>379.6286016624</v>
      </c>
    </row>
    <row r="125" spans="1:4">
      <c r="A125">
        <v>124</v>
      </c>
      <c r="B125">
        <v>353</v>
      </c>
      <c r="C125">
        <f t="shared" si="11"/>
        <v>175.55133653440001</v>
      </c>
      <c r="D125">
        <f t="shared" si="12"/>
        <v>177.44866346559999</v>
      </c>
    </row>
    <row r="126" spans="1:4">
      <c r="A126">
        <v>125</v>
      </c>
      <c r="B126">
        <v>244</v>
      </c>
      <c r="C126">
        <f t="shared" si="11"/>
        <v>175.73085</v>
      </c>
      <c r="D126">
        <f t="shared" si="12"/>
        <v>68.269149999999996</v>
      </c>
    </row>
    <row r="127" spans="1:4">
      <c r="A127">
        <v>126</v>
      </c>
      <c r="B127">
        <v>198</v>
      </c>
      <c r="C127">
        <f t="shared" si="11"/>
        <v>175.90993873439999</v>
      </c>
      <c r="D127">
        <f t="shared" si="12"/>
        <v>22.090061265600013</v>
      </c>
    </row>
    <row r="128" spans="1:4">
      <c r="A128">
        <v>127</v>
      </c>
      <c r="B128">
        <v>194</v>
      </c>
      <c r="C128">
        <f t="shared" si="11"/>
        <v>176.08860273760001</v>
      </c>
      <c r="D128">
        <f t="shared" si="12"/>
        <v>17.911397262399987</v>
      </c>
    </row>
    <row r="129" spans="1:4">
      <c r="A129">
        <v>128</v>
      </c>
      <c r="B129">
        <v>195</v>
      </c>
      <c r="C129">
        <f t="shared" si="11"/>
        <v>176.2668420096</v>
      </c>
      <c r="D129">
        <f t="shared" si="12"/>
        <v>18.733157990400002</v>
      </c>
    </row>
    <row r="130" spans="1:4">
      <c r="A130">
        <v>129</v>
      </c>
      <c r="B130">
        <v>204</v>
      </c>
      <c r="C130">
        <f t="shared" ref="C130:C193" si="13" xml:space="preserve"> -0.0002123656*A130*A130 + 0.2323925*A130 + 150</f>
        <v>176.4446565504</v>
      </c>
      <c r="D130">
        <f t="shared" ref="D130:D193" si="14">B130-C130</f>
        <v>27.555343449600002</v>
      </c>
    </row>
    <row r="131" spans="1:4">
      <c r="A131">
        <v>130</v>
      </c>
      <c r="B131">
        <v>200</v>
      </c>
      <c r="C131">
        <f t="shared" si="13"/>
        <v>176.62204636000001</v>
      </c>
      <c r="D131">
        <f t="shared" si="14"/>
        <v>23.377953639999987</v>
      </c>
    </row>
    <row r="132" spans="1:4">
      <c r="A132">
        <v>131</v>
      </c>
      <c r="B132">
        <v>193</v>
      </c>
      <c r="C132">
        <f t="shared" si="13"/>
        <v>176.79901143839999</v>
      </c>
      <c r="D132">
        <f t="shared" si="14"/>
        <v>16.200988561600013</v>
      </c>
    </row>
    <row r="133" spans="1:4">
      <c r="A133">
        <v>132</v>
      </c>
      <c r="B133">
        <v>176</v>
      </c>
      <c r="C133">
        <f t="shared" si="13"/>
        <v>176.9755517856</v>
      </c>
      <c r="D133">
        <f t="shared" si="14"/>
        <v>-0.975551785600004</v>
      </c>
    </row>
    <row r="134" spans="1:4">
      <c r="A134">
        <v>133</v>
      </c>
      <c r="B134">
        <v>181</v>
      </c>
      <c r="C134">
        <f t="shared" si="13"/>
        <v>177.15166740160001</v>
      </c>
      <c r="D134">
        <f t="shared" si="14"/>
        <v>3.8483325983999919</v>
      </c>
    </row>
    <row r="135" spans="1:4">
      <c r="A135">
        <v>134</v>
      </c>
      <c r="B135">
        <v>184</v>
      </c>
      <c r="C135">
        <f t="shared" si="13"/>
        <v>177.3273582864</v>
      </c>
      <c r="D135">
        <f t="shared" si="14"/>
        <v>6.6726417136000009</v>
      </c>
    </row>
    <row r="136" spans="1:4">
      <c r="A136">
        <v>135</v>
      </c>
      <c r="B136">
        <v>224</v>
      </c>
      <c r="C136">
        <f t="shared" si="13"/>
        <v>177.50262444000001</v>
      </c>
      <c r="D136">
        <f t="shared" si="14"/>
        <v>46.497375559999995</v>
      </c>
    </row>
    <row r="137" spans="1:4">
      <c r="A137">
        <v>136</v>
      </c>
      <c r="B137">
        <v>273</v>
      </c>
      <c r="C137">
        <f t="shared" si="13"/>
        <v>177.6774658624</v>
      </c>
      <c r="D137">
        <f t="shared" si="14"/>
        <v>95.322534137600002</v>
      </c>
    </row>
    <row r="138" spans="1:4">
      <c r="A138">
        <v>137</v>
      </c>
      <c r="B138">
        <v>326</v>
      </c>
      <c r="C138">
        <f t="shared" si="13"/>
        <v>177.85188255360001</v>
      </c>
      <c r="D138">
        <f t="shared" si="14"/>
        <v>148.14811744639999</v>
      </c>
    </row>
    <row r="139" spans="1:4">
      <c r="A139">
        <v>138</v>
      </c>
      <c r="B139">
        <v>354</v>
      </c>
      <c r="C139">
        <f t="shared" si="13"/>
        <v>178.0258745136</v>
      </c>
      <c r="D139">
        <f t="shared" si="14"/>
        <v>175.9741254864</v>
      </c>
    </row>
    <row r="140" spans="1:4">
      <c r="A140">
        <v>139</v>
      </c>
      <c r="B140">
        <v>365</v>
      </c>
      <c r="C140">
        <f t="shared" si="13"/>
        <v>178.19944174239998</v>
      </c>
      <c r="D140">
        <f t="shared" si="14"/>
        <v>186.80055825760002</v>
      </c>
    </row>
    <row r="141" spans="1:4">
      <c r="A141">
        <v>140</v>
      </c>
      <c r="B141">
        <v>388</v>
      </c>
      <c r="C141">
        <f t="shared" si="13"/>
        <v>178.37258424000001</v>
      </c>
      <c r="D141">
        <f t="shared" si="14"/>
        <v>209.62741575999999</v>
      </c>
    </row>
    <row r="142" spans="1:4">
      <c r="A142">
        <v>141</v>
      </c>
      <c r="B142">
        <v>418</v>
      </c>
      <c r="C142">
        <f t="shared" si="13"/>
        <v>178.54530200639999</v>
      </c>
      <c r="D142">
        <f t="shared" si="14"/>
        <v>239.45469799360001</v>
      </c>
    </row>
    <row r="143" spans="1:4">
      <c r="A143">
        <v>142</v>
      </c>
      <c r="B143">
        <v>458</v>
      </c>
      <c r="C143">
        <f t="shared" si="13"/>
        <v>178.71759504159999</v>
      </c>
      <c r="D143">
        <f t="shared" si="14"/>
        <v>279.28240495839998</v>
      </c>
    </row>
    <row r="144" spans="1:4">
      <c r="A144">
        <v>143</v>
      </c>
      <c r="B144">
        <v>511</v>
      </c>
      <c r="C144">
        <f t="shared" si="13"/>
        <v>178.88946334560001</v>
      </c>
      <c r="D144">
        <f t="shared" si="14"/>
        <v>332.11053665439999</v>
      </c>
    </row>
    <row r="145" spans="1:7">
      <c r="A145">
        <v>144</v>
      </c>
      <c r="B145">
        <v>544</v>
      </c>
      <c r="C145">
        <f t="shared" si="13"/>
        <v>179.06090691840001</v>
      </c>
      <c r="D145">
        <f t="shared" si="14"/>
        <v>364.93909308159999</v>
      </c>
    </row>
    <row r="146" spans="1:7">
      <c r="A146">
        <v>145</v>
      </c>
      <c r="B146">
        <v>540</v>
      </c>
      <c r="C146">
        <f t="shared" si="13"/>
        <v>179.23192576</v>
      </c>
      <c r="D146">
        <f t="shared" si="14"/>
        <v>360.76807424000003</v>
      </c>
    </row>
    <row r="147" spans="1:7">
      <c r="A147">
        <v>146</v>
      </c>
      <c r="B147">
        <v>521</v>
      </c>
      <c r="C147">
        <f t="shared" si="13"/>
        <v>179.4025198704</v>
      </c>
      <c r="D147">
        <f t="shared" si="14"/>
        <v>341.5974801296</v>
      </c>
    </row>
    <row r="148" spans="1:7">
      <c r="A148">
        <v>147</v>
      </c>
      <c r="B148">
        <v>512</v>
      </c>
      <c r="C148">
        <f t="shared" si="13"/>
        <v>179.57268924959999</v>
      </c>
      <c r="D148">
        <f t="shared" si="14"/>
        <v>332.42731075040001</v>
      </c>
    </row>
    <row r="149" spans="1:7">
      <c r="A149">
        <v>148</v>
      </c>
      <c r="B149">
        <v>522</v>
      </c>
      <c r="C149">
        <f t="shared" si="13"/>
        <v>179.74243389759999</v>
      </c>
      <c r="D149">
        <f t="shared" si="14"/>
        <v>342.25756610240001</v>
      </c>
    </row>
    <row r="150" spans="1:7">
      <c r="A150">
        <v>149</v>
      </c>
      <c r="B150">
        <v>535</v>
      </c>
      <c r="C150">
        <f t="shared" si="13"/>
        <v>179.91175381440002</v>
      </c>
      <c r="D150">
        <f t="shared" si="14"/>
        <v>355.08824618559998</v>
      </c>
    </row>
    <row r="151" spans="1:7">
      <c r="A151">
        <v>150</v>
      </c>
      <c r="B151">
        <v>549</v>
      </c>
      <c r="C151">
        <f t="shared" si="13"/>
        <v>180.08064899999999</v>
      </c>
      <c r="D151">
        <f t="shared" si="14"/>
        <v>368.91935100000001</v>
      </c>
    </row>
    <row r="152" spans="1:7">
      <c r="A152">
        <v>151</v>
      </c>
      <c r="B152">
        <v>524</v>
      </c>
      <c r="C152">
        <f t="shared" si="13"/>
        <v>180.24911945439999</v>
      </c>
      <c r="D152">
        <f t="shared" si="14"/>
        <v>343.75088054560001</v>
      </c>
    </row>
    <row r="153" spans="1:7">
      <c r="A153">
        <v>152</v>
      </c>
      <c r="B153">
        <v>487</v>
      </c>
      <c r="C153">
        <f t="shared" si="13"/>
        <v>180.4171651776</v>
      </c>
      <c r="D153">
        <f t="shared" si="14"/>
        <v>306.5828348224</v>
      </c>
    </row>
    <row r="154" spans="1:7">
      <c r="A154">
        <v>153</v>
      </c>
      <c r="B154">
        <v>463</v>
      </c>
      <c r="C154">
        <f t="shared" si="13"/>
        <v>180.58478616959999</v>
      </c>
      <c r="D154">
        <f t="shared" si="14"/>
        <v>282.41521383040003</v>
      </c>
    </row>
    <row r="155" spans="1:7">
      <c r="A155">
        <v>154</v>
      </c>
      <c r="B155">
        <v>446</v>
      </c>
      <c r="C155">
        <f t="shared" si="13"/>
        <v>180.75198243040001</v>
      </c>
      <c r="D155">
        <f t="shared" si="14"/>
        <v>265.24801756959999</v>
      </c>
    </row>
    <row r="156" spans="1:7">
      <c r="A156">
        <v>155</v>
      </c>
      <c r="B156">
        <v>490</v>
      </c>
      <c r="C156">
        <f t="shared" si="13"/>
        <v>180.91875396</v>
      </c>
      <c r="D156">
        <f t="shared" si="14"/>
        <v>309.08124604</v>
      </c>
    </row>
    <row r="157" spans="1:7">
      <c r="A157">
        <v>156</v>
      </c>
      <c r="B157">
        <v>751</v>
      </c>
      <c r="C157">
        <f t="shared" si="13"/>
        <v>181.08510075840002</v>
      </c>
      <c r="D157">
        <f t="shared" si="14"/>
        <v>569.91489924159998</v>
      </c>
    </row>
    <row r="158" spans="1:7">
      <c r="A158">
        <v>157</v>
      </c>
      <c r="B158">
        <v>1114</v>
      </c>
      <c r="C158">
        <f t="shared" si="13"/>
        <v>181.25102282559999</v>
      </c>
      <c r="D158">
        <f t="shared" si="14"/>
        <v>932.74897717440001</v>
      </c>
    </row>
    <row r="159" spans="1:7">
      <c r="A159">
        <v>158</v>
      </c>
      <c r="B159">
        <v>1632</v>
      </c>
      <c r="C159">
        <f t="shared" si="13"/>
        <v>181.4165201616</v>
      </c>
      <c r="D159">
        <f t="shared" si="14"/>
        <v>1450.5834798384001</v>
      </c>
    </row>
    <row r="160" spans="1:7" ht="17.25">
      <c r="A160">
        <v>159</v>
      </c>
      <c r="B160">
        <v>1804</v>
      </c>
      <c r="C160">
        <f t="shared" si="13"/>
        <v>181.58159276640001</v>
      </c>
      <c r="D160">
        <f t="shared" si="14"/>
        <v>1622.4184072336</v>
      </c>
      <c r="F160">
        <v>159</v>
      </c>
      <c r="G160" t="s">
        <v>17</v>
      </c>
    </row>
    <row r="161" spans="1:4">
      <c r="A161">
        <v>160</v>
      </c>
      <c r="B161">
        <v>1568</v>
      </c>
      <c r="C161">
        <f t="shared" si="13"/>
        <v>181.74624064</v>
      </c>
      <c r="D161">
        <f t="shared" si="14"/>
        <v>1386.25375936</v>
      </c>
    </row>
    <row r="162" spans="1:4">
      <c r="A162">
        <v>161</v>
      </c>
      <c r="B162">
        <v>1027</v>
      </c>
      <c r="C162">
        <f t="shared" si="13"/>
        <v>181.9104637824</v>
      </c>
      <c r="D162">
        <f t="shared" si="14"/>
        <v>845.08953621759997</v>
      </c>
    </row>
    <row r="163" spans="1:4">
      <c r="A163">
        <v>162</v>
      </c>
      <c r="B163">
        <v>656</v>
      </c>
      <c r="C163">
        <f t="shared" si="13"/>
        <v>182.07426219359999</v>
      </c>
      <c r="D163">
        <f t="shared" si="14"/>
        <v>473.92573780639998</v>
      </c>
    </row>
    <row r="164" spans="1:4">
      <c r="A164">
        <v>163</v>
      </c>
      <c r="B164">
        <v>442</v>
      </c>
      <c r="C164">
        <f t="shared" si="13"/>
        <v>182.2376358736</v>
      </c>
      <c r="D164">
        <f t="shared" si="14"/>
        <v>259.76236412640003</v>
      </c>
    </row>
    <row r="165" spans="1:4">
      <c r="A165">
        <v>164</v>
      </c>
      <c r="B165">
        <v>411</v>
      </c>
      <c r="C165">
        <f t="shared" si="13"/>
        <v>182.40058482239999</v>
      </c>
      <c r="D165">
        <f t="shared" si="14"/>
        <v>228.59941517760001</v>
      </c>
    </row>
    <row r="166" spans="1:4">
      <c r="A166">
        <v>165</v>
      </c>
      <c r="B166">
        <v>412</v>
      </c>
      <c r="C166">
        <f t="shared" si="13"/>
        <v>182.56310904</v>
      </c>
      <c r="D166">
        <f t="shared" si="14"/>
        <v>229.43689096</v>
      </c>
    </row>
    <row r="167" spans="1:4">
      <c r="A167">
        <v>166</v>
      </c>
      <c r="B167">
        <v>412</v>
      </c>
      <c r="C167">
        <f t="shared" si="13"/>
        <v>182.7252085264</v>
      </c>
      <c r="D167">
        <f t="shared" si="14"/>
        <v>229.2747914736</v>
      </c>
    </row>
    <row r="168" spans="1:4">
      <c r="A168">
        <v>167</v>
      </c>
      <c r="B168">
        <v>398</v>
      </c>
      <c r="C168">
        <f t="shared" si="13"/>
        <v>182.88688328160001</v>
      </c>
      <c r="D168">
        <f t="shared" si="14"/>
        <v>215.11311671839999</v>
      </c>
    </row>
    <row r="169" spans="1:4">
      <c r="A169">
        <v>168</v>
      </c>
      <c r="B169">
        <v>436</v>
      </c>
      <c r="C169">
        <f t="shared" si="13"/>
        <v>183.0481333056</v>
      </c>
      <c r="D169">
        <f t="shared" si="14"/>
        <v>252.9518666944</v>
      </c>
    </row>
    <row r="170" spans="1:4">
      <c r="A170">
        <v>169</v>
      </c>
      <c r="B170">
        <v>608</v>
      </c>
      <c r="C170">
        <f t="shared" si="13"/>
        <v>183.20895859839999</v>
      </c>
      <c r="D170">
        <f t="shared" si="14"/>
        <v>424.79104140160001</v>
      </c>
    </row>
    <row r="171" spans="1:4">
      <c r="A171">
        <v>170</v>
      </c>
      <c r="B171">
        <v>838</v>
      </c>
      <c r="C171">
        <f t="shared" si="13"/>
        <v>183.36935915999999</v>
      </c>
      <c r="D171">
        <f t="shared" si="14"/>
        <v>654.63064084000007</v>
      </c>
    </row>
    <row r="172" spans="1:4">
      <c r="A172">
        <v>171</v>
      </c>
      <c r="B172">
        <v>1204</v>
      </c>
      <c r="C172">
        <f t="shared" si="13"/>
        <v>183.5293349904</v>
      </c>
      <c r="D172">
        <f t="shared" si="14"/>
        <v>1020.4706650096</v>
      </c>
    </row>
    <row r="173" spans="1:4">
      <c r="A173">
        <v>172</v>
      </c>
      <c r="B173">
        <v>1404</v>
      </c>
      <c r="C173">
        <f t="shared" si="13"/>
        <v>183.6888860896</v>
      </c>
      <c r="D173">
        <f t="shared" si="14"/>
        <v>1220.3111139104001</v>
      </c>
    </row>
    <row r="174" spans="1:4">
      <c r="A174">
        <v>173</v>
      </c>
      <c r="B174">
        <v>1451</v>
      </c>
      <c r="C174">
        <f t="shared" si="13"/>
        <v>183.84801245759999</v>
      </c>
      <c r="D174">
        <f t="shared" si="14"/>
        <v>1267.1519875424001</v>
      </c>
    </row>
    <row r="175" spans="1:4">
      <c r="A175">
        <v>174</v>
      </c>
      <c r="B175">
        <v>1221</v>
      </c>
      <c r="C175">
        <f t="shared" si="13"/>
        <v>184.0067140944</v>
      </c>
      <c r="D175">
        <f t="shared" si="14"/>
        <v>1036.9932859056</v>
      </c>
    </row>
    <row r="176" spans="1:4">
      <c r="A176">
        <v>175</v>
      </c>
      <c r="B176">
        <v>918</v>
      </c>
      <c r="C176">
        <f t="shared" si="13"/>
        <v>184.16499099999999</v>
      </c>
      <c r="D176">
        <f t="shared" si="14"/>
        <v>733.83500900000001</v>
      </c>
    </row>
    <row r="177" spans="1:7">
      <c r="A177">
        <v>176</v>
      </c>
      <c r="B177">
        <v>619</v>
      </c>
      <c r="C177">
        <f t="shared" si="13"/>
        <v>184.32284317439999</v>
      </c>
      <c r="D177">
        <f t="shared" si="14"/>
        <v>434.67715682560004</v>
      </c>
    </row>
    <row r="178" spans="1:7">
      <c r="A178">
        <v>177</v>
      </c>
      <c r="B178">
        <v>509</v>
      </c>
      <c r="C178">
        <f t="shared" si="13"/>
        <v>184.48027061760001</v>
      </c>
      <c r="D178">
        <f t="shared" si="14"/>
        <v>324.51972938239999</v>
      </c>
    </row>
    <row r="179" spans="1:7">
      <c r="A179">
        <v>178</v>
      </c>
      <c r="B179">
        <v>745</v>
      </c>
      <c r="C179">
        <f t="shared" si="13"/>
        <v>184.63727332959999</v>
      </c>
      <c r="D179">
        <f t="shared" si="14"/>
        <v>560.36272667039998</v>
      </c>
    </row>
    <row r="180" spans="1:7">
      <c r="A180">
        <v>179</v>
      </c>
      <c r="B180">
        <v>1261</v>
      </c>
      <c r="C180">
        <f t="shared" si="13"/>
        <v>184.79385131039999</v>
      </c>
      <c r="D180">
        <f t="shared" si="14"/>
        <v>1076.2061486896</v>
      </c>
    </row>
    <row r="181" spans="1:7">
      <c r="A181">
        <v>180</v>
      </c>
      <c r="B181">
        <v>2037</v>
      </c>
      <c r="C181">
        <f t="shared" si="13"/>
        <v>184.95000456</v>
      </c>
      <c r="D181">
        <f t="shared" si="14"/>
        <v>1852.04999544</v>
      </c>
    </row>
    <row r="182" spans="1:7" ht="17.25">
      <c r="A182">
        <v>181</v>
      </c>
      <c r="B182">
        <v>2529</v>
      </c>
      <c r="C182">
        <f t="shared" si="13"/>
        <v>185.10573307839999</v>
      </c>
      <c r="D182">
        <f t="shared" si="14"/>
        <v>2343.8942669215999</v>
      </c>
      <c r="F182">
        <v>181</v>
      </c>
      <c r="G182" t="s">
        <v>18</v>
      </c>
    </row>
    <row r="183" spans="1:7">
      <c r="A183">
        <v>182</v>
      </c>
      <c r="B183">
        <v>2338</v>
      </c>
      <c r="C183">
        <f t="shared" si="13"/>
        <v>185.2610368656</v>
      </c>
      <c r="D183">
        <f t="shared" si="14"/>
        <v>2152.7389631343999</v>
      </c>
    </row>
    <row r="184" spans="1:7">
      <c r="A184">
        <v>183</v>
      </c>
      <c r="B184">
        <v>1545</v>
      </c>
      <c r="C184">
        <f t="shared" si="13"/>
        <v>185.4159159216</v>
      </c>
      <c r="D184">
        <f t="shared" si="14"/>
        <v>1359.5840840783999</v>
      </c>
    </row>
    <row r="185" spans="1:7">
      <c r="A185">
        <v>184</v>
      </c>
      <c r="B185">
        <v>880</v>
      </c>
      <c r="C185">
        <f t="shared" si="13"/>
        <v>185.57037024639999</v>
      </c>
      <c r="D185">
        <f t="shared" si="14"/>
        <v>694.42962975360001</v>
      </c>
    </row>
    <row r="186" spans="1:7">
      <c r="A186">
        <v>185</v>
      </c>
      <c r="B186">
        <v>468</v>
      </c>
      <c r="C186">
        <f t="shared" si="13"/>
        <v>185.72439983999999</v>
      </c>
      <c r="D186">
        <f t="shared" si="14"/>
        <v>282.27560016000001</v>
      </c>
    </row>
    <row r="187" spans="1:7">
      <c r="A187">
        <v>186</v>
      </c>
      <c r="B187">
        <v>320</v>
      </c>
      <c r="C187">
        <f t="shared" si="13"/>
        <v>185.87800470240001</v>
      </c>
      <c r="D187">
        <f t="shared" si="14"/>
        <v>134.12199529759999</v>
      </c>
    </row>
    <row r="188" spans="1:7">
      <c r="A188">
        <v>187</v>
      </c>
      <c r="B188">
        <v>273</v>
      </c>
      <c r="C188">
        <f t="shared" si="13"/>
        <v>186.03118483360001</v>
      </c>
      <c r="D188">
        <f t="shared" si="14"/>
        <v>86.968815166399992</v>
      </c>
    </row>
    <row r="189" spans="1:7">
      <c r="A189">
        <v>188</v>
      </c>
      <c r="B189">
        <v>262</v>
      </c>
      <c r="C189">
        <f t="shared" si="13"/>
        <v>186.1839402336</v>
      </c>
      <c r="D189">
        <f t="shared" si="14"/>
        <v>75.816059766400002</v>
      </c>
    </row>
    <row r="190" spans="1:7">
      <c r="A190">
        <v>189</v>
      </c>
      <c r="B190">
        <v>247</v>
      </c>
      <c r="C190">
        <f t="shared" si="13"/>
        <v>186.3362709024</v>
      </c>
      <c r="D190">
        <f t="shared" si="14"/>
        <v>60.663729097599997</v>
      </c>
    </row>
    <row r="191" spans="1:7">
      <c r="A191">
        <v>190</v>
      </c>
      <c r="B191">
        <v>242</v>
      </c>
      <c r="C191">
        <f t="shared" si="13"/>
        <v>186.48817683999999</v>
      </c>
      <c r="D191">
        <f t="shared" si="14"/>
        <v>55.511823160000006</v>
      </c>
    </row>
    <row r="192" spans="1:7">
      <c r="A192">
        <v>191</v>
      </c>
      <c r="B192">
        <v>251</v>
      </c>
      <c r="C192">
        <f t="shared" si="13"/>
        <v>186.6396580464</v>
      </c>
      <c r="D192">
        <f t="shared" si="14"/>
        <v>64.360341953599999</v>
      </c>
    </row>
    <row r="193" spans="1:4">
      <c r="A193">
        <v>192</v>
      </c>
      <c r="B193">
        <v>253</v>
      </c>
      <c r="C193">
        <f t="shared" si="13"/>
        <v>186.79071452159999</v>
      </c>
      <c r="D193">
        <f t="shared" si="14"/>
        <v>66.209285478400005</v>
      </c>
    </row>
    <row r="194" spans="1:4">
      <c r="A194">
        <v>193</v>
      </c>
      <c r="B194">
        <v>248</v>
      </c>
      <c r="C194">
        <f t="shared" ref="C194:C257" si="15" xml:space="preserve"> -0.0002123656*A194*A194 + 0.2323925*A194 + 150</f>
        <v>186.9413462656</v>
      </c>
      <c r="D194">
        <f t="shared" ref="D194:D257" si="16">B194-C194</f>
        <v>61.058653734399996</v>
      </c>
    </row>
    <row r="195" spans="1:4">
      <c r="A195">
        <v>194</v>
      </c>
      <c r="B195">
        <v>264</v>
      </c>
      <c r="C195">
        <f t="shared" si="15"/>
        <v>187.0915532784</v>
      </c>
      <c r="D195">
        <f t="shared" si="16"/>
        <v>76.908446721600001</v>
      </c>
    </row>
    <row r="196" spans="1:4">
      <c r="A196">
        <v>195</v>
      </c>
      <c r="B196">
        <v>256</v>
      </c>
      <c r="C196">
        <f t="shared" si="15"/>
        <v>187.24133556000001</v>
      </c>
      <c r="D196">
        <f t="shared" si="16"/>
        <v>68.75866443999999</v>
      </c>
    </row>
    <row r="197" spans="1:4">
      <c r="A197">
        <v>196</v>
      </c>
      <c r="B197">
        <v>281</v>
      </c>
      <c r="C197">
        <f t="shared" si="15"/>
        <v>187.39069311040001</v>
      </c>
      <c r="D197">
        <f t="shared" si="16"/>
        <v>93.609306889599992</v>
      </c>
    </row>
    <row r="198" spans="1:4">
      <c r="A198">
        <v>197</v>
      </c>
      <c r="B198">
        <v>288</v>
      </c>
      <c r="C198">
        <f t="shared" si="15"/>
        <v>187.53962592959999</v>
      </c>
      <c r="D198">
        <f t="shared" si="16"/>
        <v>100.46037407040001</v>
      </c>
    </row>
    <row r="199" spans="1:4">
      <c r="A199">
        <v>198</v>
      </c>
      <c r="B199">
        <v>323</v>
      </c>
      <c r="C199">
        <f t="shared" si="15"/>
        <v>187.68813401759999</v>
      </c>
      <c r="D199">
        <f t="shared" si="16"/>
        <v>135.31186598240001</v>
      </c>
    </row>
    <row r="200" spans="1:4">
      <c r="A200">
        <v>199</v>
      </c>
      <c r="B200">
        <v>382</v>
      </c>
      <c r="C200">
        <f t="shared" si="15"/>
        <v>187.83621737440001</v>
      </c>
      <c r="D200">
        <f t="shared" si="16"/>
        <v>194.16378262559999</v>
      </c>
    </row>
    <row r="201" spans="1:4">
      <c r="A201">
        <v>200</v>
      </c>
      <c r="B201">
        <v>465</v>
      </c>
      <c r="C201">
        <f t="shared" si="15"/>
        <v>187.98387600000001</v>
      </c>
      <c r="D201">
        <f t="shared" si="16"/>
        <v>277.01612399999999</v>
      </c>
    </row>
    <row r="202" spans="1:4">
      <c r="A202">
        <v>201</v>
      </c>
      <c r="B202">
        <v>592</v>
      </c>
      <c r="C202">
        <f t="shared" si="15"/>
        <v>188.1311098944</v>
      </c>
      <c r="D202">
        <f t="shared" si="16"/>
        <v>403.86889010560003</v>
      </c>
    </row>
    <row r="203" spans="1:4">
      <c r="A203">
        <v>202</v>
      </c>
      <c r="B203">
        <v>723</v>
      </c>
      <c r="C203">
        <f t="shared" si="15"/>
        <v>188.2779190576</v>
      </c>
      <c r="D203">
        <f t="shared" si="16"/>
        <v>534.7220809424</v>
      </c>
    </row>
    <row r="204" spans="1:4">
      <c r="A204">
        <v>203</v>
      </c>
      <c r="B204">
        <v>797</v>
      </c>
      <c r="C204">
        <f t="shared" si="15"/>
        <v>188.42430348959999</v>
      </c>
      <c r="D204">
        <f t="shared" si="16"/>
        <v>608.57569651040001</v>
      </c>
    </row>
    <row r="205" spans="1:4">
      <c r="A205">
        <v>204</v>
      </c>
      <c r="B205">
        <v>873</v>
      </c>
      <c r="C205">
        <f t="shared" si="15"/>
        <v>188.5702631904</v>
      </c>
      <c r="D205">
        <f t="shared" si="16"/>
        <v>684.42973680959994</v>
      </c>
    </row>
    <row r="206" spans="1:4">
      <c r="A206">
        <v>205</v>
      </c>
      <c r="B206">
        <v>927</v>
      </c>
      <c r="C206">
        <f t="shared" si="15"/>
        <v>188.71579815999999</v>
      </c>
      <c r="D206">
        <f t="shared" si="16"/>
        <v>738.28420184000004</v>
      </c>
    </row>
    <row r="207" spans="1:4">
      <c r="A207">
        <v>206</v>
      </c>
      <c r="B207">
        <v>940</v>
      </c>
      <c r="C207">
        <f t="shared" si="15"/>
        <v>188.8609083984</v>
      </c>
      <c r="D207">
        <f t="shared" si="16"/>
        <v>751.13909160160006</v>
      </c>
    </row>
    <row r="208" spans="1:4">
      <c r="A208">
        <v>207</v>
      </c>
      <c r="B208">
        <v>824</v>
      </c>
      <c r="C208">
        <f t="shared" si="15"/>
        <v>189.00559390559999</v>
      </c>
      <c r="D208">
        <f t="shared" si="16"/>
        <v>634.99440609440001</v>
      </c>
    </row>
    <row r="209" spans="1:7">
      <c r="A209">
        <v>208</v>
      </c>
      <c r="B209">
        <v>696</v>
      </c>
      <c r="C209">
        <f t="shared" si="15"/>
        <v>189.1498546816</v>
      </c>
      <c r="D209">
        <f t="shared" si="16"/>
        <v>506.8501453184</v>
      </c>
    </row>
    <row r="210" spans="1:7">
      <c r="A210">
        <v>209</v>
      </c>
      <c r="B210">
        <v>607</v>
      </c>
      <c r="C210">
        <f t="shared" si="15"/>
        <v>189.2936907264</v>
      </c>
      <c r="D210">
        <f t="shared" si="16"/>
        <v>417.70630927360003</v>
      </c>
    </row>
    <row r="211" spans="1:7">
      <c r="A211">
        <v>210</v>
      </c>
      <c r="B211">
        <v>597</v>
      </c>
      <c r="C211">
        <f t="shared" si="15"/>
        <v>189.43710204000001</v>
      </c>
      <c r="D211">
        <f t="shared" si="16"/>
        <v>407.56289795999999</v>
      </c>
    </row>
    <row r="212" spans="1:7">
      <c r="A212">
        <v>211</v>
      </c>
      <c r="B212">
        <v>642</v>
      </c>
      <c r="C212">
        <f t="shared" si="15"/>
        <v>189.58008862240001</v>
      </c>
      <c r="D212">
        <f t="shared" si="16"/>
        <v>452.41991137759999</v>
      </c>
    </row>
    <row r="213" spans="1:7">
      <c r="A213">
        <v>212</v>
      </c>
      <c r="B213">
        <v>718</v>
      </c>
      <c r="C213">
        <f t="shared" si="15"/>
        <v>189.7226504736</v>
      </c>
      <c r="D213">
        <f t="shared" si="16"/>
        <v>528.27734952640003</v>
      </c>
    </row>
    <row r="214" spans="1:7">
      <c r="A214">
        <v>213</v>
      </c>
      <c r="B214">
        <v>1053</v>
      </c>
      <c r="C214">
        <f t="shared" si="15"/>
        <v>189.8647875936</v>
      </c>
      <c r="D214">
        <f t="shared" si="16"/>
        <v>863.1352124064</v>
      </c>
    </row>
    <row r="215" spans="1:7">
      <c r="A215">
        <v>214</v>
      </c>
      <c r="B215">
        <v>2443</v>
      </c>
      <c r="C215">
        <f t="shared" si="15"/>
        <v>190.00649998239999</v>
      </c>
      <c r="D215">
        <f t="shared" si="16"/>
        <v>2252.9935000176001</v>
      </c>
    </row>
    <row r="216" spans="1:7">
      <c r="A216">
        <v>215</v>
      </c>
      <c r="B216">
        <v>4630</v>
      </c>
      <c r="C216">
        <f t="shared" si="15"/>
        <v>190.14778763999999</v>
      </c>
      <c r="D216">
        <f t="shared" si="16"/>
        <v>4439.8522123599996</v>
      </c>
    </row>
    <row r="217" spans="1:7">
      <c r="A217">
        <v>216</v>
      </c>
      <c r="B217">
        <v>7720</v>
      </c>
      <c r="C217">
        <f t="shared" si="15"/>
        <v>190.28865056640001</v>
      </c>
      <c r="D217">
        <f t="shared" si="16"/>
        <v>7529.7113494335999</v>
      </c>
    </row>
    <row r="218" spans="1:7" ht="17.25">
      <c r="A218">
        <v>217</v>
      </c>
      <c r="B218">
        <v>8778</v>
      </c>
      <c r="C218">
        <f t="shared" si="15"/>
        <v>190.42908876159998</v>
      </c>
      <c r="D218">
        <f t="shared" si="16"/>
        <v>8587.5709112383993</v>
      </c>
      <c r="F218">
        <v>217</v>
      </c>
      <c r="G218" t="s">
        <v>19</v>
      </c>
    </row>
    <row r="219" spans="1:7">
      <c r="A219">
        <v>218</v>
      </c>
      <c r="B219">
        <v>7337</v>
      </c>
      <c r="C219">
        <f t="shared" si="15"/>
        <v>190.56910222560001</v>
      </c>
      <c r="D219">
        <f t="shared" si="16"/>
        <v>7146.4308977744004</v>
      </c>
    </row>
    <row r="220" spans="1:7">
      <c r="A220">
        <v>219</v>
      </c>
      <c r="B220">
        <v>4268</v>
      </c>
      <c r="C220">
        <f t="shared" si="15"/>
        <v>190.70869095839998</v>
      </c>
      <c r="D220">
        <f t="shared" si="16"/>
        <v>4077.2913090416</v>
      </c>
    </row>
    <row r="221" spans="1:7">
      <c r="A221">
        <v>220</v>
      </c>
      <c r="B221">
        <v>2090</v>
      </c>
      <c r="C221">
        <f t="shared" si="15"/>
        <v>190.84785496000001</v>
      </c>
      <c r="D221">
        <f t="shared" si="16"/>
        <v>1899.1521450400001</v>
      </c>
    </row>
    <row r="222" spans="1:7">
      <c r="A222">
        <v>221</v>
      </c>
      <c r="B222">
        <v>941</v>
      </c>
      <c r="C222">
        <f t="shared" si="15"/>
        <v>190.98659423039999</v>
      </c>
      <c r="D222">
        <f t="shared" si="16"/>
        <v>750.01340576960001</v>
      </c>
    </row>
    <row r="223" spans="1:7">
      <c r="A223">
        <v>222</v>
      </c>
      <c r="B223">
        <v>620</v>
      </c>
      <c r="C223">
        <f t="shared" si="15"/>
        <v>191.12490876959998</v>
      </c>
      <c r="D223">
        <f t="shared" si="16"/>
        <v>428.87509123040002</v>
      </c>
    </row>
    <row r="224" spans="1:7">
      <c r="A224">
        <v>223</v>
      </c>
      <c r="B224">
        <v>524</v>
      </c>
      <c r="C224">
        <f t="shared" si="15"/>
        <v>191.26279857759999</v>
      </c>
      <c r="D224">
        <f t="shared" si="16"/>
        <v>332.73720142240001</v>
      </c>
    </row>
    <row r="225" spans="1:7">
      <c r="A225">
        <v>224</v>
      </c>
      <c r="B225">
        <v>528</v>
      </c>
      <c r="C225">
        <f t="shared" si="15"/>
        <v>191.40026365439999</v>
      </c>
      <c r="D225">
        <f t="shared" si="16"/>
        <v>336.59973634560004</v>
      </c>
    </row>
    <row r="226" spans="1:7">
      <c r="A226">
        <v>225</v>
      </c>
      <c r="B226">
        <v>511</v>
      </c>
      <c r="C226">
        <f t="shared" si="15"/>
        <v>191.53730400000001</v>
      </c>
      <c r="D226">
        <f t="shared" si="16"/>
        <v>319.46269599999999</v>
      </c>
    </row>
    <row r="227" spans="1:7">
      <c r="A227">
        <v>226</v>
      </c>
      <c r="B227">
        <v>486</v>
      </c>
      <c r="C227">
        <f t="shared" si="15"/>
        <v>191.67391961440001</v>
      </c>
      <c r="D227">
        <f t="shared" si="16"/>
        <v>294.32608038559999</v>
      </c>
    </row>
    <row r="228" spans="1:7">
      <c r="A228">
        <v>227</v>
      </c>
      <c r="B228">
        <v>465</v>
      </c>
      <c r="C228">
        <f t="shared" si="15"/>
        <v>191.81011049759999</v>
      </c>
      <c r="D228">
        <f t="shared" si="16"/>
        <v>273.18988950239998</v>
      </c>
    </row>
    <row r="229" spans="1:7">
      <c r="A229">
        <v>228</v>
      </c>
      <c r="B229">
        <v>459</v>
      </c>
      <c r="C229">
        <f t="shared" si="15"/>
        <v>191.9458766496</v>
      </c>
      <c r="D229">
        <f t="shared" si="16"/>
        <v>267.0541233504</v>
      </c>
    </row>
    <row r="230" spans="1:7">
      <c r="A230">
        <v>229</v>
      </c>
      <c r="B230">
        <v>476</v>
      </c>
      <c r="C230">
        <f t="shared" si="15"/>
        <v>192.08121807039998</v>
      </c>
      <c r="D230">
        <f t="shared" si="16"/>
        <v>283.91878192960002</v>
      </c>
    </row>
    <row r="231" spans="1:7">
      <c r="A231">
        <v>230</v>
      </c>
      <c r="B231">
        <v>594</v>
      </c>
      <c r="C231">
        <f t="shared" si="15"/>
        <v>192.21613475999999</v>
      </c>
      <c r="D231">
        <f t="shared" si="16"/>
        <v>401.78386524000001</v>
      </c>
    </row>
    <row r="232" spans="1:7">
      <c r="A232">
        <v>231</v>
      </c>
      <c r="B232">
        <v>744</v>
      </c>
      <c r="C232">
        <f t="shared" si="15"/>
        <v>192.35062671840001</v>
      </c>
      <c r="D232">
        <f t="shared" si="16"/>
        <v>551.64937328159999</v>
      </c>
    </row>
    <row r="233" spans="1:7">
      <c r="A233">
        <v>232</v>
      </c>
      <c r="B233">
        <v>1001</v>
      </c>
      <c r="C233">
        <f t="shared" si="15"/>
        <v>192.48469394559999</v>
      </c>
      <c r="D233">
        <f t="shared" si="16"/>
        <v>808.51530605440007</v>
      </c>
    </row>
    <row r="234" spans="1:7" ht="17.25">
      <c r="A234">
        <v>233</v>
      </c>
      <c r="B234">
        <v>1114</v>
      </c>
      <c r="C234">
        <f t="shared" si="15"/>
        <v>192.61833644160001</v>
      </c>
      <c r="D234">
        <f t="shared" si="16"/>
        <v>921.38166355839996</v>
      </c>
      <c r="F234">
        <v>233</v>
      </c>
      <c r="G234" t="s">
        <v>20</v>
      </c>
    </row>
    <row r="235" spans="1:7">
      <c r="A235">
        <v>234</v>
      </c>
      <c r="B235">
        <v>1009</v>
      </c>
      <c r="C235">
        <f t="shared" si="15"/>
        <v>192.75155420639999</v>
      </c>
      <c r="D235">
        <f t="shared" si="16"/>
        <v>816.24844579360001</v>
      </c>
    </row>
    <row r="236" spans="1:7">
      <c r="A236">
        <v>235</v>
      </c>
      <c r="B236">
        <v>711</v>
      </c>
      <c r="C236">
        <f t="shared" si="15"/>
        <v>192.88434724000001</v>
      </c>
      <c r="D236">
        <f t="shared" si="16"/>
        <v>518.11565275999999</v>
      </c>
    </row>
    <row r="237" spans="1:7">
      <c r="A237">
        <v>236</v>
      </c>
      <c r="B237">
        <v>517</v>
      </c>
      <c r="C237">
        <f t="shared" si="15"/>
        <v>193.01671554239999</v>
      </c>
      <c r="D237">
        <f t="shared" si="16"/>
        <v>323.98328445760001</v>
      </c>
    </row>
    <row r="238" spans="1:7">
      <c r="A238">
        <v>237</v>
      </c>
      <c r="B238">
        <v>393</v>
      </c>
      <c r="C238">
        <f t="shared" si="15"/>
        <v>193.14865911359999</v>
      </c>
      <c r="D238">
        <f t="shared" si="16"/>
        <v>199.85134088640001</v>
      </c>
    </row>
    <row r="239" spans="1:7">
      <c r="A239">
        <v>238</v>
      </c>
      <c r="B239">
        <v>378</v>
      </c>
      <c r="C239">
        <f t="shared" si="15"/>
        <v>193.2801779536</v>
      </c>
      <c r="D239">
        <f t="shared" si="16"/>
        <v>184.7198220464</v>
      </c>
    </row>
    <row r="240" spans="1:7">
      <c r="A240">
        <v>239</v>
      </c>
      <c r="B240">
        <v>382</v>
      </c>
      <c r="C240">
        <f t="shared" si="15"/>
        <v>193.4112720624</v>
      </c>
      <c r="D240">
        <f t="shared" si="16"/>
        <v>188.5887279376</v>
      </c>
    </row>
    <row r="241" spans="1:4">
      <c r="A241">
        <v>240</v>
      </c>
      <c r="B241">
        <v>371</v>
      </c>
      <c r="C241">
        <f t="shared" si="15"/>
        <v>193.54194144000002</v>
      </c>
      <c r="D241">
        <f t="shared" si="16"/>
        <v>177.45805855999998</v>
      </c>
    </row>
    <row r="242" spans="1:4">
      <c r="A242">
        <v>241</v>
      </c>
      <c r="B242">
        <v>367</v>
      </c>
      <c r="C242">
        <f t="shared" si="15"/>
        <v>193.67218608640002</v>
      </c>
      <c r="D242">
        <f t="shared" si="16"/>
        <v>173.32781391359998</v>
      </c>
    </row>
    <row r="243" spans="1:4">
      <c r="A243">
        <v>242</v>
      </c>
      <c r="B243">
        <v>385</v>
      </c>
      <c r="C243">
        <f t="shared" si="15"/>
        <v>193.80200600160001</v>
      </c>
      <c r="D243">
        <f t="shared" si="16"/>
        <v>191.19799399839999</v>
      </c>
    </row>
    <row r="244" spans="1:4">
      <c r="A244">
        <v>243</v>
      </c>
      <c r="B244">
        <v>414</v>
      </c>
      <c r="C244">
        <f t="shared" si="15"/>
        <v>193.93140118560001</v>
      </c>
      <c r="D244">
        <f t="shared" si="16"/>
        <v>220.06859881439999</v>
      </c>
    </row>
    <row r="245" spans="1:4">
      <c r="A245">
        <v>244</v>
      </c>
      <c r="B245">
        <v>422</v>
      </c>
      <c r="C245">
        <f t="shared" si="15"/>
        <v>194.0603716384</v>
      </c>
      <c r="D245">
        <f t="shared" si="16"/>
        <v>227.9396283616</v>
      </c>
    </row>
    <row r="246" spans="1:4">
      <c r="A246">
        <v>245</v>
      </c>
      <c r="B246">
        <v>406</v>
      </c>
      <c r="C246">
        <f t="shared" si="15"/>
        <v>194.18891736</v>
      </c>
      <c r="D246">
        <f t="shared" si="16"/>
        <v>211.81108264</v>
      </c>
    </row>
    <row r="247" spans="1:4">
      <c r="A247">
        <v>246</v>
      </c>
      <c r="B247">
        <v>366</v>
      </c>
      <c r="C247">
        <f t="shared" si="15"/>
        <v>194.3170383504</v>
      </c>
      <c r="D247">
        <f t="shared" si="16"/>
        <v>171.6829616496</v>
      </c>
    </row>
    <row r="248" spans="1:4">
      <c r="A248">
        <v>247</v>
      </c>
      <c r="B248">
        <v>361</v>
      </c>
      <c r="C248">
        <f t="shared" si="15"/>
        <v>194.4447346096</v>
      </c>
      <c r="D248">
        <f t="shared" si="16"/>
        <v>166.5552653904</v>
      </c>
    </row>
    <row r="249" spans="1:4">
      <c r="A249">
        <v>248</v>
      </c>
      <c r="B249">
        <v>366</v>
      </c>
      <c r="C249">
        <f t="shared" si="15"/>
        <v>194.5720061376</v>
      </c>
      <c r="D249">
        <f t="shared" si="16"/>
        <v>171.4279938624</v>
      </c>
    </row>
    <row r="250" spans="1:4">
      <c r="A250">
        <v>249</v>
      </c>
      <c r="B250">
        <v>377</v>
      </c>
      <c r="C250">
        <f t="shared" si="15"/>
        <v>194.69885293440001</v>
      </c>
      <c r="D250">
        <f t="shared" si="16"/>
        <v>182.30114706559999</v>
      </c>
    </row>
    <row r="251" spans="1:4">
      <c r="A251">
        <v>250</v>
      </c>
      <c r="B251">
        <v>353</v>
      </c>
      <c r="C251">
        <f t="shared" si="15"/>
        <v>194.825275</v>
      </c>
      <c r="D251">
        <f t="shared" si="16"/>
        <v>158.174725</v>
      </c>
    </row>
    <row r="252" spans="1:4">
      <c r="A252">
        <v>251</v>
      </c>
      <c r="B252">
        <v>331</v>
      </c>
      <c r="C252">
        <f t="shared" si="15"/>
        <v>194.95127233440002</v>
      </c>
      <c r="D252">
        <f t="shared" si="16"/>
        <v>136.04872766559998</v>
      </c>
    </row>
    <row r="253" spans="1:4">
      <c r="A253">
        <v>252</v>
      </c>
      <c r="B253">
        <v>335</v>
      </c>
      <c r="C253">
        <f t="shared" si="15"/>
        <v>195.07684493760001</v>
      </c>
      <c r="D253">
        <f t="shared" si="16"/>
        <v>139.92315506239999</v>
      </c>
    </row>
    <row r="254" spans="1:4">
      <c r="A254">
        <v>253</v>
      </c>
      <c r="B254">
        <v>369</v>
      </c>
      <c r="C254">
        <f t="shared" si="15"/>
        <v>195.2019928096</v>
      </c>
      <c r="D254">
        <f t="shared" si="16"/>
        <v>173.7980071904</v>
      </c>
    </row>
    <row r="255" spans="1:4">
      <c r="A255">
        <v>254</v>
      </c>
      <c r="B255">
        <v>397</v>
      </c>
      <c r="C255">
        <f t="shared" si="15"/>
        <v>195.3267159504</v>
      </c>
      <c r="D255">
        <f t="shared" si="16"/>
        <v>201.6732840496</v>
      </c>
    </row>
    <row r="256" spans="1:4">
      <c r="A256">
        <v>255</v>
      </c>
      <c r="B256">
        <v>389</v>
      </c>
      <c r="C256">
        <f t="shared" si="15"/>
        <v>195.45101435999999</v>
      </c>
      <c r="D256">
        <f t="shared" si="16"/>
        <v>193.54898564000001</v>
      </c>
    </row>
    <row r="257" spans="1:4">
      <c r="A257">
        <v>256</v>
      </c>
      <c r="B257">
        <v>375</v>
      </c>
      <c r="C257">
        <f t="shared" si="15"/>
        <v>195.57488803839999</v>
      </c>
      <c r="D257">
        <f t="shared" si="16"/>
        <v>179.42511196160001</v>
      </c>
    </row>
    <row r="258" spans="1:4">
      <c r="A258">
        <v>257</v>
      </c>
      <c r="B258">
        <v>369</v>
      </c>
      <c r="C258">
        <f t="shared" ref="C258:C321" si="17" xml:space="preserve"> -0.0002123656*A258*A258 + 0.2323925*A258 + 150</f>
        <v>195.69833698560001</v>
      </c>
      <c r="D258">
        <f t="shared" ref="D258:D321" si="18">B258-C258</f>
        <v>173.30166301439999</v>
      </c>
    </row>
    <row r="259" spans="1:4">
      <c r="A259">
        <v>258</v>
      </c>
      <c r="B259">
        <v>372</v>
      </c>
      <c r="C259">
        <f t="shared" si="17"/>
        <v>195.82136120159998</v>
      </c>
      <c r="D259">
        <f t="shared" si="18"/>
        <v>176.17863879840002</v>
      </c>
    </row>
    <row r="260" spans="1:4">
      <c r="A260">
        <v>259</v>
      </c>
      <c r="B260">
        <v>376</v>
      </c>
      <c r="C260">
        <f t="shared" si="17"/>
        <v>195.9439606864</v>
      </c>
      <c r="D260">
        <f t="shared" si="18"/>
        <v>180.0560393136</v>
      </c>
    </row>
    <row r="261" spans="1:4">
      <c r="A261">
        <v>260</v>
      </c>
      <c r="B261">
        <v>326</v>
      </c>
      <c r="C261">
        <f t="shared" si="17"/>
        <v>196.06613543999998</v>
      </c>
      <c r="D261">
        <f t="shared" si="18"/>
        <v>129.93386456000002</v>
      </c>
    </row>
    <row r="262" spans="1:4">
      <c r="A262">
        <v>261</v>
      </c>
      <c r="B262">
        <v>308</v>
      </c>
      <c r="C262">
        <f t="shared" si="17"/>
        <v>196.1878854624</v>
      </c>
      <c r="D262">
        <f t="shared" si="18"/>
        <v>111.8121145376</v>
      </c>
    </row>
    <row r="263" spans="1:4">
      <c r="A263">
        <v>262</v>
      </c>
      <c r="B263">
        <v>304</v>
      </c>
      <c r="C263">
        <f t="shared" si="17"/>
        <v>196.30921075359998</v>
      </c>
      <c r="D263">
        <f t="shared" si="18"/>
        <v>107.69078924640002</v>
      </c>
    </row>
    <row r="264" spans="1:4">
      <c r="A264">
        <v>263</v>
      </c>
      <c r="B264">
        <v>306</v>
      </c>
      <c r="C264">
        <f t="shared" si="17"/>
        <v>196.43011131360001</v>
      </c>
      <c r="D264">
        <f t="shared" si="18"/>
        <v>109.56988868639999</v>
      </c>
    </row>
    <row r="265" spans="1:4">
      <c r="A265">
        <v>264</v>
      </c>
      <c r="B265">
        <v>308</v>
      </c>
      <c r="C265">
        <f t="shared" si="17"/>
        <v>196.55058714239999</v>
      </c>
      <c r="D265">
        <f t="shared" si="18"/>
        <v>111.44941285760001</v>
      </c>
    </row>
    <row r="266" spans="1:4">
      <c r="A266">
        <v>265</v>
      </c>
      <c r="B266">
        <v>293</v>
      </c>
      <c r="C266">
        <f t="shared" si="17"/>
        <v>196.67063824000002</v>
      </c>
      <c r="D266">
        <f t="shared" si="18"/>
        <v>96.329361759999983</v>
      </c>
    </row>
    <row r="267" spans="1:4">
      <c r="A267">
        <v>266</v>
      </c>
      <c r="B267">
        <v>279</v>
      </c>
      <c r="C267">
        <f t="shared" si="17"/>
        <v>196.7902646064</v>
      </c>
      <c r="D267">
        <f t="shared" si="18"/>
        <v>82.209735393599999</v>
      </c>
    </row>
    <row r="268" spans="1:4">
      <c r="A268">
        <v>267</v>
      </c>
      <c r="B268">
        <v>263</v>
      </c>
      <c r="C268">
        <f t="shared" si="17"/>
        <v>196.9094662416</v>
      </c>
      <c r="D268">
        <f t="shared" si="18"/>
        <v>66.090533758399999</v>
      </c>
    </row>
    <row r="269" spans="1:4">
      <c r="A269">
        <v>268</v>
      </c>
      <c r="B269">
        <v>301</v>
      </c>
      <c r="C269">
        <f t="shared" si="17"/>
        <v>197.02824314560002</v>
      </c>
      <c r="D269">
        <f t="shared" si="18"/>
        <v>103.97175685439998</v>
      </c>
    </row>
    <row r="270" spans="1:4">
      <c r="A270">
        <v>269</v>
      </c>
      <c r="B270">
        <v>317</v>
      </c>
      <c r="C270">
        <f t="shared" si="17"/>
        <v>197.14659531839999</v>
      </c>
      <c r="D270">
        <f t="shared" si="18"/>
        <v>119.85340468160001</v>
      </c>
    </row>
    <row r="271" spans="1:4">
      <c r="A271">
        <v>270</v>
      </c>
      <c r="B271">
        <v>305</v>
      </c>
      <c r="C271">
        <f t="shared" si="17"/>
        <v>197.26452276000001</v>
      </c>
      <c r="D271">
        <f t="shared" si="18"/>
        <v>107.73547723999999</v>
      </c>
    </row>
    <row r="272" spans="1:4">
      <c r="A272">
        <v>271</v>
      </c>
      <c r="B272">
        <v>300</v>
      </c>
      <c r="C272">
        <f t="shared" si="17"/>
        <v>197.38202547039998</v>
      </c>
      <c r="D272">
        <f t="shared" si="18"/>
        <v>102.61797452960002</v>
      </c>
    </row>
    <row r="273" spans="1:4">
      <c r="A273">
        <v>272</v>
      </c>
      <c r="B273">
        <v>293</v>
      </c>
      <c r="C273">
        <f t="shared" si="17"/>
        <v>197.4991034496</v>
      </c>
      <c r="D273">
        <f t="shared" si="18"/>
        <v>95.5008965504</v>
      </c>
    </row>
    <row r="274" spans="1:4">
      <c r="A274">
        <v>273</v>
      </c>
      <c r="B274">
        <v>327</v>
      </c>
      <c r="C274">
        <f t="shared" si="17"/>
        <v>197.61575669760001</v>
      </c>
      <c r="D274">
        <f t="shared" si="18"/>
        <v>129.38424330239999</v>
      </c>
    </row>
    <row r="275" spans="1:4">
      <c r="A275">
        <v>274</v>
      </c>
      <c r="B275">
        <v>344</v>
      </c>
      <c r="C275">
        <f t="shared" si="17"/>
        <v>197.7319852144</v>
      </c>
      <c r="D275">
        <f t="shared" si="18"/>
        <v>146.2680147856</v>
      </c>
    </row>
    <row r="276" spans="1:4">
      <c r="A276">
        <v>275</v>
      </c>
      <c r="B276">
        <v>352</v>
      </c>
      <c r="C276">
        <f t="shared" si="17"/>
        <v>197.84778900000001</v>
      </c>
      <c r="D276">
        <f t="shared" si="18"/>
        <v>154.15221099999999</v>
      </c>
    </row>
    <row r="277" spans="1:4">
      <c r="A277">
        <v>276</v>
      </c>
      <c r="B277">
        <v>320</v>
      </c>
      <c r="C277">
        <f t="shared" si="17"/>
        <v>197.9631680544</v>
      </c>
      <c r="D277">
        <f t="shared" si="18"/>
        <v>122.0368319456</v>
      </c>
    </row>
    <row r="278" spans="1:4">
      <c r="A278">
        <v>277</v>
      </c>
      <c r="B278">
        <v>312</v>
      </c>
      <c r="C278">
        <f t="shared" si="17"/>
        <v>198.07812237759998</v>
      </c>
      <c r="D278">
        <f t="shared" si="18"/>
        <v>113.92187762240002</v>
      </c>
    </row>
    <row r="279" spans="1:4">
      <c r="A279">
        <v>278</v>
      </c>
      <c r="B279">
        <v>311</v>
      </c>
      <c r="C279">
        <f t="shared" si="17"/>
        <v>198.19265196960001</v>
      </c>
      <c r="D279">
        <f t="shared" si="18"/>
        <v>112.80734803039999</v>
      </c>
    </row>
    <row r="280" spans="1:4">
      <c r="A280">
        <v>279</v>
      </c>
      <c r="B280">
        <v>342</v>
      </c>
      <c r="C280">
        <f t="shared" si="17"/>
        <v>198.30675683039999</v>
      </c>
      <c r="D280">
        <f t="shared" si="18"/>
        <v>143.69324316960001</v>
      </c>
    </row>
    <row r="281" spans="1:4">
      <c r="A281">
        <v>280</v>
      </c>
      <c r="B281">
        <v>371</v>
      </c>
      <c r="C281">
        <f t="shared" si="17"/>
        <v>198.42043696000002</v>
      </c>
      <c r="D281">
        <f t="shared" si="18"/>
        <v>172.57956303999998</v>
      </c>
    </row>
    <row r="282" spans="1:4">
      <c r="A282">
        <v>281</v>
      </c>
      <c r="B282">
        <v>381</v>
      </c>
      <c r="C282">
        <f t="shared" si="17"/>
        <v>198.5336923584</v>
      </c>
      <c r="D282">
        <f t="shared" si="18"/>
        <v>182.4663076416</v>
      </c>
    </row>
    <row r="283" spans="1:4">
      <c r="A283">
        <v>282</v>
      </c>
      <c r="B283">
        <v>398</v>
      </c>
      <c r="C283">
        <f t="shared" si="17"/>
        <v>198.6465230256</v>
      </c>
      <c r="D283">
        <f t="shared" si="18"/>
        <v>199.3534769744</v>
      </c>
    </row>
    <row r="284" spans="1:4">
      <c r="A284">
        <v>283</v>
      </c>
      <c r="B284">
        <v>379</v>
      </c>
      <c r="C284">
        <f t="shared" si="17"/>
        <v>198.75892896160002</v>
      </c>
      <c r="D284">
        <f t="shared" si="18"/>
        <v>180.24107103839998</v>
      </c>
    </row>
    <row r="285" spans="1:4">
      <c r="A285">
        <v>284</v>
      </c>
      <c r="B285">
        <v>376</v>
      </c>
      <c r="C285">
        <f t="shared" si="17"/>
        <v>198.87091016639999</v>
      </c>
      <c r="D285">
        <f t="shared" si="18"/>
        <v>177.12908983360001</v>
      </c>
    </row>
    <row r="286" spans="1:4">
      <c r="A286">
        <v>285</v>
      </c>
      <c r="B286">
        <v>367</v>
      </c>
      <c r="C286">
        <f t="shared" si="17"/>
        <v>198.98246664000001</v>
      </c>
      <c r="D286">
        <f t="shared" si="18"/>
        <v>168.01753335999999</v>
      </c>
    </row>
    <row r="287" spans="1:4">
      <c r="A287">
        <v>286</v>
      </c>
      <c r="B287">
        <v>325</v>
      </c>
      <c r="C287">
        <f t="shared" si="17"/>
        <v>199.09359838239999</v>
      </c>
      <c r="D287">
        <f t="shared" si="18"/>
        <v>125.90640161760001</v>
      </c>
    </row>
    <row r="288" spans="1:4">
      <c r="A288">
        <v>287</v>
      </c>
      <c r="B288">
        <v>306</v>
      </c>
      <c r="C288">
        <f t="shared" si="17"/>
        <v>199.20430539360001</v>
      </c>
      <c r="D288">
        <f t="shared" si="18"/>
        <v>106.79569460639999</v>
      </c>
    </row>
    <row r="289" spans="1:4">
      <c r="A289">
        <v>288</v>
      </c>
      <c r="B289">
        <v>303</v>
      </c>
      <c r="C289">
        <f t="shared" si="17"/>
        <v>199.31458767359999</v>
      </c>
      <c r="D289">
        <f t="shared" si="18"/>
        <v>103.68541232640001</v>
      </c>
    </row>
    <row r="290" spans="1:4">
      <c r="A290">
        <v>289</v>
      </c>
      <c r="B290">
        <v>305</v>
      </c>
      <c r="C290">
        <f t="shared" si="17"/>
        <v>199.42444522240001</v>
      </c>
      <c r="D290">
        <f t="shared" si="18"/>
        <v>105.57555477759999</v>
      </c>
    </row>
    <row r="291" spans="1:4">
      <c r="A291">
        <v>290</v>
      </c>
      <c r="B291">
        <v>317</v>
      </c>
      <c r="C291">
        <f t="shared" si="17"/>
        <v>199.53387803999999</v>
      </c>
      <c r="D291">
        <f t="shared" si="18"/>
        <v>117.46612196000001</v>
      </c>
    </row>
    <row r="292" spans="1:4">
      <c r="A292">
        <v>291</v>
      </c>
      <c r="B292">
        <v>303</v>
      </c>
      <c r="C292">
        <f t="shared" si="17"/>
        <v>199.64288612640001</v>
      </c>
      <c r="D292">
        <f t="shared" si="18"/>
        <v>103.35711387359999</v>
      </c>
    </row>
    <row r="293" spans="1:4">
      <c r="A293">
        <v>292</v>
      </c>
      <c r="B293">
        <v>277</v>
      </c>
      <c r="C293">
        <f t="shared" si="17"/>
        <v>199.7514694816</v>
      </c>
      <c r="D293">
        <f t="shared" si="18"/>
        <v>77.248530518400003</v>
      </c>
    </row>
    <row r="294" spans="1:4">
      <c r="A294">
        <v>293</v>
      </c>
      <c r="B294">
        <v>258</v>
      </c>
      <c r="C294">
        <f t="shared" si="17"/>
        <v>199.8596281056</v>
      </c>
      <c r="D294">
        <f t="shared" si="18"/>
        <v>58.140371894400005</v>
      </c>
    </row>
    <row r="295" spans="1:4">
      <c r="A295">
        <v>294</v>
      </c>
      <c r="B295">
        <v>267</v>
      </c>
      <c r="C295">
        <f t="shared" si="17"/>
        <v>199.96736199840001</v>
      </c>
      <c r="D295">
        <f t="shared" si="18"/>
        <v>67.032638001599992</v>
      </c>
    </row>
    <row r="296" spans="1:4">
      <c r="A296">
        <v>295</v>
      </c>
      <c r="B296">
        <v>273</v>
      </c>
      <c r="C296">
        <f t="shared" si="17"/>
        <v>200.07467115999998</v>
      </c>
      <c r="D296">
        <f t="shared" si="18"/>
        <v>72.92532884000002</v>
      </c>
    </row>
    <row r="297" spans="1:4">
      <c r="A297">
        <v>296</v>
      </c>
      <c r="B297">
        <v>284</v>
      </c>
      <c r="C297">
        <f t="shared" si="17"/>
        <v>200.1815555904</v>
      </c>
      <c r="D297">
        <f t="shared" si="18"/>
        <v>83.818444409600005</v>
      </c>
    </row>
    <row r="298" spans="1:4">
      <c r="A298">
        <v>297</v>
      </c>
      <c r="B298">
        <v>282</v>
      </c>
      <c r="C298">
        <f t="shared" si="17"/>
        <v>200.2880152896</v>
      </c>
      <c r="D298">
        <f t="shared" si="18"/>
        <v>81.711984710400003</v>
      </c>
    </row>
    <row r="299" spans="1:4">
      <c r="A299">
        <v>298</v>
      </c>
      <c r="B299">
        <v>270</v>
      </c>
      <c r="C299">
        <f t="shared" si="17"/>
        <v>200.39405025759999</v>
      </c>
      <c r="D299">
        <f t="shared" si="18"/>
        <v>69.605949742400014</v>
      </c>
    </row>
    <row r="300" spans="1:4">
      <c r="A300">
        <v>299</v>
      </c>
      <c r="B300">
        <v>258</v>
      </c>
      <c r="C300">
        <f t="shared" si="17"/>
        <v>200.49966049440002</v>
      </c>
      <c r="D300">
        <f t="shared" si="18"/>
        <v>57.500339505599982</v>
      </c>
    </row>
    <row r="301" spans="1:4">
      <c r="A301">
        <v>300</v>
      </c>
      <c r="B301">
        <v>261</v>
      </c>
      <c r="C301">
        <f t="shared" si="17"/>
        <v>200.60484600000001</v>
      </c>
      <c r="D301">
        <f t="shared" si="18"/>
        <v>60.395153999999991</v>
      </c>
    </row>
    <row r="302" spans="1:4">
      <c r="A302">
        <v>301</v>
      </c>
      <c r="B302">
        <v>263</v>
      </c>
      <c r="C302">
        <f t="shared" si="17"/>
        <v>200.70960677440002</v>
      </c>
      <c r="D302">
        <f t="shared" si="18"/>
        <v>62.290393225599985</v>
      </c>
    </row>
    <row r="303" spans="1:4">
      <c r="A303">
        <v>302</v>
      </c>
      <c r="B303">
        <v>262</v>
      </c>
      <c r="C303">
        <f t="shared" si="17"/>
        <v>200.81394281760001</v>
      </c>
      <c r="D303">
        <f t="shared" si="18"/>
        <v>61.186057182399992</v>
      </c>
    </row>
    <row r="304" spans="1:4">
      <c r="A304">
        <v>303</v>
      </c>
      <c r="B304">
        <v>266</v>
      </c>
      <c r="C304">
        <f t="shared" si="17"/>
        <v>200.91785412960002</v>
      </c>
      <c r="D304">
        <f t="shared" si="18"/>
        <v>65.082145870399984</v>
      </c>
    </row>
    <row r="305" spans="1:4">
      <c r="A305">
        <v>304</v>
      </c>
      <c r="B305">
        <v>254</v>
      </c>
      <c r="C305">
        <f t="shared" si="17"/>
        <v>201.02134071040001</v>
      </c>
      <c r="D305">
        <f t="shared" si="18"/>
        <v>52.978659289599989</v>
      </c>
    </row>
    <row r="306" spans="1:4">
      <c r="A306">
        <v>305</v>
      </c>
      <c r="B306">
        <v>249</v>
      </c>
      <c r="C306">
        <f t="shared" si="17"/>
        <v>201.12440255999999</v>
      </c>
      <c r="D306">
        <f t="shared" si="18"/>
        <v>47.875597440000007</v>
      </c>
    </row>
    <row r="307" spans="1:4">
      <c r="A307">
        <v>306</v>
      </c>
      <c r="B307">
        <v>253</v>
      </c>
      <c r="C307">
        <f t="shared" si="17"/>
        <v>201.22703967839999</v>
      </c>
      <c r="D307">
        <f t="shared" si="18"/>
        <v>51.77296032160001</v>
      </c>
    </row>
    <row r="308" spans="1:4">
      <c r="A308">
        <v>307</v>
      </c>
      <c r="B308">
        <v>248</v>
      </c>
      <c r="C308">
        <f t="shared" si="17"/>
        <v>201.3292520656</v>
      </c>
      <c r="D308">
        <f t="shared" si="18"/>
        <v>46.670747934399998</v>
      </c>
    </row>
    <row r="309" spans="1:4">
      <c r="A309">
        <v>308</v>
      </c>
      <c r="B309">
        <v>256</v>
      </c>
      <c r="C309">
        <f t="shared" si="17"/>
        <v>201.4310397216</v>
      </c>
      <c r="D309">
        <f t="shared" si="18"/>
        <v>54.568960278399999</v>
      </c>
    </row>
    <row r="310" spans="1:4">
      <c r="A310">
        <v>309</v>
      </c>
      <c r="B310">
        <v>266</v>
      </c>
      <c r="C310">
        <f t="shared" si="17"/>
        <v>201.53240264639999</v>
      </c>
      <c r="D310">
        <f t="shared" si="18"/>
        <v>64.467597353600013</v>
      </c>
    </row>
    <row r="311" spans="1:4">
      <c r="A311">
        <v>310</v>
      </c>
      <c r="B311">
        <v>266</v>
      </c>
      <c r="C311">
        <f t="shared" si="17"/>
        <v>201.63334084000002</v>
      </c>
      <c r="D311">
        <f t="shared" si="18"/>
        <v>64.366659159999983</v>
      </c>
    </row>
    <row r="312" spans="1:4">
      <c r="A312">
        <v>311</v>
      </c>
      <c r="B312">
        <v>265</v>
      </c>
      <c r="C312">
        <f t="shared" si="17"/>
        <v>201.7338543024</v>
      </c>
      <c r="D312">
        <f t="shared" si="18"/>
        <v>63.266145697599995</v>
      </c>
    </row>
    <row r="313" spans="1:4">
      <c r="A313">
        <v>312</v>
      </c>
      <c r="B313">
        <v>258</v>
      </c>
      <c r="C313">
        <f t="shared" si="17"/>
        <v>201.83394303360001</v>
      </c>
      <c r="D313">
        <f t="shared" si="18"/>
        <v>56.166056966399992</v>
      </c>
    </row>
    <row r="314" spans="1:4">
      <c r="A314">
        <v>313</v>
      </c>
      <c r="B314">
        <v>288</v>
      </c>
      <c r="C314">
        <f t="shared" si="17"/>
        <v>201.93360703360003</v>
      </c>
      <c r="D314">
        <f t="shared" si="18"/>
        <v>86.066392966399974</v>
      </c>
    </row>
    <row r="315" spans="1:4">
      <c r="A315">
        <v>314</v>
      </c>
      <c r="B315">
        <v>376</v>
      </c>
      <c r="C315">
        <f t="shared" si="17"/>
        <v>202.0328463024</v>
      </c>
      <c r="D315">
        <f t="shared" si="18"/>
        <v>173.9671536976</v>
      </c>
    </row>
    <row r="316" spans="1:4">
      <c r="A316">
        <v>315</v>
      </c>
      <c r="B316">
        <v>519</v>
      </c>
      <c r="C316">
        <f t="shared" si="17"/>
        <v>202.13166084</v>
      </c>
      <c r="D316">
        <f t="shared" si="18"/>
        <v>316.86833916</v>
      </c>
    </row>
    <row r="317" spans="1:4">
      <c r="A317">
        <v>316</v>
      </c>
      <c r="B317">
        <v>646</v>
      </c>
      <c r="C317">
        <f t="shared" si="17"/>
        <v>202.2300506464</v>
      </c>
      <c r="D317">
        <f t="shared" si="18"/>
        <v>443.7699493536</v>
      </c>
    </row>
    <row r="318" spans="1:4">
      <c r="A318">
        <v>317</v>
      </c>
      <c r="B318">
        <v>711</v>
      </c>
      <c r="C318">
        <f t="shared" si="17"/>
        <v>202.32801572160002</v>
      </c>
      <c r="D318">
        <f t="shared" si="18"/>
        <v>508.67198427839998</v>
      </c>
    </row>
    <row r="319" spans="1:4">
      <c r="A319">
        <v>318</v>
      </c>
      <c r="B319">
        <v>806</v>
      </c>
      <c r="C319">
        <f t="shared" si="17"/>
        <v>202.42555606560001</v>
      </c>
      <c r="D319">
        <f t="shared" si="18"/>
        <v>603.57444393440005</v>
      </c>
    </row>
    <row r="320" spans="1:4">
      <c r="A320">
        <v>319</v>
      </c>
      <c r="B320">
        <v>1149</v>
      </c>
      <c r="C320">
        <f t="shared" si="17"/>
        <v>202.5226716784</v>
      </c>
      <c r="D320">
        <f t="shared" si="18"/>
        <v>946.4773283216</v>
      </c>
    </row>
    <row r="321" spans="1:7">
      <c r="A321">
        <v>320</v>
      </c>
      <c r="B321">
        <v>1754</v>
      </c>
      <c r="C321">
        <f t="shared" si="17"/>
        <v>202.61936256000001</v>
      </c>
      <c r="D321">
        <f t="shared" si="18"/>
        <v>1551.3806374400001</v>
      </c>
    </row>
    <row r="322" spans="1:7" ht="17.25">
      <c r="A322">
        <v>321</v>
      </c>
      <c r="B322">
        <v>2323</v>
      </c>
      <c r="C322">
        <f t="shared" ref="C322:C385" si="19" xml:space="preserve"> -0.0002123656*A322*A322 + 0.2323925*A322 + 150</f>
        <v>202.71562871040001</v>
      </c>
      <c r="D322">
        <f t="shared" ref="D322:D385" si="20">B322-C322</f>
        <v>2120.2843712896001</v>
      </c>
      <c r="F322">
        <v>321.5</v>
      </c>
      <c r="G322" t="s">
        <v>21</v>
      </c>
    </row>
    <row r="323" spans="1:7">
      <c r="A323">
        <v>322</v>
      </c>
      <c r="B323">
        <v>2208</v>
      </c>
      <c r="C323">
        <f t="shared" si="19"/>
        <v>202.81147012960002</v>
      </c>
      <c r="D323">
        <f t="shared" si="20"/>
        <v>2005.1885298704001</v>
      </c>
    </row>
    <row r="324" spans="1:7">
      <c r="A324">
        <v>323</v>
      </c>
      <c r="B324">
        <v>1510</v>
      </c>
      <c r="C324">
        <f t="shared" si="19"/>
        <v>202.9068868176</v>
      </c>
      <c r="D324">
        <f t="shared" si="20"/>
        <v>1307.0931131824</v>
      </c>
    </row>
    <row r="325" spans="1:7">
      <c r="A325">
        <v>324</v>
      </c>
      <c r="B325">
        <v>924</v>
      </c>
      <c r="C325">
        <f t="shared" si="19"/>
        <v>203.00187877439998</v>
      </c>
      <c r="D325">
        <f t="shared" si="20"/>
        <v>720.99812122560002</v>
      </c>
    </row>
    <row r="326" spans="1:7">
      <c r="A326">
        <v>325</v>
      </c>
      <c r="B326">
        <v>654</v>
      </c>
      <c r="C326">
        <f t="shared" si="19"/>
        <v>203.09644600000001</v>
      </c>
      <c r="D326">
        <f t="shared" si="20"/>
        <v>450.90355399999999</v>
      </c>
    </row>
    <row r="327" spans="1:7">
      <c r="A327">
        <v>326</v>
      </c>
      <c r="B327">
        <v>635</v>
      </c>
      <c r="C327">
        <f t="shared" si="19"/>
        <v>203.1905884944</v>
      </c>
      <c r="D327">
        <f t="shared" si="20"/>
        <v>431.8094115056</v>
      </c>
    </row>
    <row r="328" spans="1:7">
      <c r="A328">
        <v>327</v>
      </c>
      <c r="B328">
        <v>600</v>
      </c>
      <c r="C328">
        <f t="shared" si="19"/>
        <v>203.28430625760001</v>
      </c>
      <c r="D328">
        <f t="shared" si="20"/>
        <v>396.71569374239999</v>
      </c>
    </row>
    <row r="329" spans="1:7">
      <c r="A329">
        <v>328</v>
      </c>
      <c r="B329">
        <v>462</v>
      </c>
      <c r="C329">
        <f t="shared" si="19"/>
        <v>203.3775992896</v>
      </c>
      <c r="D329">
        <f t="shared" si="20"/>
        <v>258.62240071040003</v>
      </c>
    </row>
    <row r="330" spans="1:7">
      <c r="A330">
        <v>329</v>
      </c>
      <c r="B330">
        <v>366</v>
      </c>
      <c r="C330">
        <f t="shared" si="19"/>
        <v>203.47046759040001</v>
      </c>
      <c r="D330">
        <f t="shared" si="20"/>
        <v>162.52953240959999</v>
      </c>
    </row>
    <row r="331" spans="1:7">
      <c r="A331">
        <v>330</v>
      </c>
      <c r="B331">
        <v>318</v>
      </c>
      <c r="C331">
        <f t="shared" si="19"/>
        <v>203.56291116</v>
      </c>
      <c r="D331">
        <f t="shared" si="20"/>
        <v>114.43708884</v>
      </c>
    </row>
    <row r="332" spans="1:7">
      <c r="A332">
        <v>331</v>
      </c>
      <c r="B332">
        <v>339</v>
      </c>
      <c r="C332">
        <f t="shared" si="19"/>
        <v>203.65492999840001</v>
      </c>
      <c r="D332">
        <f t="shared" si="20"/>
        <v>135.34507000159999</v>
      </c>
    </row>
    <row r="333" spans="1:7">
      <c r="A333">
        <v>332</v>
      </c>
      <c r="B333">
        <v>346</v>
      </c>
      <c r="C333">
        <f t="shared" si="19"/>
        <v>203.7465241056</v>
      </c>
      <c r="D333">
        <f t="shared" si="20"/>
        <v>142.2534758944</v>
      </c>
    </row>
    <row r="334" spans="1:7">
      <c r="A334">
        <v>333</v>
      </c>
      <c r="B334">
        <v>317</v>
      </c>
      <c r="C334">
        <f t="shared" si="19"/>
        <v>203.83769348160001</v>
      </c>
      <c r="D334">
        <f t="shared" si="20"/>
        <v>113.16230651839999</v>
      </c>
    </row>
    <row r="335" spans="1:7">
      <c r="A335">
        <v>334</v>
      </c>
      <c r="B335">
        <v>281</v>
      </c>
      <c r="C335">
        <f t="shared" si="19"/>
        <v>203.92843812640001</v>
      </c>
      <c r="D335">
        <f t="shared" si="20"/>
        <v>77.07156187359999</v>
      </c>
    </row>
    <row r="336" spans="1:7">
      <c r="A336">
        <v>335</v>
      </c>
      <c r="B336">
        <v>270</v>
      </c>
      <c r="C336">
        <f t="shared" si="19"/>
        <v>204.01875804000002</v>
      </c>
      <c r="D336">
        <f t="shared" si="20"/>
        <v>65.981241959999977</v>
      </c>
    </row>
    <row r="337" spans="1:4">
      <c r="A337">
        <v>336</v>
      </c>
      <c r="B337">
        <v>287</v>
      </c>
      <c r="C337">
        <f t="shared" si="19"/>
        <v>204.10865322239999</v>
      </c>
      <c r="D337">
        <f t="shared" si="20"/>
        <v>82.891346777600006</v>
      </c>
    </row>
    <row r="338" spans="1:4">
      <c r="A338">
        <v>337</v>
      </c>
      <c r="B338">
        <v>302</v>
      </c>
      <c r="C338">
        <f t="shared" si="19"/>
        <v>204.19812367359998</v>
      </c>
      <c r="D338">
        <f t="shared" si="20"/>
        <v>97.80187632640002</v>
      </c>
    </row>
    <row r="339" spans="1:4">
      <c r="A339">
        <v>338</v>
      </c>
      <c r="B339">
        <v>305</v>
      </c>
      <c r="C339">
        <f t="shared" si="19"/>
        <v>204.28716939359998</v>
      </c>
      <c r="D339">
        <f t="shared" si="20"/>
        <v>100.71283060640002</v>
      </c>
    </row>
    <row r="340" spans="1:4">
      <c r="A340">
        <v>339</v>
      </c>
      <c r="B340">
        <v>309</v>
      </c>
      <c r="C340">
        <f t="shared" si="19"/>
        <v>204.3757903824</v>
      </c>
      <c r="D340">
        <f t="shared" si="20"/>
        <v>104.6242096176</v>
      </c>
    </row>
    <row r="341" spans="1:4">
      <c r="A341">
        <v>340</v>
      </c>
      <c r="B341">
        <v>290</v>
      </c>
      <c r="C341">
        <f t="shared" si="19"/>
        <v>204.46398664</v>
      </c>
      <c r="D341">
        <f t="shared" si="20"/>
        <v>85.536013359999998</v>
      </c>
    </row>
    <row r="342" spans="1:4">
      <c r="A342">
        <v>341</v>
      </c>
      <c r="B342">
        <v>283</v>
      </c>
      <c r="C342">
        <f t="shared" si="19"/>
        <v>204.55175816639999</v>
      </c>
      <c r="D342">
        <f t="shared" si="20"/>
        <v>78.448241833600008</v>
      </c>
    </row>
    <row r="343" spans="1:4">
      <c r="A343">
        <v>342</v>
      </c>
      <c r="B343">
        <v>267</v>
      </c>
      <c r="C343">
        <f t="shared" si="19"/>
        <v>204.6391049616</v>
      </c>
      <c r="D343">
        <f t="shared" si="20"/>
        <v>62.360895038400002</v>
      </c>
    </row>
    <row r="344" spans="1:4">
      <c r="A344">
        <v>343</v>
      </c>
      <c r="B344">
        <v>249</v>
      </c>
      <c r="C344">
        <f t="shared" si="19"/>
        <v>204.72602702559999</v>
      </c>
      <c r="D344">
        <f t="shared" si="20"/>
        <v>44.27397297440001</v>
      </c>
    </row>
    <row r="345" spans="1:4">
      <c r="A345">
        <v>344</v>
      </c>
      <c r="B345">
        <v>265</v>
      </c>
      <c r="C345">
        <f t="shared" si="19"/>
        <v>204.8125243584</v>
      </c>
      <c r="D345">
        <f t="shared" si="20"/>
        <v>60.187475641600003</v>
      </c>
    </row>
    <row r="346" spans="1:4">
      <c r="A346">
        <v>345</v>
      </c>
      <c r="B346">
        <v>248</v>
      </c>
      <c r="C346">
        <f t="shared" si="19"/>
        <v>204.89859696000002</v>
      </c>
      <c r="D346">
        <f t="shared" si="20"/>
        <v>43.10140303999998</v>
      </c>
    </row>
    <row r="347" spans="1:4">
      <c r="A347">
        <v>346</v>
      </c>
      <c r="B347">
        <v>278</v>
      </c>
      <c r="C347">
        <f t="shared" si="19"/>
        <v>204.9842448304</v>
      </c>
      <c r="D347">
        <f t="shared" si="20"/>
        <v>73.015755169599998</v>
      </c>
    </row>
    <row r="348" spans="1:4">
      <c r="A348">
        <v>347</v>
      </c>
      <c r="B348">
        <v>290</v>
      </c>
      <c r="C348">
        <f t="shared" si="19"/>
        <v>205.0694679696</v>
      </c>
      <c r="D348">
        <f t="shared" si="20"/>
        <v>84.930532030400002</v>
      </c>
    </row>
    <row r="349" spans="1:4">
      <c r="A349">
        <v>348</v>
      </c>
      <c r="B349">
        <v>292</v>
      </c>
      <c r="C349">
        <f t="shared" si="19"/>
        <v>205.15426637760001</v>
      </c>
      <c r="D349">
        <f t="shared" si="20"/>
        <v>86.84573362239999</v>
      </c>
    </row>
    <row r="350" spans="1:4">
      <c r="A350">
        <v>349</v>
      </c>
      <c r="B350">
        <v>268</v>
      </c>
      <c r="C350">
        <f t="shared" si="19"/>
        <v>205.23864005440001</v>
      </c>
      <c r="D350">
        <f t="shared" si="20"/>
        <v>62.761359945599992</v>
      </c>
    </row>
    <row r="351" spans="1:4">
      <c r="A351">
        <v>350</v>
      </c>
      <c r="B351">
        <v>233</v>
      </c>
      <c r="C351">
        <f t="shared" si="19"/>
        <v>205.32258899999999</v>
      </c>
      <c r="D351">
        <f t="shared" si="20"/>
        <v>27.677411000000006</v>
      </c>
    </row>
    <row r="352" spans="1:4">
      <c r="A352">
        <v>351</v>
      </c>
      <c r="B352">
        <v>238</v>
      </c>
      <c r="C352">
        <f t="shared" si="19"/>
        <v>205.40611321439999</v>
      </c>
      <c r="D352">
        <f t="shared" si="20"/>
        <v>32.593886785600006</v>
      </c>
    </row>
    <row r="353" spans="1:4">
      <c r="A353">
        <v>352</v>
      </c>
      <c r="B353">
        <v>221</v>
      </c>
      <c r="C353">
        <f t="shared" si="19"/>
        <v>205.48921269760001</v>
      </c>
      <c r="D353">
        <f t="shared" si="20"/>
        <v>15.51078730239999</v>
      </c>
    </row>
    <row r="354" spans="1:4">
      <c r="A354">
        <v>353</v>
      </c>
      <c r="B354">
        <v>199</v>
      </c>
      <c r="C354">
        <f t="shared" si="19"/>
        <v>205.57188744960001</v>
      </c>
      <c r="D354">
        <f t="shared" si="20"/>
        <v>-6.5718874496000126</v>
      </c>
    </row>
    <row r="355" spans="1:4">
      <c r="A355">
        <v>354</v>
      </c>
      <c r="B355">
        <v>188</v>
      </c>
      <c r="C355">
        <f t="shared" si="19"/>
        <v>205.6541374704</v>
      </c>
      <c r="D355">
        <f t="shared" si="20"/>
        <v>-17.654137470400002</v>
      </c>
    </row>
    <row r="356" spans="1:4">
      <c r="A356">
        <v>355</v>
      </c>
      <c r="B356">
        <v>193</v>
      </c>
      <c r="C356">
        <f t="shared" si="19"/>
        <v>205.73596276000001</v>
      </c>
      <c r="D356">
        <f t="shared" si="20"/>
        <v>-12.735962760000007</v>
      </c>
    </row>
    <row r="357" spans="1:4">
      <c r="A357">
        <v>356</v>
      </c>
      <c r="B357">
        <v>207</v>
      </c>
      <c r="C357">
        <f t="shared" si="19"/>
        <v>205.8173633184</v>
      </c>
      <c r="D357">
        <f t="shared" si="20"/>
        <v>1.1826366816000018</v>
      </c>
    </row>
    <row r="358" spans="1:4">
      <c r="A358">
        <v>357</v>
      </c>
      <c r="B358">
        <v>238</v>
      </c>
      <c r="C358">
        <f t="shared" si="19"/>
        <v>205.8983391456</v>
      </c>
      <c r="D358">
        <f t="shared" si="20"/>
        <v>32.101660854399995</v>
      </c>
    </row>
    <row r="359" spans="1:4">
      <c r="A359">
        <v>358</v>
      </c>
      <c r="B359">
        <v>281</v>
      </c>
      <c r="C359">
        <f t="shared" si="19"/>
        <v>205.9788902416</v>
      </c>
      <c r="D359">
        <f t="shared" si="20"/>
        <v>75.021109758400002</v>
      </c>
    </row>
    <row r="360" spans="1:4">
      <c r="A360">
        <v>359</v>
      </c>
      <c r="B360">
        <v>307</v>
      </c>
      <c r="C360">
        <f t="shared" si="19"/>
        <v>206.05901660640001</v>
      </c>
      <c r="D360">
        <f t="shared" si="20"/>
        <v>100.94098339359999</v>
      </c>
    </row>
    <row r="361" spans="1:4">
      <c r="A361">
        <v>360</v>
      </c>
      <c r="B361">
        <v>310</v>
      </c>
      <c r="C361">
        <f t="shared" si="19"/>
        <v>206.13871824</v>
      </c>
      <c r="D361">
        <f t="shared" si="20"/>
        <v>103.86128176</v>
      </c>
    </row>
    <row r="362" spans="1:4">
      <c r="A362">
        <v>361</v>
      </c>
      <c r="B362">
        <v>324</v>
      </c>
      <c r="C362">
        <f t="shared" si="19"/>
        <v>206.21799514240001</v>
      </c>
      <c r="D362">
        <f t="shared" si="20"/>
        <v>117.78200485759999</v>
      </c>
    </row>
    <row r="363" spans="1:4">
      <c r="A363">
        <v>362</v>
      </c>
      <c r="B363">
        <v>401</v>
      </c>
      <c r="C363">
        <f t="shared" si="19"/>
        <v>206.29684731360001</v>
      </c>
      <c r="D363">
        <f t="shared" si="20"/>
        <v>194.70315268639999</v>
      </c>
    </row>
    <row r="364" spans="1:4">
      <c r="A364">
        <v>363</v>
      </c>
      <c r="B364">
        <v>562</v>
      </c>
      <c r="C364">
        <f t="shared" si="19"/>
        <v>206.37527475360002</v>
      </c>
      <c r="D364">
        <f t="shared" si="20"/>
        <v>355.62472524639998</v>
      </c>
    </row>
    <row r="365" spans="1:4">
      <c r="A365">
        <v>364</v>
      </c>
      <c r="B365">
        <v>716</v>
      </c>
      <c r="C365">
        <f t="shared" si="19"/>
        <v>206.4532774624</v>
      </c>
      <c r="D365">
        <f t="shared" si="20"/>
        <v>509.54672253759998</v>
      </c>
    </row>
    <row r="366" spans="1:4">
      <c r="A366">
        <v>365</v>
      </c>
      <c r="B366">
        <v>796</v>
      </c>
      <c r="C366">
        <f t="shared" si="19"/>
        <v>206.53085543999998</v>
      </c>
      <c r="D366">
        <f t="shared" si="20"/>
        <v>589.46914456000002</v>
      </c>
    </row>
    <row r="367" spans="1:4">
      <c r="A367">
        <v>366</v>
      </c>
      <c r="B367">
        <v>743</v>
      </c>
      <c r="C367">
        <f t="shared" si="19"/>
        <v>206.60800868640001</v>
      </c>
      <c r="D367">
        <f t="shared" si="20"/>
        <v>536.39199131359999</v>
      </c>
    </row>
    <row r="368" spans="1:4">
      <c r="A368">
        <v>367</v>
      </c>
      <c r="B368">
        <v>662</v>
      </c>
      <c r="C368">
        <f t="shared" si="19"/>
        <v>206.6847372016</v>
      </c>
      <c r="D368">
        <f t="shared" si="20"/>
        <v>455.3152627984</v>
      </c>
    </row>
    <row r="369" spans="1:4">
      <c r="A369">
        <v>368</v>
      </c>
      <c r="B369">
        <v>608</v>
      </c>
      <c r="C369">
        <f t="shared" si="19"/>
        <v>206.7610409856</v>
      </c>
      <c r="D369">
        <f t="shared" si="20"/>
        <v>401.2389590144</v>
      </c>
    </row>
    <row r="370" spans="1:4">
      <c r="A370">
        <v>369</v>
      </c>
      <c r="B370">
        <v>594</v>
      </c>
      <c r="C370">
        <f t="shared" si="19"/>
        <v>206.8369200384</v>
      </c>
      <c r="D370">
        <f t="shared" si="20"/>
        <v>387.16307996160003</v>
      </c>
    </row>
    <row r="371" spans="1:4">
      <c r="A371">
        <v>370</v>
      </c>
      <c r="B371">
        <v>584</v>
      </c>
      <c r="C371">
        <f t="shared" si="19"/>
        <v>206.91237436</v>
      </c>
      <c r="D371">
        <f t="shared" si="20"/>
        <v>377.08762564</v>
      </c>
    </row>
    <row r="372" spans="1:4">
      <c r="A372">
        <v>371</v>
      </c>
      <c r="B372">
        <v>567</v>
      </c>
      <c r="C372">
        <f t="shared" si="19"/>
        <v>206.98740395039999</v>
      </c>
      <c r="D372">
        <f t="shared" si="20"/>
        <v>360.01259604960001</v>
      </c>
    </row>
    <row r="373" spans="1:4">
      <c r="A373">
        <v>372</v>
      </c>
      <c r="B373">
        <v>537</v>
      </c>
      <c r="C373">
        <f t="shared" si="19"/>
        <v>207.0620088096</v>
      </c>
      <c r="D373">
        <f t="shared" si="20"/>
        <v>329.9379911904</v>
      </c>
    </row>
    <row r="374" spans="1:4">
      <c r="A374">
        <v>373</v>
      </c>
      <c r="B374">
        <v>547</v>
      </c>
      <c r="C374">
        <f t="shared" si="19"/>
        <v>207.1361889376</v>
      </c>
      <c r="D374">
        <f t="shared" si="20"/>
        <v>339.86381106240003</v>
      </c>
    </row>
    <row r="375" spans="1:4">
      <c r="A375">
        <v>374</v>
      </c>
      <c r="B375">
        <v>531</v>
      </c>
      <c r="C375">
        <f t="shared" si="19"/>
        <v>207.20994433440001</v>
      </c>
      <c r="D375">
        <f t="shared" si="20"/>
        <v>323.79005566559999</v>
      </c>
    </row>
    <row r="376" spans="1:4">
      <c r="A376">
        <v>375</v>
      </c>
      <c r="B376">
        <v>517</v>
      </c>
      <c r="C376">
        <f t="shared" si="19"/>
        <v>207.283275</v>
      </c>
      <c r="D376">
        <f t="shared" si="20"/>
        <v>309.716725</v>
      </c>
    </row>
    <row r="377" spans="1:4">
      <c r="A377">
        <v>376</v>
      </c>
      <c r="B377">
        <v>471</v>
      </c>
      <c r="C377">
        <f t="shared" si="19"/>
        <v>207.35618093440002</v>
      </c>
      <c r="D377">
        <f t="shared" si="20"/>
        <v>263.64381906559998</v>
      </c>
    </row>
    <row r="378" spans="1:4">
      <c r="A378">
        <v>377</v>
      </c>
      <c r="B378">
        <v>443</v>
      </c>
      <c r="C378">
        <f t="shared" si="19"/>
        <v>207.42866213760001</v>
      </c>
      <c r="D378">
        <f t="shared" si="20"/>
        <v>235.57133786239999</v>
      </c>
    </row>
    <row r="379" spans="1:4">
      <c r="A379">
        <v>378</v>
      </c>
      <c r="B379">
        <v>436</v>
      </c>
      <c r="C379">
        <f t="shared" si="19"/>
        <v>207.5007186096</v>
      </c>
      <c r="D379">
        <f t="shared" si="20"/>
        <v>228.4992813904</v>
      </c>
    </row>
    <row r="380" spans="1:4">
      <c r="A380">
        <v>379</v>
      </c>
      <c r="B380">
        <v>434</v>
      </c>
      <c r="C380">
        <f t="shared" si="19"/>
        <v>207.5723503504</v>
      </c>
      <c r="D380">
        <f t="shared" si="20"/>
        <v>226.4276496496</v>
      </c>
    </row>
    <row r="381" spans="1:4">
      <c r="A381">
        <v>380</v>
      </c>
      <c r="B381">
        <v>409</v>
      </c>
      <c r="C381">
        <f t="shared" si="19"/>
        <v>207.64355735999999</v>
      </c>
      <c r="D381">
        <f t="shared" si="20"/>
        <v>201.35644264000001</v>
      </c>
    </row>
    <row r="382" spans="1:4">
      <c r="A382">
        <v>381</v>
      </c>
      <c r="B382">
        <v>391</v>
      </c>
      <c r="C382">
        <f t="shared" si="19"/>
        <v>207.71433963840002</v>
      </c>
      <c r="D382">
        <f t="shared" si="20"/>
        <v>183.28566036159998</v>
      </c>
    </row>
    <row r="383" spans="1:4">
      <c r="A383">
        <v>382</v>
      </c>
      <c r="B383">
        <v>375</v>
      </c>
      <c r="C383">
        <f t="shared" si="19"/>
        <v>207.78469718560001</v>
      </c>
      <c r="D383">
        <f t="shared" si="20"/>
        <v>167.21530281439999</v>
      </c>
    </row>
    <row r="384" spans="1:4">
      <c r="A384">
        <v>383</v>
      </c>
      <c r="B384">
        <v>371</v>
      </c>
      <c r="C384">
        <f t="shared" si="19"/>
        <v>207.85463000160001</v>
      </c>
      <c r="D384">
        <f t="shared" si="20"/>
        <v>163.14536999839999</v>
      </c>
    </row>
    <row r="385" spans="1:4">
      <c r="A385">
        <v>384</v>
      </c>
      <c r="B385">
        <v>374</v>
      </c>
      <c r="C385">
        <f t="shared" si="19"/>
        <v>207.92413808640001</v>
      </c>
      <c r="D385">
        <f t="shared" si="20"/>
        <v>166.07586191359999</v>
      </c>
    </row>
    <row r="386" spans="1:4">
      <c r="A386">
        <v>385</v>
      </c>
      <c r="B386">
        <v>374</v>
      </c>
      <c r="C386">
        <f t="shared" ref="C386:C449" si="21" xml:space="preserve"> -0.0002123656*A386*A386 + 0.2323925*A386 + 150</f>
        <v>207.99322144000001</v>
      </c>
      <c r="D386">
        <f t="shared" ref="D386:D449" si="22">B386-C386</f>
        <v>166.00677855999999</v>
      </c>
    </row>
    <row r="387" spans="1:4">
      <c r="A387">
        <v>386</v>
      </c>
      <c r="B387">
        <v>368</v>
      </c>
      <c r="C387">
        <f t="shared" si="21"/>
        <v>208.06188006240001</v>
      </c>
      <c r="D387">
        <f t="shared" si="22"/>
        <v>159.93811993759999</v>
      </c>
    </row>
    <row r="388" spans="1:4">
      <c r="A388">
        <v>387</v>
      </c>
      <c r="B388">
        <v>348</v>
      </c>
      <c r="C388">
        <f t="shared" si="21"/>
        <v>208.13011395360002</v>
      </c>
      <c r="D388">
        <f t="shared" si="22"/>
        <v>139.86988604639998</v>
      </c>
    </row>
    <row r="389" spans="1:4">
      <c r="A389">
        <v>388</v>
      </c>
      <c r="B389">
        <v>319</v>
      </c>
      <c r="C389">
        <f t="shared" si="21"/>
        <v>208.19792311359998</v>
      </c>
      <c r="D389">
        <f t="shared" si="22"/>
        <v>110.80207688640002</v>
      </c>
    </row>
    <row r="390" spans="1:4">
      <c r="A390">
        <v>389</v>
      </c>
      <c r="B390">
        <v>333</v>
      </c>
      <c r="C390">
        <f t="shared" si="21"/>
        <v>208.2653075424</v>
      </c>
      <c r="D390">
        <f t="shared" si="22"/>
        <v>124.7346924576</v>
      </c>
    </row>
    <row r="391" spans="1:4">
      <c r="A391">
        <v>390</v>
      </c>
      <c r="B391">
        <v>369</v>
      </c>
      <c r="C391">
        <f t="shared" si="21"/>
        <v>208.33226724000002</v>
      </c>
      <c r="D391">
        <f t="shared" si="22"/>
        <v>160.66773275999998</v>
      </c>
    </row>
    <row r="392" spans="1:4">
      <c r="A392">
        <v>391</v>
      </c>
      <c r="B392">
        <v>361</v>
      </c>
      <c r="C392">
        <f t="shared" si="21"/>
        <v>208.39880220640001</v>
      </c>
      <c r="D392">
        <f t="shared" si="22"/>
        <v>152.60119779359999</v>
      </c>
    </row>
    <row r="393" spans="1:4">
      <c r="A393">
        <v>392</v>
      </c>
      <c r="B393">
        <v>351</v>
      </c>
      <c r="C393">
        <f t="shared" si="21"/>
        <v>208.46491244160001</v>
      </c>
      <c r="D393">
        <f t="shared" si="22"/>
        <v>142.53508755839999</v>
      </c>
    </row>
    <row r="394" spans="1:4">
      <c r="A394">
        <v>393</v>
      </c>
      <c r="B394">
        <v>319</v>
      </c>
      <c r="C394">
        <f t="shared" si="21"/>
        <v>208.53059794559999</v>
      </c>
      <c r="D394">
        <f t="shared" si="22"/>
        <v>110.46940205440001</v>
      </c>
    </row>
    <row r="395" spans="1:4">
      <c r="A395">
        <v>394</v>
      </c>
      <c r="B395">
        <v>305</v>
      </c>
      <c r="C395">
        <f t="shared" si="21"/>
        <v>208.5958587184</v>
      </c>
      <c r="D395">
        <f t="shared" si="22"/>
        <v>96.404141281600005</v>
      </c>
    </row>
    <row r="396" spans="1:4">
      <c r="A396">
        <v>395</v>
      </c>
      <c r="B396">
        <v>304</v>
      </c>
      <c r="C396">
        <f t="shared" si="21"/>
        <v>208.66069476000001</v>
      </c>
      <c r="D396">
        <f t="shared" si="22"/>
        <v>95.339305239999987</v>
      </c>
    </row>
    <row r="397" spans="1:4">
      <c r="A397">
        <v>396</v>
      </c>
      <c r="B397">
        <v>327</v>
      </c>
      <c r="C397">
        <f t="shared" si="21"/>
        <v>208.72510607039999</v>
      </c>
      <c r="D397">
        <f t="shared" si="22"/>
        <v>118.27489392960001</v>
      </c>
    </row>
    <row r="398" spans="1:4">
      <c r="A398">
        <v>397</v>
      </c>
      <c r="B398">
        <v>318</v>
      </c>
      <c r="C398">
        <f t="shared" si="21"/>
        <v>208.78909264960001</v>
      </c>
      <c r="D398">
        <f t="shared" si="22"/>
        <v>109.21090735039999</v>
      </c>
    </row>
    <row r="399" spans="1:4">
      <c r="A399">
        <v>398</v>
      </c>
      <c r="B399">
        <v>307</v>
      </c>
      <c r="C399">
        <f t="shared" si="21"/>
        <v>208.85265449760001</v>
      </c>
      <c r="D399">
        <f t="shared" si="22"/>
        <v>98.147345502399986</v>
      </c>
    </row>
    <row r="400" spans="1:4">
      <c r="A400">
        <v>399</v>
      </c>
      <c r="B400">
        <v>290</v>
      </c>
      <c r="C400">
        <f t="shared" si="21"/>
        <v>208.91579161440001</v>
      </c>
      <c r="D400">
        <f t="shared" si="22"/>
        <v>81.084208385599993</v>
      </c>
    </row>
    <row r="401" spans="1:4">
      <c r="A401">
        <v>400</v>
      </c>
      <c r="B401">
        <v>276</v>
      </c>
      <c r="C401">
        <f t="shared" si="21"/>
        <v>208.97850399999999</v>
      </c>
      <c r="D401">
        <f t="shared" si="22"/>
        <v>67.021496000000013</v>
      </c>
    </row>
    <row r="402" spans="1:4">
      <c r="A402">
        <v>401</v>
      </c>
      <c r="B402">
        <v>299</v>
      </c>
      <c r="C402">
        <f t="shared" si="21"/>
        <v>209.04079165440001</v>
      </c>
      <c r="D402">
        <f t="shared" si="22"/>
        <v>89.95920834559999</v>
      </c>
    </row>
    <row r="403" spans="1:4">
      <c r="A403">
        <v>402</v>
      </c>
      <c r="B403">
        <v>329</v>
      </c>
      <c r="C403">
        <f t="shared" si="21"/>
        <v>209.10265457759999</v>
      </c>
      <c r="D403">
        <f t="shared" si="22"/>
        <v>119.89734542240001</v>
      </c>
    </row>
    <row r="404" spans="1:4">
      <c r="A404">
        <v>403</v>
      </c>
      <c r="B404">
        <v>308</v>
      </c>
      <c r="C404">
        <f t="shared" si="21"/>
        <v>209.16409276960002</v>
      </c>
      <c r="D404">
        <f t="shared" si="22"/>
        <v>98.835907230399982</v>
      </c>
    </row>
    <row r="405" spans="1:4">
      <c r="A405">
        <v>404</v>
      </c>
      <c r="B405">
        <v>324</v>
      </c>
      <c r="C405">
        <f t="shared" si="21"/>
        <v>209.2251062304</v>
      </c>
      <c r="D405">
        <f t="shared" si="22"/>
        <v>114.7748937696</v>
      </c>
    </row>
    <row r="406" spans="1:4">
      <c r="A406">
        <v>405</v>
      </c>
      <c r="B406">
        <v>353</v>
      </c>
      <c r="C406">
        <f t="shared" si="21"/>
        <v>209.28569496</v>
      </c>
      <c r="D406">
        <f t="shared" si="22"/>
        <v>143.71430504</v>
      </c>
    </row>
    <row r="407" spans="1:4">
      <c r="A407">
        <v>406</v>
      </c>
      <c r="B407">
        <v>394</v>
      </c>
      <c r="C407">
        <f t="shared" si="21"/>
        <v>209.34585895840002</v>
      </c>
      <c r="D407">
        <f t="shared" si="22"/>
        <v>184.65414104159998</v>
      </c>
    </row>
    <row r="408" spans="1:4">
      <c r="A408">
        <v>407</v>
      </c>
      <c r="B408">
        <v>437</v>
      </c>
      <c r="C408">
        <f t="shared" si="21"/>
        <v>209.40559822559999</v>
      </c>
      <c r="D408">
        <f t="shared" si="22"/>
        <v>227.59440177440001</v>
      </c>
    </row>
    <row r="409" spans="1:4">
      <c r="A409">
        <v>408</v>
      </c>
      <c r="B409">
        <v>483</v>
      </c>
      <c r="C409">
        <f t="shared" si="21"/>
        <v>209.4649127616</v>
      </c>
      <c r="D409">
        <f t="shared" si="22"/>
        <v>273.53508723840002</v>
      </c>
    </row>
    <row r="410" spans="1:4">
      <c r="A410">
        <v>409</v>
      </c>
      <c r="B410">
        <v>466</v>
      </c>
      <c r="C410">
        <f t="shared" si="21"/>
        <v>209.52380256640001</v>
      </c>
      <c r="D410">
        <f t="shared" si="22"/>
        <v>256.47619743359996</v>
      </c>
    </row>
    <row r="411" spans="1:4">
      <c r="A411">
        <v>410</v>
      </c>
      <c r="B411">
        <v>406</v>
      </c>
      <c r="C411">
        <f t="shared" si="21"/>
        <v>209.58226764</v>
      </c>
      <c r="D411">
        <f t="shared" si="22"/>
        <v>196.41773236</v>
      </c>
    </row>
    <row r="412" spans="1:4">
      <c r="A412">
        <v>411</v>
      </c>
      <c r="B412">
        <v>363</v>
      </c>
      <c r="C412">
        <f t="shared" si="21"/>
        <v>209.6403079824</v>
      </c>
      <c r="D412">
        <f t="shared" si="22"/>
        <v>153.3596920176</v>
      </c>
    </row>
    <row r="413" spans="1:4">
      <c r="A413">
        <v>412</v>
      </c>
      <c r="B413">
        <v>377</v>
      </c>
      <c r="C413">
        <f t="shared" si="21"/>
        <v>209.6979235936</v>
      </c>
      <c r="D413">
        <f t="shared" si="22"/>
        <v>167.3020764064</v>
      </c>
    </row>
    <row r="414" spans="1:4">
      <c r="A414">
        <v>413</v>
      </c>
      <c r="B414">
        <v>439</v>
      </c>
      <c r="C414">
        <f t="shared" si="21"/>
        <v>209.7551144736</v>
      </c>
      <c r="D414">
        <f t="shared" si="22"/>
        <v>229.2448855264</v>
      </c>
    </row>
    <row r="415" spans="1:4">
      <c r="A415">
        <v>414</v>
      </c>
      <c r="B415">
        <v>549</v>
      </c>
      <c r="C415">
        <f t="shared" si="21"/>
        <v>209.8118806224</v>
      </c>
      <c r="D415">
        <f t="shared" si="22"/>
        <v>339.1881193776</v>
      </c>
    </row>
    <row r="416" spans="1:4">
      <c r="A416">
        <v>415</v>
      </c>
      <c r="B416">
        <v>689</v>
      </c>
      <c r="C416">
        <f t="shared" si="21"/>
        <v>209.86822204000001</v>
      </c>
      <c r="D416">
        <f t="shared" si="22"/>
        <v>479.13177796000002</v>
      </c>
    </row>
    <row r="417" spans="1:7">
      <c r="A417">
        <v>416</v>
      </c>
      <c r="B417">
        <v>815</v>
      </c>
      <c r="C417">
        <f t="shared" si="21"/>
        <v>209.9241387264</v>
      </c>
      <c r="D417">
        <f t="shared" si="22"/>
        <v>605.07586127360003</v>
      </c>
    </row>
    <row r="418" spans="1:7">
      <c r="A418">
        <v>417</v>
      </c>
      <c r="B418">
        <v>1062</v>
      </c>
      <c r="C418">
        <f t="shared" si="21"/>
        <v>209.97963068160001</v>
      </c>
      <c r="D418">
        <f t="shared" si="22"/>
        <v>852.02036931839996</v>
      </c>
    </row>
    <row r="419" spans="1:7">
      <c r="A419">
        <v>418</v>
      </c>
      <c r="B419">
        <v>2423</v>
      </c>
      <c r="C419">
        <f t="shared" si="21"/>
        <v>210.03469790560001</v>
      </c>
      <c r="D419">
        <f t="shared" si="22"/>
        <v>2212.9653020944002</v>
      </c>
    </row>
    <row r="420" spans="1:7">
      <c r="A420">
        <v>419</v>
      </c>
      <c r="B420">
        <v>8463</v>
      </c>
      <c r="C420">
        <f t="shared" si="21"/>
        <v>210.0893403984</v>
      </c>
      <c r="D420">
        <f t="shared" si="22"/>
        <v>8252.9106596016009</v>
      </c>
    </row>
    <row r="421" spans="1:7">
      <c r="A421">
        <v>420</v>
      </c>
      <c r="B421">
        <v>21335</v>
      </c>
      <c r="C421">
        <f t="shared" si="21"/>
        <v>210.14355816</v>
      </c>
      <c r="D421">
        <f t="shared" si="22"/>
        <v>21124.856441839998</v>
      </c>
    </row>
    <row r="422" spans="1:7">
      <c r="A422">
        <v>421</v>
      </c>
      <c r="B422">
        <v>31554</v>
      </c>
      <c r="C422">
        <f t="shared" si="21"/>
        <v>210.19735119040001</v>
      </c>
      <c r="D422">
        <f t="shared" si="22"/>
        <v>31343.8026488096</v>
      </c>
    </row>
    <row r="423" spans="1:7">
      <c r="A423">
        <v>422</v>
      </c>
      <c r="B423">
        <v>31985</v>
      </c>
      <c r="C423">
        <f t="shared" si="21"/>
        <v>210.25071948960002</v>
      </c>
      <c r="D423">
        <f t="shared" si="22"/>
        <v>31774.749280510401</v>
      </c>
      <c r="F423">
        <v>422</v>
      </c>
      <c r="G423" t="s">
        <v>7</v>
      </c>
    </row>
    <row r="424" spans="1:7">
      <c r="A424">
        <v>423</v>
      </c>
      <c r="B424">
        <v>29071</v>
      </c>
      <c r="C424">
        <f t="shared" si="21"/>
        <v>210.30366305760001</v>
      </c>
      <c r="D424">
        <f t="shared" si="22"/>
        <v>28860.696336942401</v>
      </c>
    </row>
    <row r="425" spans="1:7">
      <c r="A425">
        <v>424</v>
      </c>
      <c r="B425">
        <v>14925</v>
      </c>
      <c r="C425">
        <f t="shared" si="21"/>
        <v>210.35618189440001</v>
      </c>
      <c r="D425">
        <f t="shared" si="22"/>
        <v>14714.6438181056</v>
      </c>
    </row>
    <row r="426" spans="1:7">
      <c r="A426">
        <v>425</v>
      </c>
      <c r="B426">
        <v>4931</v>
      </c>
      <c r="C426">
        <f t="shared" si="21"/>
        <v>210.408276</v>
      </c>
      <c r="D426">
        <f t="shared" si="22"/>
        <v>4720.5917239999999</v>
      </c>
    </row>
    <row r="427" spans="1:7">
      <c r="A427">
        <v>426</v>
      </c>
      <c r="B427">
        <v>1547</v>
      </c>
      <c r="C427">
        <f t="shared" si="21"/>
        <v>210.45994537440001</v>
      </c>
      <c r="D427">
        <f t="shared" si="22"/>
        <v>1336.5400546256001</v>
      </c>
    </row>
    <row r="428" spans="1:7">
      <c r="A428">
        <v>427</v>
      </c>
      <c r="B428">
        <v>736</v>
      </c>
      <c r="C428">
        <f t="shared" si="21"/>
        <v>210.5111900176</v>
      </c>
      <c r="D428">
        <f t="shared" si="22"/>
        <v>525.48880998239997</v>
      </c>
    </row>
    <row r="429" spans="1:7">
      <c r="A429">
        <v>428</v>
      </c>
      <c r="B429">
        <v>498</v>
      </c>
      <c r="C429">
        <f t="shared" si="21"/>
        <v>210.56200992959998</v>
      </c>
      <c r="D429">
        <f t="shared" si="22"/>
        <v>287.43799007040002</v>
      </c>
    </row>
    <row r="430" spans="1:7">
      <c r="A430">
        <v>429</v>
      </c>
      <c r="B430">
        <v>393</v>
      </c>
      <c r="C430">
        <f t="shared" si="21"/>
        <v>210.6124051104</v>
      </c>
      <c r="D430">
        <f t="shared" si="22"/>
        <v>182.3875948896</v>
      </c>
    </row>
    <row r="431" spans="1:7">
      <c r="A431">
        <v>430</v>
      </c>
      <c r="B431">
        <v>403</v>
      </c>
      <c r="C431">
        <f t="shared" si="21"/>
        <v>210.66237555999999</v>
      </c>
      <c r="D431">
        <f t="shared" si="22"/>
        <v>192.33762444000001</v>
      </c>
    </row>
    <row r="432" spans="1:7">
      <c r="A432">
        <v>431</v>
      </c>
      <c r="B432">
        <v>402</v>
      </c>
      <c r="C432">
        <f t="shared" si="21"/>
        <v>210.71192127840001</v>
      </c>
      <c r="D432">
        <f t="shared" si="22"/>
        <v>191.28807872159999</v>
      </c>
    </row>
    <row r="433" spans="1:4">
      <c r="A433">
        <v>432</v>
      </c>
      <c r="B433">
        <v>379</v>
      </c>
      <c r="C433">
        <f t="shared" si="21"/>
        <v>210.7610422656</v>
      </c>
      <c r="D433">
        <f t="shared" si="22"/>
        <v>168.2389577344</v>
      </c>
    </row>
    <row r="434" spans="1:4">
      <c r="A434">
        <v>433</v>
      </c>
      <c r="B434">
        <v>343</v>
      </c>
      <c r="C434">
        <f t="shared" si="21"/>
        <v>210.8097385216</v>
      </c>
      <c r="D434">
        <f t="shared" si="22"/>
        <v>132.1902614784</v>
      </c>
    </row>
    <row r="435" spans="1:4">
      <c r="A435">
        <v>434</v>
      </c>
      <c r="B435">
        <v>309</v>
      </c>
      <c r="C435">
        <f t="shared" si="21"/>
        <v>210.85801004640001</v>
      </c>
      <c r="D435">
        <f t="shared" si="22"/>
        <v>98.141989953599989</v>
      </c>
    </row>
    <row r="436" spans="1:4">
      <c r="A436">
        <v>435</v>
      </c>
      <c r="B436">
        <v>282</v>
      </c>
      <c r="C436">
        <f t="shared" si="21"/>
        <v>210.90585684000001</v>
      </c>
      <c r="D436">
        <f t="shared" si="22"/>
        <v>71.094143159999987</v>
      </c>
    </row>
    <row r="437" spans="1:4">
      <c r="A437">
        <v>436</v>
      </c>
      <c r="B437">
        <v>240</v>
      </c>
      <c r="C437">
        <f t="shared" si="21"/>
        <v>210.9532789024</v>
      </c>
      <c r="D437">
        <f t="shared" si="22"/>
        <v>29.046721097599999</v>
      </c>
    </row>
    <row r="438" spans="1:4">
      <c r="A438">
        <v>437</v>
      </c>
      <c r="B438">
        <v>264</v>
      </c>
      <c r="C438">
        <f t="shared" si="21"/>
        <v>211.0002762336</v>
      </c>
      <c r="D438">
        <f t="shared" si="22"/>
        <v>52.999723766399995</v>
      </c>
    </row>
    <row r="439" spans="1:4">
      <c r="A439">
        <v>438</v>
      </c>
      <c r="B439">
        <v>322</v>
      </c>
      <c r="C439">
        <f t="shared" si="21"/>
        <v>211.0468488336</v>
      </c>
      <c r="D439">
        <f t="shared" si="22"/>
        <v>110.9531511664</v>
      </c>
    </row>
    <row r="440" spans="1:4">
      <c r="A440">
        <v>439</v>
      </c>
      <c r="B440">
        <v>362</v>
      </c>
      <c r="C440">
        <f t="shared" si="21"/>
        <v>211.0929967024</v>
      </c>
      <c r="D440">
        <f t="shared" si="22"/>
        <v>150.9070032976</v>
      </c>
    </row>
    <row r="441" spans="1:4">
      <c r="A441">
        <v>440</v>
      </c>
      <c r="B441">
        <v>334</v>
      </c>
      <c r="C441">
        <f t="shared" si="21"/>
        <v>211.13871984000002</v>
      </c>
      <c r="D441">
        <f t="shared" si="22"/>
        <v>122.86128015999998</v>
      </c>
    </row>
    <row r="442" spans="1:4">
      <c r="A442">
        <v>441</v>
      </c>
      <c r="B442">
        <v>289</v>
      </c>
      <c r="C442">
        <f t="shared" si="21"/>
        <v>211.1840182464</v>
      </c>
      <c r="D442">
        <f t="shared" si="22"/>
        <v>77.815981753599999</v>
      </c>
    </row>
    <row r="443" spans="1:4">
      <c r="A443">
        <v>442</v>
      </c>
      <c r="B443">
        <v>255</v>
      </c>
      <c r="C443">
        <f t="shared" si="21"/>
        <v>211.2288919216</v>
      </c>
      <c r="D443">
        <f t="shared" si="22"/>
        <v>43.771108078400005</v>
      </c>
    </row>
    <row r="444" spans="1:4">
      <c r="A444">
        <v>443</v>
      </c>
      <c r="B444">
        <v>258</v>
      </c>
      <c r="C444">
        <f t="shared" si="21"/>
        <v>211.27334086560001</v>
      </c>
      <c r="D444">
        <f t="shared" si="22"/>
        <v>46.726659134399995</v>
      </c>
    </row>
    <row r="445" spans="1:4">
      <c r="A445">
        <v>444</v>
      </c>
      <c r="B445">
        <v>304</v>
      </c>
      <c r="C445">
        <f t="shared" si="21"/>
        <v>211.3173650784</v>
      </c>
      <c r="D445">
        <f t="shared" si="22"/>
        <v>92.682634921599998</v>
      </c>
    </row>
    <row r="446" spans="1:4">
      <c r="A446">
        <v>445</v>
      </c>
      <c r="B446">
        <v>353</v>
      </c>
      <c r="C446">
        <f t="shared" si="21"/>
        <v>211.36096456000001</v>
      </c>
      <c r="D446">
        <f t="shared" si="22"/>
        <v>141.63903543999999</v>
      </c>
    </row>
    <row r="447" spans="1:4">
      <c r="A447">
        <v>446</v>
      </c>
      <c r="B447">
        <v>372</v>
      </c>
      <c r="C447">
        <f t="shared" si="21"/>
        <v>211.40413931040001</v>
      </c>
      <c r="D447">
        <f t="shared" si="22"/>
        <v>160.59586068959999</v>
      </c>
    </row>
    <row r="448" spans="1:4">
      <c r="A448">
        <v>447</v>
      </c>
      <c r="B448">
        <v>353</v>
      </c>
      <c r="C448">
        <f t="shared" si="21"/>
        <v>211.4468893296</v>
      </c>
      <c r="D448">
        <f t="shared" si="22"/>
        <v>141.5531106704</v>
      </c>
    </row>
    <row r="449" spans="1:4">
      <c r="A449">
        <v>448</v>
      </c>
      <c r="B449">
        <v>352</v>
      </c>
      <c r="C449">
        <f t="shared" si="21"/>
        <v>211.4892146176</v>
      </c>
      <c r="D449">
        <f t="shared" si="22"/>
        <v>140.5107853824</v>
      </c>
    </row>
    <row r="450" spans="1:4">
      <c r="A450">
        <v>449</v>
      </c>
      <c r="B450">
        <v>314</v>
      </c>
      <c r="C450">
        <f t="shared" ref="C450:C513" si="23" xml:space="preserve"> -0.0002123656*A450*A450 + 0.2323925*A450 + 150</f>
        <v>211.53111517440001</v>
      </c>
      <c r="D450">
        <f t="shared" ref="D450:D513" si="24">B450-C450</f>
        <v>102.46888482559999</v>
      </c>
    </row>
    <row r="451" spans="1:4">
      <c r="A451">
        <v>450</v>
      </c>
      <c r="B451">
        <v>310</v>
      </c>
      <c r="C451">
        <f t="shared" si="23"/>
        <v>211.57259100000002</v>
      </c>
      <c r="D451">
        <f t="shared" si="24"/>
        <v>98.427408999999983</v>
      </c>
    </row>
    <row r="452" spans="1:4">
      <c r="A452">
        <v>451</v>
      </c>
      <c r="B452">
        <v>276</v>
      </c>
      <c r="C452">
        <f t="shared" si="23"/>
        <v>211.61364209440001</v>
      </c>
      <c r="D452">
        <f t="shared" si="24"/>
        <v>64.386357905599994</v>
      </c>
    </row>
    <row r="453" spans="1:4">
      <c r="A453">
        <v>452</v>
      </c>
      <c r="B453">
        <v>271</v>
      </c>
      <c r="C453">
        <f t="shared" si="23"/>
        <v>211.65426845759998</v>
      </c>
      <c r="D453">
        <f t="shared" si="24"/>
        <v>59.345731542400017</v>
      </c>
    </row>
    <row r="454" spans="1:4">
      <c r="A454">
        <v>453</v>
      </c>
      <c r="B454">
        <v>255</v>
      </c>
      <c r="C454">
        <f t="shared" si="23"/>
        <v>211.6944700896</v>
      </c>
      <c r="D454">
        <f t="shared" si="24"/>
        <v>43.305529910399997</v>
      </c>
    </row>
    <row r="455" spans="1:4">
      <c r="A455">
        <v>454</v>
      </c>
      <c r="B455">
        <v>247</v>
      </c>
      <c r="C455">
        <f t="shared" si="23"/>
        <v>211.73424699040001</v>
      </c>
      <c r="D455">
        <f t="shared" si="24"/>
        <v>35.26575300959999</v>
      </c>
    </row>
    <row r="456" spans="1:4">
      <c r="A456">
        <v>455</v>
      </c>
      <c r="B456">
        <v>286</v>
      </c>
      <c r="C456">
        <f t="shared" si="23"/>
        <v>211.77359916</v>
      </c>
      <c r="D456">
        <f t="shared" si="24"/>
        <v>74.226400839999997</v>
      </c>
    </row>
    <row r="457" spans="1:4">
      <c r="A457">
        <v>456</v>
      </c>
      <c r="B457">
        <v>366</v>
      </c>
      <c r="C457">
        <f t="shared" si="23"/>
        <v>211.81252659839998</v>
      </c>
      <c r="D457">
        <f t="shared" si="24"/>
        <v>154.18747340160002</v>
      </c>
    </row>
    <row r="458" spans="1:4">
      <c r="A458">
        <v>457</v>
      </c>
      <c r="B458">
        <v>373</v>
      </c>
      <c r="C458">
        <f t="shared" si="23"/>
        <v>211.85102930560001</v>
      </c>
      <c r="D458">
        <f t="shared" si="24"/>
        <v>161.14897069439999</v>
      </c>
    </row>
    <row r="459" spans="1:4">
      <c r="A459">
        <v>458</v>
      </c>
      <c r="B459">
        <v>318</v>
      </c>
      <c r="C459">
        <f t="shared" si="23"/>
        <v>211.88910728159999</v>
      </c>
      <c r="D459">
        <f t="shared" si="24"/>
        <v>106.11089271840001</v>
      </c>
    </row>
    <row r="460" spans="1:4">
      <c r="A460">
        <v>459</v>
      </c>
      <c r="B460">
        <v>236</v>
      </c>
      <c r="C460">
        <f t="shared" si="23"/>
        <v>211.92676052640002</v>
      </c>
      <c r="D460">
        <f t="shared" si="24"/>
        <v>24.073239473599983</v>
      </c>
    </row>
    <row r="461" spans="1:4">
      <c r="A461">
        <v>460</v>
      </c>
      <c r="B461">
        <v>235</v>
      </c>
      <c r="C461">
        <f t="shared" si="23"/>
        <v>211.96398904</v>
      </c>
      <c r="D461">
        <f t="shared" si="24"/>
        <v>23.036010959999999</v>
      </c>
    </row>
    <row r="462" spans="1:4">
      <c r="A462">
        <v>461</v>
      </c>
      <c r="B462">
        <v>223</v>
      </c>
      <c r="C462">
        <f t="shared" si="23"/>
        <v>212.0007928224</v>
      </c>
      <c r="D462">
        <f t="shared" si="24"/>
        <v>10.999207177599999</v>
      </c>
    </row>
    <row r="463" spans="1:4">
      <c r="A463">
        <v>462</v>
      </c>
      <c r="B463">
        <v>222</v>
      </c>
      <c r="C463">
        <f t="shared" si="23"/>
        <v>212.03717187360002</v>
      </c>
      <c r="D463">
        <f t="shared" si="24"/>
        <v>9.9628281263999838</v>
      </c>
    </row>
    <row r="464" spans="1:4">
      <c r="A464">
        <v>463</v>
      </c>
      <c r="B464">
        <v>215</v>
      </c>
      <c r="C464">
        <f t="shared" si="23"/>
        <v>212.07312619359999</v>
      </c>
      <c r="D464">
        <f t="shared" si="24"/>
        <v>2.9268738064000104</v>
      </c>
    </row>
    <row r="465" spans="1:4">
      <c r="A465">
        <v>464</v>
      </c>
      <c r="B465">
        <v>211</v>
      </c>
      <c r="C465">
        <f t="shared" si="23"/>
        <v>212.10865578239998</v>
      </c>
      <c r="D465">
        <f t="shared" si="24"/>
        <v>-1.1086557823999783</v>
      </c>
    </row>
    <row r="466" spans="1:4">
      <c r="A466">
        <v>465</v>
      </c>
      <c r="B466">
        <v>222</v>
      </c>
      <c r="C466">
        <f t="shared" si="23"/>
        <v>212.14376063999998</v>
      </c>
      <c r="D466">
        <f t="shared" si="24"/>
        <v>9.8562393600000178</v>
      </c>
    </row>
    <row r="467" spans="1:4">
      <c r="A467">
        <v>466</v>
      </c>
      <c r="B467">
        <v>248</v>
      </c>
      <c r="C467">
        <f t="shared" si="23"/>
        <v>212.1784407664</v>
      </c>
      <c r="D467">
        <f t="shared" si="24"/>
        <v>35.821559233599999</v>
      </c>
    </row>
    <row r="468" spans="1:4">
      <c r="A468">
        <v>467</v>
      </c>
      <c r="B468">
        <v>240</v>
      </c>
      <c r="C468">
        <f t="shared" si="23"/>
        <v>212.21269616160001</v>
      </c>
      <c r="D468">
        <f t="shared" si="24"/>
        <v>27.787303838399993</v>
      </c>
    </row>
    <row r="469" spans="1:4">
      <c r="A469">
        <v>468</v>
      </c>
      <c r="B469">
        <v>229</v>
      </c>
      <c r="C469">
        <f t="shared" si="23"/>
        <v>212.2465268256</v>
      </c>
      <c r="D469">
        <f t="shared" si="24"/>
        <v>16.7534731744</v>
      </c>
    </row>
    <row r="470" spans="1:4">
      <c r="A470">
        <v>469</v>
      </c>
      <c r="B470">
        <v>207</v>
      </c>
      <c r="C470">
        <f t="shared" si="23"/>
        <v>212.27993275839998</v>
      </c>
      <c r="D470">
        <f t="shared" si="24"/>
        <v>-5.2799327583999798</v>
      </c>
    </row>
    <row r="471" spans="1:4">
      <c r="A471">
        <v>470</v>
      </c>
      <c r="B471">
        <v>215</v>
      </c>
      <c r="C471">
        <f t="shared" si="23"/>
        <v>212.31291396</v>
      </c>
      <c r="D471">
        <f t="shared" si="24"/>
        <v>2.687086039999997</v>
      </c>
    </row>
    <row r="472" spans="1:4">
      <c r="A472">
        <v>471</v>
      </c>
      <c r="B472">
        <v>263</v>
      </c>
      <c r="C472">
        <f t="shared" si="23"/>
        <v>212.34547043040001</v>
      </c>
      <c r="D472">
        <f t="shared" si="24"/>
        <v>50.654529569599987</v>
      </c>
    </row>
    <row r="473" spans="1:4">
      <c r="A473">
        <v>472</v>
      </c>
      <c r="B473">
        <v>335</v>
      </c>
      <c r="C473">
        <f t="shared" si="23"/>
        <v>212.37760216960001</v>
      </c>
      <c r="D473">
        <f t="shared" si="24"/>
        <v>122.62239783039999</v>
      </c>
    </row>
    <row r="474" spans="1:4">
      <c r="A474">
        <v>473</v>
      </c>
      <c r="B474">
        <v>392</v>
      </c>
      <c r="C474">
        <f t="shared" si="23"/>
        <v>212.40930917760002</v>
      </c>
      <c r="D474">
        <f t="shared" si="24"/>
        <v>179.59069082239998</v>
      </c>
    </row>
    <row r="475" spans="1:4">
      <c r="A475">
        <v>474</v>
      </c>
      <c r="B475">
        <v>386</v>
      </c>
      <c r="C475">
        <f t="shared" si="23"/>
        <v>212.44059145439999</v>
      </c>
      <c r="D475">
        <f t="shared" si="24"/>
        <v>173.55940854560001</v>
      </c>
    </row>
    <row r="476" spans="1:4">
      <c r="A476">
        <v>475</v>
      </c>
      <c r="B476">
        <v>326</v>
      </c>
      <c r="C476">
        <f t="shared" si="23"/>
        <v>212.47144900000001</v>
      </c>
      <c r="D476">
        <f t="shared" si="24"/>
        <v>113.52855099999999</v>
      </c>
    </row>
    <row r="477" spans="1:4">
      <c r="A477">
        <v>476</v>
      </c>
      <c r="B477">
        <v>264</v>
      </c>
      <c r="C477">
        <f t="shared" si="23"/>
        <v>212.50188181440001</v>
      </c>
      <c r="D477">
        <f t="shared" si="24"/>
        <v>51.498118185599992</v>
      </c>
    </row>
    <row r="478" spans="1:4">
      <c r="A478">
        <v>477</v>
      </c>
      <c r="B478">
        <v>232</v>
      </c>
      <c r="C478">
        <f t="shared" si="23"/>
        <v>212.53188989760002</v>
      </c>
      <c r="D478">
        <f t="shared" si="24"/>
        <v>19.468110102399976</v>
      </c>
    </row>
    <row r="479" spans="1:4">
      <c r="A479">
        <v>478</v>
      </c>
      <c r="B479">
        <v>213</v>
      </c>
      <c r="C479">
        <f t="shared" si="23"/>
        <v>212.5614732496</v>
      </c>
      <c r="D479">
        <f t="shared" si="24"/>
        <v>0.43852675040000122</v>
      </c>
    </row>
    <row r="480" spans="1:4">
      <c r="A480">
        <v>479</v>
      </c>
      <c r="B480">
        <v>206</v>
      </c>
      <c r="C480">
        <f t="shared" si="23"/>
        <v>212.59063187039999</v>
      </c>
      <c r="D480">
        <f t="shared" si="24"/>
        <v>-6.5906318703999887</v>
      </c>
    </row>
    <row r="481" spans="1:7">
      <c r="A481">
        <v>480</v>
      </c>
      <c r="B481">
        <v>201</v>
      </c>
      <c r="C481">
        <f t="shared" si="23"/>
        <v>212.61936575999999</v>
      </c>
      <c r="D481">
        <f t="shared" si="24"/>
        <v>-11.619365759999994</v>
      </c>
    </row>
    <row r="482" spans="1:7">
      <c r="A482">
        <v>481</v>
      </c>
      <c r="B482">
        <v>209</v>
      </c>
      <c r="C482">
        <f t="shared" si="23"/>
        <v>212.64767491840001</v>
      </c>
      <c r="D482">
        <f t="shared" si="24"/>
        <v>-3.6476749184000141</v>
      </c>
    </row>
    <row r="483" spans="1:7">
      <c r="A483">
        <v>482</v>
      </c>
      <c r="B483">
        <v>220</v>
      </c>
      <c r="C483">
        <f t="shared" si="23"/>
        <v>212.67555934560002</v>
      </c>
      <c r="D483">
        <f t="shared" si="24"/>
        <v>7.3244406543999787</v>
      </c>
    </row>
    <row r="484" spans="1:7">
      <c r="A484">
        <v>483</v>
      </c>
      <c r="B484">
        <v>279</v>
      </c>
      <c r="C484">
        <f t="shared" si="23"/>
        <v>212.70301904159999</v>
      </c>
      <c r="D484">
        <f t="shared" si="24"/>
        <v>66.296980958400013</v>
      </c>
    </row>
    <row r="485" spans="1:7">
      <c r="A485">
        <v>484</v>
      </c>
      <c r="B485">
        <v>371</v>
      </c>
      <c r="C485">
        <f t="shared" si="23"/>
        <v>212.7300540064</v>
      </c>
      <c r="D485">
        <f t="shared" si="24"/>
        <v>158.2699459936</v>
      </c>
    </row>
    <row r="486" spans="1:7">
      <c r="A486">
        <v>485</v>
      </c>
      <c r="B486">
        <v>414</v>
      </c>
      <c r="C486">
        <f t="shared" si="23"/>
        <v>212.75666424000002</v>
      </c>
      <c r="D486">
        <f t="shared" si="24"/>
        <v>201.24333575999998</v>
      </c>
    </row>
    <row r="487" spans="1:7">
      <c r="A487">
        <v>486</v>
      </c>
      <c r="B487">
        <v>409</v>
      </c>
      <c r="C487">
        <f t="shared" si="23"/>
        <v>212.7828497424</v>
      </c>
      <c r="D487">
        <f t="shared" si="24"/>
        <v>196.2171502576</v>
      </c>
    </row>
    <row r="488" spans="1:7">
      <c r="A488">
        <v>487</v>
      </c>
      <c r="B488">
        <v>478</v>
      </c>
      <c r="C488">
        <f t="shared" si="23"/>
        <v>212.8086105136</v>
      </c>
      <c r="D488">
        <f t="shared" si="24"/>
        <v>265.1913894864</v>
      </c>
    </row>
    <row r="489" spans="1:7">
      <c r="A489">
        <v>488</v>
      </c>
      <c r="B489">
        <v>670</v>
      </c>
      <c r="C489">
        <f t="shared" si="23"/>
        <v>212.83394655360001</v>
      </c>
      <c r="D489">
        <f t="shared" si="24"/>
        <v>457.16605344639999</v>
      </c>
    </row>
    <row r="490" spans="1:7">
      <c r="A490">
        <v>489</v>
      </c>
      <c r="B490">
        <v>882</v>
      </c>
      <c r="C490">
        <f t="shared" si="23"/>
        <v>212.85885786240001</v>
      </c>
      <c r="D490">
        <f t="shared" si="24"/>
        <v>669.14114213760001</v>
      </c>
    </row>
    <row r="491" spans="1:7">
      <c r="A491">
        <v>490</v>
      </c>
      <c r="B491">
        <v>997</v>
      </c>
      <c r="C491">
        <f t="shared" si="23"/>
        <v>212.88334444</v>
      </c>
      <c r="D491">
        <f t="shared" si="24"/>
        <v>784.11665556000003</v>
      </c>
    </row>
    <row r="492" spans="1:7">
      <c r="A492">
        <v>491</v>
      </c>
      <c r="B492">
        <v>1247</v>
      </c>
      <c r="C492">
        <f t="shared" si="23"/>
        <v>212.9074062864</v>
      </c>
      <c r="D492">
        <f t="shared" si="24"/>
        <v>1034.0925937136001</v>
      </c>
    </row>
    <row r="493" spans="1:7">
      <c r="A493">
        <v>492</v>
      </c>
      <c r="B493">
        <v>2545</v>
      </c>
      <c r="C493">
        <f t="shared" si="23"/>
        <v>212.93104340159999</v>
      </c>
      <c r="D493">
        <f t="shared" si="24"/>
        <v>2332.0689565983998</v>
      </c>
    </row>
    <row r="494" spans="1:7">
      <c r="A494">
        <v>493</v>
      </c>
      <c r="B494">
        <v>5875</v>
      </c>
      <c r="C494">
        <f t="shared" si="23"/>
        <v>212.9542557856</v>
      </c>
      <c r="D494">
        <f t="shared" si="24"/>
        <v>5662.0457442143997</v>
      </c>
    </row>
    <row r="495" spans="1:7">
      <c r="A495">
        <v>494</v>
      </c>
      <c r="B495">
        <v>9967</v>
      </c>
      <c r="C495">
        <f t="shared" si="23"/>
        <v>212.97704343840002</v>
      </c>
      <c r="D495">
        <f t="shared" si="24"/>
        <v>9754.0229565615991</v>
      </c>
    </row>
    <row r="496" spans="1:7" ht="17.25">
      <c r="A496">
        <v>495</v>
      </c>
      <c r="B496">
        <v>11014</v>
      </c>
      <c r="C496">
        <f t="shared" si="23"/>
        <v>212.99940636000002</v>
      </c>
      <c r="D496">
        <f t="shared" si="24"/>
        <v>10801.000593639999</v>
      </c>
      <c r="F496">
        <v>495</v>
      </c>
      <c r="G496" t="s">
        <v>22</v>
      </c>
    </row>
    <row r="497" spans="1:4">
      <c r="A497">
        <v>496</v>
      </c>
      <c r="B497">
        <v>7963</v>
      </c>
      <c r="C497">
        <f t="shared" si="23"/>
        <v>213.02134455040002</v>
      </c>
      <c r="D497">
        <f t="shared" si="24"/>
        <v>7749.9786554496004</v>
      </c>
    </row>
    <row r="498" spans="1:4">
      <c r="A498">
        <v>497</v>
      </c>
      <c r="B498">
        <v>3902</v>
      </c>
      <c r="C498">
        <f t="shared" si="23"/>
        <v>213.0428580096</v>
      </c>
      <c r="D498">
        <f t="shared" si="24"/>
        <v>3688.9571419904</v>
      </c>
    </row>
    <row r="499" spans="1:4">
      <c r="A499">
        <v>498</v>
      </c>
      <c r="B499">
        <v>1517</v>
      </c>
      <c r="C499">
        <f t="shared" si="23"/>
        <v>213.06394673760002</v>
      </c>
      <c r="D499">
        <f t="shared" si="24"/>
        <v>1303.9360532624</v>
      </c>
    </row>
    <row r="500" spans="1:4">
      <c r="A500">
        <v>499</v>
      </c>
      <c r="B500">
        <v>584</v>
      </c>
      <c r="C500">
        <f t="shared" si="23"/>
        <v>213.0846107344</v>
      </c>
      <c r="D500">
        <f t="shared" si="24"/>
        <v>370.91538926559997</v>
      </c>
    </row>
    <row r="501" spans="1:4">
      <c r="A501">
        <v>500</v>
      </c>
      <c r="B501">
        <v>338</v>
      </c>
      <c r="C501">
        <f t="shared" si="23"/>
        <v>213.10485</v>
      </c>
      <c r="D501">
        <f t="shared" si="24"/>
        <v>124.89515</v>
      </c>
    </row>
    <row r="502" spans="1:4">
      <c r="A502">
        <v>501</v>
      </c>
      <c r="B502">
        <v>274</v>
      </c>
      <c r="C502">
        <f t="shared" si="23"/>
        <v>213.12466453439998</v>
      </c>
      <c r="D502">
        <f t="shared" si="24"/>
        <v>60.875335465600017</v>
      </c>
    </row>
    <row r="503" spans="1:4">
      <c r="A503">
        <v>502</v>
      </c>
      <c r="B503">
        <v>281</v>
      </c>
      <c r="C503">
        <f t="shared" si="23"/>
        <v>213.14405433760001</v>
      </c>
      <c r="D503">
        <f t="shared" si="24"/>
        <v>67.855945662399989</v>
      </c>
    </row>
    <row r="504" spans="1:4">
      <c r="A504">
        <v>503</v>
      </c>
      <c r="B504">
        <v>267</v>
      </c>
      <c r="C504">
        <f t="shared" si="23"/>
        <v>213.1630194096</v>
      </c>
      <c r="D504">
        <f t="shared" si="24"/>
        <v>53.836980590400003</v>
      </c>
    </row>
    <row r="505" spans="1:4">
      <c r="A505">
        <v>504</v>
      </c>
      <c r="B505">
        <v>242</v>
      </c>
      <c r="C505">
        <f t="shared" si="23"/>
        <v>213.1815597504</v>
      </c>
      <c r="D505">
        <f t="shared" si="24"/>
        <v>28.818440249600002</v>
      </c>
    </row>
    <row r="506" spans="1:4">
      <c r="A506">
        <v>505</v>
      </c>
      <c r="B506">
        <v>217</v>
      </c>
      <c r="C506">
        <f t="shared" si="23"/>
        <v>213.19967536000001</v>
      </c>
      <c r="D506">
        <f t="shared" si="24"/>
        <v>3.8003246399999853</v>
      </c>
    </row>
    <row r="507" spans="1:4">
      <c r="A507">
        <v>506</v>
      </c>
      <c r="B507">
        <v>218</v>
      </c>
      <c r="C507">
        <f t="shared" si="23"/>
        <v>213.21736623839999</v>
      </c>
      <c r="D507">
        <f t="shared" si="24"/>
        <v>4.7826337616000103</v>
      </c>
    </row>
    <row r="508" spans="1:4">
      <c r="A508">
        <v>507</v>
      </c>
      <c r="B508">
        <v>198</v>
      </c>
      <c r="C508">
        <f t="shared" si="23"/>
        <v>213.23463238560001</v>
      </c>
      <c r="D508">
        <f t="shared" si="24"/>
        <v>-15.234632385600008</v>
      </c>
    </row>
    <row r="509" spans="1:4">
      <c r="A509">
        <v>508</v>
      </c>
      <c r="B509">
        <v>216</v>
      </c>
      <c r="C509">
        <f t="shared" si="23"/>
        <v>213.25147380160001</v>
      </c>
      <c r="D509">
        <f t="shared" si="24"/>
        <v>2.7485261983999862</v>
      </c>
    </row>
    <row r="510" spans="1:4">
      <c r="A510">
        <v>509</v>
      </c>
      <c r="B510">
        <v>231</v>
      </c>
      <c r="C510">
        <f t="shared" si="23"/>
        <v>213.26789048640001</v>
      </c>
      <c r="D510">
        <f t="shared" si="24"/>
        <v>17.732109513599994</v>
      </c>
    </row>
    <row r="511" spans="1:4">
      <c r="A511">
        <v>510</v>
      </c>
      <c r="B511">
        <v>248</v>
      </c>
      <c r="C511">
        <f t="shared" si="23"/>
        <v>213.28388244000001</v>
      </c>
      <c r="D511">
        <f t="shared" si="24"/>
        <v>34.716117559999986</v>
      </c>
    </row>
    <row r="512" spans="1:4">
      <c r="A512">
        <v>511</v>
      </c>
      <c r="B512">
        <v>231</v>
      </c>
      <c r="C512">
        <f t="shared" si="23"/>
        <v>213.29944966240001</v>
      </c>
      <c r="D512">
        <f t="shared" si="24"/>
        <v>17.700550337599992</v>
      </c>
    </row>
    <row r="513" spans="1:4">
      <c r="A513">
        <v>512</v>
      </c>
      <c r="B513">
        <v>195</v>
      </c>
      <c r="C513">
        <f t="shared" si="23"/>
        <v>213.31459215360002</v>
      </c>
      <c r="D513">
        <f t="shared" si="24"/>
        <v>-18.314592153600017</v>
      </c>
    </row>
    <row r="514" spans="1:4">
      <c r="A514">
        <v>513</v>
      </c>
      <c r="B514">
        <v>176</v>
      </c>
      <c r="C514">
        <f t="shared" ref="C514:C577" si="25" xml:space="preserve"> -0.0002123656*A514*A514 + 0.2323925*A514 + 150</f>
        <v>213.32930991360001</v>
      </c>
      <c r="D514">
        <f t="shared" ref="D514:D577" si="26">B514-C514</f>
        <v>-37.329309913600014</v>
      </c>
    </row>
    <row r="515" spans="1:4">
      <c r="A515">
        <v>514</v>
      </c>
      <c r="B515">
        <v>179</v>
      </c>
      <c r="C515">
        <f t="shared" si="25"/>
        <v>213.34360294240003</v>
      </c>
      <c r="D515">
        <f t="shared" si="26"/>
        <v>-34.343602942400025</v>
      </c>
    </row>
    <row r="516" spans="1:4">
      <c r="A516">
        <v>515</v>
      </c>
      <c r="B516">
        <v>223</v>
      </c>
      <c r="C516">
        <f t="shared" si="25"/>
        <v>213.35747124</v>
      </c>
      <c r="D516">
        <f t="shared" si="26"/>
        <v>9.6425287600000047</v>
      </c>
    </row>
    <row r="517" spans="1:4">
      <c r="A517">
        <v>516</v>
      </c>
      <c r="B517">
        <v>254</v>
      </c>
      <c r="C517">
        <f t="shared" si="25"/>
        <v>213.37091480640001</v>
      </c>
      <c r="D517">
        <f t="shared" si="26"/>
        <v>40.629085193599991</v>
      </c>
    </row>
    <row r="518" spans="1:4">
      <c r="A518">
        <v>517</v>
      </c>
      <c r="B518">
        <v>235</v>
      </c>
      <c r="C518">
        <f t="shared" si="25"/>
        <v>213.38393364160001</v>
      </c>
      <c r="D518">
        <f t="shared" si="26"/>
        <v>21.616066358399991</v>
      </c>
    </row>
    <row r="519" spans="1:4">
      <c r="A519">
        <v>518</v>
      </c>
      <c r="B519">
        <v>235</v>
      </c>
      <c r="C519">
        <f t="shared" si="25"/>
        <v>213.3965277456</v>
      </c>
      <c r="D519">
        <f t="shared" si="26"/>
        <v>21.603472254400003</v>
      </c>
    </row>
    <row r="520" spans="1:4">
      <c r="A520">
        <v>519</v>
      </c>
      <c r="B520">
        <v>277</v>
      </c>
      <c r="C520">
        <f t="shared" si="25"/>
        <v>213.4086971184</v>
      </c>
      <c r="D520">
        <f t="shared" si="26"/>
        <v>63.591302881600001</v>
      </c>
    </row>
    <row r="521" spans="1:4">
      <c r="A521">
        <v>520</v>
      </c>
      <c r="B521">
        <v>356</v>
      </c>
      <c r="C521">
        <f t="shared" si="25"/>
        <v>213.42044175999999</v>
      </c>
      <c r="D521">
        <f t="shared" si="26"/>
        <v>142.57955824000001</v>
      </c>
    </row>
    <row r="522" spans="1:4">
      <c r="A522">
        <v>521</v>
      </c>
      <c r="B522">
        <v>379</v>
      </c>
      <c r="C522">
        <f t="shared" si="25"/>
        <v>213.43176167039999</v>
      </c>
      <c r="D522">
        <f t="shared" si="26"/>
        <v>165.56823832960001</v>
      </c>
    </row>
    <row r="523" spans="1:4">
      <c r="A523">
        <v>522</v>
      </c>
      <c r="B523">
        <v>316</v>
      </c>
      <c r="C523">
        <f t="shared" si="25"/>
        <v>213.44265684960001</v>
      </c>
      <c r="D523">
        <f t="shared" si="26"/>
        <v>102.55734315039999</v>
      </c>
    </row>
    <row r="524" spans="1:4">
      <c r="A524">
        <v>523</v>
      </c>
      <c r="B524">
        <v>215</v>
      </c>
      <c r="C524">
        <f t="shared" si="25"/>
        <v>213.45312729760002</v>
      </c>
      <c r="D524">
        <f t="shared" si="26"/>
        <v>1.5468727023999804</v>
      </c>
    </row>
    <row r="525" spans="1:4">
      <c r="A525">
        <v>524</v>
      </c>
      <c r="B525">
        <v>168</v>
      </c>
      <c r="C525">
        <f t="shared" si="25"/>
        <v>213.46317301440001</v>
      </c>
      <c r="D525">
        <f t="shared" si="26"/>
        <v>-45.463173014400013</v>
      </c>
    </row>
    <row r="526" spans="1:4">
      <c r="A526">
        <v>525</v>
      </c>
      <c r="B526">
        <v>185</v>
      </c>
      <c r="C526">
        <f t="shared" si="25"/>
        <v>213.47279399999999</v>
      </c>
      <c r="D526">
        <f t="shared" si="26"/>
        <v>-28.472793999999993</v>
      </c>
    </row>
    <row r="527" spans="1:4">
      <c r="A527">
        <v>526</v>
      </c>
      <c r="B527">
        <v>205</v>
      </c>
      <c r="C527">
        <f t="shared" si="25"/>
        <v>213.48199025439999</v>
      </c>
      <c r="D527">
        <f t="shared" si="26"/>
        <v>-8.4819902543999888</v>
      </c>
    </row>
    <row r="528" spans="1:4">
      <c r="A528">
        <v>527</v>
      </c>
      <c r="B528">
        <v>213</v>
      </c>
      <c r="C528">
        <f t="shared" si="25"/>
        <v>213.4907617776</v>
      </c>
      <c r="D528">
        <f t="shared" si="26"/>
        <v>-0.4907617775999995</v>
      </c>
    </row>
    <row r="529" spans="1:4">
      <c r="A529">
        <v>528</v>
      </c>
      <c r="B529">
        <v>201</v>
      </c>
      <c r="C529">
        <f t="shared" si="25"/>
        <v>213.4991085696</v>
      </c>
      <c r="D529">
        <f t="shared" si="26"/>
        <v>-12.499108569599997</v>
      </c>
    </row>
    <row r="530" spans="1:4">
      <c r="A530">
        <v>529</v>
      </c>
      <c r="B530">
        <v>172</v>
      </c>
      <c r="C530">
        <f t="shared" si="25"/>
        <v>213.50703063039998</v>
      </c>
      <c r="D530">
        <f t="shared" si="26"/>
        <v>-41.507030630399981</v>
      </c>
    </row>
    <row r="531" spans="1:4">
      <c r="A531">
        <v>530</v>
      </c>
      <c r="B531">
        <v>163</v>
      </c>
      <c r="C531">
        <f t="shared" si="25"/>
        <v>213.51452796000001</v>
      </c>
      <c r="D531">
        <f t="shared" si="26"/>
        <v>-50.514527960000009</v>
      </c>
    </row>
    <row r="532" spans="1:4">
      <c r="A532">
        <v>531</v>
      </c>
      <c r="B532">
        <v>165</v>
      </c>
      <c r="C532">
        <f t="shared" si="25"/>
        <v>213.5216005584</v>
      </c>
      <c r="D532">
        <f t="shared" si="26"/>
        <v>-48.521600558399996</v>
      </c>
    </row>
    <row r="533" spans="1:4">
      <c r="A533">
        <v>532</v>
      </c>
      <c r="B533">
        <v>164</v>
      </c>
      <c r="C533">
        <f t="shared" si="25"/>
        <v>213.5282484256</v>
      </c>
      <c r="D533">
        <f t="shared" si="26"/>
        <v>-49.528248425599998</v>
      </c>
    </row>
    <row r="534" spans="1:4">
      <c r="A534">
        <v>533</v>
      </c>
      <c r="B534">
        <v>170</v>
      </c>
      <c r="C534">
        <f t="shared" si="25"/>
        <v>213.53447156159999</v>
      </c>
      <c r="D534">
        <f t="shared" si="26"/>
        <v>-43.534471561599986</v>
      </c>
    </row>
    <row r="535" spans="1:4">
      <c r="A535">
        <v>534</v>
      </c>
      <c r="B535">
        <v>204</v>
      </c>
      <c r="C535">
        <f t="shared" si="25"/>
        <v>213.54026996639999</v>
      </c>
      <c r="D535">
        <f t="shared" si="26"/>
        <v>-9.5402699663999897</v>
      </c>
    </row>
    <row r="536" spans="1:4">
      <c r="A536">
        <v>535</v>
      </c>
      <c r="B536">
        <v>274</v>
      </c>
      <c r="C536">
        <f t="shared" si="25"/>
        <v>213.54564364000001</v>
      </c>
      <c r="D536">
        <f t="shared" si="26"/>
        <v>60.454356359999991</v>
      </c>
    </row>
    <row r="537" spans="1:4">
      <c r="A537">
        <v>536</v>
      </c>
      <c r="B537">
        <v>376</v>
      </c>
      <c r="C537">
        <f t="shared" si="25"/>
        <v>213.55059258240001</v>
      </c>
      <c r="D537">
        <f t="shared" si="26"/>
        <v>162.44940741759999</v>
      </c>
    </row>
    <row r="538" spans="1:4">
      <c r="A538">
        <v>537</v>
      </c>
      <c r="B538">
        <v>469</v>
      </c>
      <c r="C538">
        <f t="shared" si="25"/>
        <v>213.55511679360001</v>
      </c>
      <c r="D538">
        <f t="shared" si="26"/>
        <v>255.44488320639999</v>
      </c>
    </row>
    <row r="539" spans="1:4">
      <c r="A539">
        <v>538</v>
      </c>
      <c r="B539">
        <v>441</v>
      </c>
      <c r="C539">
        <f t="shared" si="25"/>
        <v>213.55921627359999</v>
      </c>
      <c r="D539">
        <f t="shared" si="26"/>
        <v>227.44078372640001</v>
      </c>
    </row>
    <row r="540" spans="1:4">
      <c r="A540">
        <v>539</v>
      </c>
      <c r="B540">
        <v>316</v>
      </c>
      <c r="C540">
        <f t="shared" si="25"/>
        <v>213.56289102240001</v>
      </c>
      <c r="D540">
        <f t="shared" si="26"/>
        <v>102.43710897759999</v>
      </c>
    </row>
    <row r="541" spans="1:4">
      <c r="A541">
        <v>540</v>
      </c>
      <c r="B541">
        <v>254</v>
      </c>
      <c r="C541">
        <f t="shared" si="25"/>
        <v>213.56614103999999</v>
      </c>
      <c r="D541">
        <f t="shared" si="26"/>
        <v>40.433858960000009</v>
      </c>
    </row>
    <row r="542" spans="1:4">
      <c r="A542">
        <v>541</v>
      </c>
      <c r="B542">
        <v>277</v>
      </c>
      <c r="C542">
        <f t="shared" si="25"/>
        <v>213.56896632640002</v>
      </c>
      <c r="D542">
        <f t="shared" si="26"/>
        <v>63.431033673599984</v>
      </c>
    </row>
    <row r="543" spans="1:4">
      <c r="A543">
        <v>542</v>
      </c>
      <c r="B543">
        <v>300</v>
      </c>
      <c r="C543">
        <f t="shared" si="25"/>
        <v>213.5713668816</v>
      </c>
      <c r="D543">
        <f t="shared" si="26"/>
        <v>86.428633118400001</v>
      </c>
    </row>
    <row r="544" spans="1:4">
      <c r="A544">
        <v>543</v>
      </c>
      <c r="B544">
        <v>262</v>
      </c>
      <c r="C544">
        <f t="shared" si="25"/>
        <v>213.5733427056</v>
      </c>
      <c r="D544">
        <f t="shared" si="26"/>
        <v>48.426657294400002</v>
      </c>
    </row>
    <row r="545" spans="1:4">
      <c r="A545">
        <v>544</v>
      </c>
      <c r="B545">
        <v>196</v>
      </c>
      <c r="C545">
        <f t="shared" si="25"/>
        <v>213.57489379840001</v>
      </c>
      <c r="D545">
        <f t="shared" si="26"/>
        <v>-17.574893798400012</v>
      </c>
    </row>
    <row r="546" spans="1:4">
      <c r="A546">
        <v>545</v>
      </c>
      <c r="B546">
        <v>171</v>
      </c>
      <c r="C546">
        <f t="shared" si="25"/>
        <v>213.57602016000001</v>
      </c>
      <c r="D546">
        <f t="shared" si="26"/>
        <v>-42.576020160000013</v>
      </c>
    </row>
    <row r="547" spans="1:4">
      <c r="A547">
        <v>546</v>
      </c>
      <c r="B547">
        <v>163</v>
      </c>
      <c r="C547">
        <f t="shared" si="25"/>
        <v>213.5767217904</v>
      </c>
      <c r="D547">
        <f t="shared" si="26"/>
        <v>-50.576721790400001</v>
      </c>
    </row>
    <row r="548" spans="1:4">
      <c r="A548">
        <v>547</v>
      </c>
      <c r="B548">
        <v>151</v>
      </c>
      <c r="C548">
        <f t="shared" si="25"/>
        <v>213.5769986896</v>
      </c>
      <c r="D548">
        <f t="shared" si="26"/>
        <v>-62.576998689600003</v>
      </c>
    </row>
    <row r="549" spans="1:4">
      <c r="A549">
        <v>548</v>
      </c>
      <c r="B549">
        <v>144</v>
      </c>
      <c r="C549">
        <f t="shared" si="25"/>
        <v>213.57685085759999</v>
      </c>
      <c r="D549">
        <f t="shared" si="26"/>
        <v>-69.576850857599993</v>
      </c>
    </row>
    <row r="550" spans="1:4">
      <c r="A550">
        <v>549</v>
      </c>
      <c r="B550">
        <v>134</v>
      </c>
      <c r="C550">
        <f t="shared" si="25"/>
        <v>213.5762782944</v>
      </c>
      <c r="D550">
        <f t="shared" si="26"/>
        <v>-79.576278294399998</v>
      </c>
    </row>
    <row r="551" spans="1:4">
      <c r="A551">
        <v>550</v>
      </c>
      <c r="B551">
        <v>149</v>
      </c>
      <c r="C551">
        <f t="shared" si="25"/>
        <v>213.57528100000002</v>
      </c>
      <c r="D551">
        <f t="shared" si="26"/>
        <v>-64.575281000000018</v>
      </c>
    </row>
    <row r="552" spans="1:4">
      <c r="A552">
        <v>551</v>
      </c>
      <c r="B552">
        <v>168</v>
      </c>
      <c r="C552">
        <f t="shared" si="25"/>
        <v>213.57385897440003</v>
      </c>
      <c r="D552">
        <f t="shared" si="26"/>
        <v>-45.573858974400025</v>
      </c>
    </row>
    <row r="553" spans="1:4">
      <c r="A553">
        <v>552</v>
      </c>
      <c r="B553">
        <v>164</v>
      </c>
      <c r="C553">
        <f t="shared" si="25"/>
        <v>213.57201221759999</v>
      </c>
      <c r="D553">
        <f t="shared" si="26"/>
        <v>-49.57201221759999</v>
      </c>
    </row>
    <row r="554" spans="1:4">
      <c r="A554">
        <v>553</v>
      </c>
      <c r="B554">
        <v>151</v>
      </c>
      <c r="C554">
        <f t="shared" si="25"/>
        <v>213.56974072960003</v>
      </c>
      <c r="D554">
        <f t="shared" si="26"/>
        <v>-62.569740729600028</v>
      </c>
    </row>
    <row r="555" spans="1:4">
      <c r="A555">
        <v>554</v>
      </c>
      <c r="B555">
        <v>139</v>
      </c>
      <c r="C555">
        <f t="shared" si="25"/>
        <v>213.5670445104</v>
      </c>
      <c r="D555">
        <f t="shared" si="26"/>
        <v>-74.567044510399995</v>
      </c>
    </row>
    <row r="556" spans="1:4">
      <c r="A556">
        <v>555</v>
      </c>
      <c r="B556">
        <v>141</v>
      </c>
      <c r="C556">
        <f t="shared" si="25"/>
        <v>213.56392355999998</v>
      </c>
      <c r="D556">
        <f t="shared" si="26"/>
        <v>-72.563923559999978</v>
      </c>
    </row>
    <row r="557" spans="1:4">
      <c r="A557">
        <v>556</v>
      </c>
      <c r="B557">
        <v>156</v>
      </c>
      <c r="C557">
        <f t="shared" si="25"/>
        <v>213.5603778784</v>
      </c>
      <c r="D557">
        <f t="shared" si="26"/>
        <v>-57.560377878400004</v>
      </c>
    </row>
    <row r="558" spans="1:4">
      <c r="A558">
        <v>557</v>
      </c>
      <c r="B558">
        <v>154</v>
      </c>
      <c r="C558">
        <f t="shared" si="25"/>
        <v>213.55640746559999</v>
      </c>
      <c r="D558">
        <f t="shared" si="26"/>
        <v>-59.556407465599989</v>
      </c>
    </row>
    <row r="559" spans="1:4">
      <c r="A559">
        <v>558</v>
      </c>
      <c r="B559">
        <v>140</v>
      </c>
      <c r="C559">
        <f t="shared" si="25"/>
        <v>213.55201232159999</v>
      </c>
      <c r="D559">
        <f t="shared" si="26"/>
        <v>-73.552012321599989</v>
      </c>
    </row>
    <row r="560" spans="1:4">
      <c r="A560">
        <v>559</v>
      </c>
      <c r="B560">
        <v>146</v>
      </c>
      <c r="C560">
        <f t="shared" si="25"/>
        <v>213.5471924464</v>
      </c>
      <c r="D560">
        <f t="shared" si="26"/>
        <v>-67.547192446400004</v>
      </c>
    </row>
    <row r="561" spans="1:4">
      <c r="A561">
        <v>560</v>
      </c>
      <c r="B561">
        <v>138</v>
      </c>
      <c r="C561">
        <f t="shared" si="25"/>
        <v>213.54194784000003</v>
      </c>
      <c r="D561">
        <f t="shared" si="26"/>
        <v>-75.541947840000034</v>
      </c>
    </row>
    <row r="562" spans="1:4">
      <c r="A562">
        <v>561</v>
      </c>
      <c r="B562">
        <v>138</v>
      </c>
      <c r="C562">
        <f t="shared" si="25"/>
        <v>213.53627850240002</v>
      </c>
      <c r="D562">
        <f t="shared" si="26"/>
        <v>-75.536278502400023</v>
      </c>
    </row>
    <row r="563" spans="1:4">
      <c r="A563">
        <v>562</v>
      </c>
      <c r="B563">
        <v>163</v>
      </c>
      <c r="C563">
        <f t="shared" si="25"/>
        <v>213.53018443360003</v>
      </c>
      <c r="D563">
        <f t="shared" si="26"/>
        <v>-50.530184433600027</v>
      </c>
    </row>
    <row r="564" spans="1:4">
      <c r="A564">
        <v>563</v>
      </c>
      <c r="B564">
        <v>163</v>
      </c>
      <c r="C564">
        <f t="shared" si="25"/>
        <v>213.52366563359999</v>
      </c>
      <c r="D564">
        <f t="shared" si="26"/>
        <v>-50.52366563359999</v>
      </c>
    </row>
    <row r="565" spans="1:4">
      <c r="A565">
        <v>564</v>
      </c>
      <c r="B565">
        <v>170</v>
      </c>
      <c r="C565">
        <f t="shared" si="25"/>
        <v>213.5167221024</v>
      </c>
      <c r="D565">
        <f t="shared" si="26"/>
        <v>-43.516722102399996</v>
      </c>
    </row>
    <row r="566" spans="1:4">
      <c r="A566">
        <v>565</v>
      </c>
      <c r="B566">
        <v>162</v>
      </c>
      <c r="C566">
        <f t="shared" si="25"/>
        <v>213.50935384000002</v>
      </c>
      <c r="D566">
        <f t="shared" si="26"/>
        <v>-51.509353840000017</v>
      </c>
    </row>
    <row r="567" spans="1:4">
      <c r="A567">
        <v>566</v>
      </c>
      <c r="B567">
        <v>163</v>
      </c>
      <c r="C567">
        <f t="shared" si="25"/>
        <v>213.50156084640003</v>
      </c>
      <c r="D567">
        <f t="shared" si="26"/>
        <v>-50.501560846400025</v>
      </c>
    </row>
    <row r="568" spans="1:4">
      <c r="A568">
        <v>567</v>
      </c>
      <c r="B568">
        <v>215</v>
      </c>
      <c r="C568">
        <f t="shared" si="25"/>
        <v>213.49334312159999</v>
      </c>
      <c r="D568">
        <f t="shared" si="26"/>
        <v>1.5066568784000083</v>
      </c>
    </row>
    <row r="569" spans="1:4">
      <c r="A569">
        <v>568</v>
      </c>
      <c r="B569">
        <v>329</v>
      </c>
      <c r="C569">
        <f t="shared" si="25"/>
        <v>213.48470066560003</v>
      </c>
      <c r="D569">
        <f t="shared" si="26"/>
        <v>115.51529933439997</v>
      </c>
    </row>
    <row r="570" spans="1:4">
      <c r="A570">
        <v>569</v>
      </c>
      <c r="B570">
        <v>581</v>
      </c>
      <c r="C570">
        <f t="shared" si="25"/>
        <v>213.47563347840003</v>
      </c>
      <c r="D570">
        <f t="shared" si="26"/>
        <v>367.52436652159997</v>
      </c>
    </row>
    <row r="571" spans="1:4">
      <c r="A571">
        <v>570</v>
      </c>
      <c r="B571">
        <v>924</v>
      </c>
      <c r="C571">
        <f t="shared" si="25"/>
        <v>213.46614156000001</v>
      </c>
      <c r="D571">
        <f t="shared" si="26"/>
        <v>710.53385844000002</v>
      </c>
    </row>
    <row r="572" spans="1:4">
      <c r="A572">
        <v>571</v>
      </c>
      <c r="B572">
        <v>1134</v>
      </c>
      <c r="C572">
        <f t="shared" si="25"/>
        <v>213.45622491040001</v>
      </c>
      <c r="D572">
        <f t="shared" si="26"/>
        <v>920.54377508959999</v>
      </c>
    </row>
    <row r="573" spans="1:4">
      <c r="A573">
        <v>572</v>
      </c>
      <c r="B573">
        <v>1000</v>
      </c>
      <c r="C573">
        <f t="shared" si="25"/>
        <v>213.4458835296</v>
      </c>
      <c r="D573">
        <f t="shared" si="26"/>
        <v>786.5541164704</v>
      </c>
    </row>
    <row r="574" spans="1:4">
      <c r="A574">
        <v>573</v>
      </c>
      <c r="B574">
        <v>746</v>
      </c>
      <c r="C574">
        <f t="shared" si="25"/>
        <v>213.4351174176</v>
      </c>
      <c r="D574">
        <f t="shared" si="26"/>
        <v>532.56488258240006</v>
      </c>
    </row>
    <row r="575" spans="1:4">
      <c r="A575">
        <v>574</v>
      </c>
      <c r="B575">
        <v>536</v>
      </c>
      <c r="C575">
        <f t="shared" si="25"/>
        <v>213.42392657440001</v>
      </c>
      <c r="D575">
        <f t="shared" si="26"/>
        <v>322.57607342559999</v>
      </c>
    </row>
    <row r="576" spans="1:4">
      <c r="A576">
        <v>575</v>
      </c>
      <c r="B576">
        <v>484</v>
      </c>
      <c r="C576">
        <f t="shared" si="25"/>
        <v>213.41231099999999</v>
      </c>
      <c r="D576">
        <f t="shared" si="26"/>
        <v>270.58768900000001</v>
      </c>
    </row>
    <row r="577" spans="1:4">
      <c r="A577">
        <v>576</v>
      </c>
      <c r="B577">
        <v>623</v>
      </c>
      <c r="C577">
        <f t="shared" si="25"/>
        <v>213.40027069440001</v>
      </c>
      <c r="D577">
        <f t="shared" si="26"/>
        <v>409.59972930560002</v>
      </c>
    </row>
    <row r="578" spans="1:4">
      <c r="A578">
        <v>577</v>
      </c>
      <c r="B578">
        <v>729</v>
      </c>
      <c r="C578">
        <f t="shared" ref="C578:C641" si="27" xml:space="preserve"> -0.0002123656*A578*A578 + 0.2323925*A578 + 150</f>
        <v>213.38780565760001</v>
      </c>
      <c r="D578">
        <f t="shared" ref="D578:D641" si="28">B578-C578</f>
        <v>515.61219434240002</v>
      </c>
    </row>
    <row r="579" spans="1:4">
      <c r="A579">
        <v>578</v>
      </c>
      <c r="B579">
        <v>643</v>
      </c>
      <c r="C579">
        <f t="shared" si="27"/>
        <v>213.3749158896</v>
      </c>
      <c r="D579">
        <f t="shared" si="28"/>
        <v>429.6250841104</v>
      </c>
    </row>
    <row r="580" spans="1:4">
      <c r="A580">
        <v>579</v>
      </c>
      <c r="B580">
        <v>459</v>
      </c>
      <c r="C580">
        <f t="shared" si="27"/>
        <v>213.36160139040001</v>
      </c>
      <c r="D580">
        <f t="shared" si="28"/>
        <v>245.63839860959999</v>
      </c>
    </row>
    <row r="581" spans="1:4">
      <c r="A581">
        <v>580</v>
      </c>
      <c r="B581">
        <v>362</v>
      </c>
      <c r="C581">
        <f t="shared" si="27"/>
        <v>213.34786216000003</v>
      </c>
      <c r="D581">
        <f t="shared" si="28"/>
        <v>148.65213783999997</v>
      </c>
    </row>
    <row r="582" spans="1:4">
      <c r="A582">
        <v>581</v>
      </c>
      <c r="B582">
        <v>334</v>
      </c>
      <c r="C582">
        <f t="shared" si="27"/>
        <v>213.33369819839999</v>
      </c>
      <c r="D582">
        <f t="shared" si="28"/>
        <v>120.66630180160001</v>
      </c>
    </row>
    <row r="583" spans="1:4">
      <c r="A583">
        <v>582</v>
      </c>
      <c r="B583">
        <v>303</v>
      </c>
      <c r="C583">
        <f t="shared" si="27"/>
        <v>213.31910950560001</v>
      </c>
      <c r="D583">
        <f t="shared" si="28"/>
        <v>89.680890494399989</v>
      </c>
    </row>
    <row r="584" spans="1:4">
      <c r="A584">
        <v>583</v>
      </c>
      <c r="B584">
        <v>278</v>
      </c>
      <c r="C584">
        <f t="shared" si="27"/>
        <v>213.30409608159999</v>
      </c>
      <c r="D584">
        <f t="shared" si="28"/>
        <v>64.695903918400006</v>
      </c>
    </row>
    <row r="585" spans="1:4">
      <c r="A585">
        <v>584</v>
      </c>
      <c r="B585">
        <v>294</v>
      </c>
      <c r="C585">
        <f t="shared" si="27"/>
        <v>213.28865792639999</v>
      </c>
      <c r="D585">
        <f t="shared" si="28"/>
        <v>80.711342073600008</v>
      </c>
    </row>
    <row r="586" spans="1:4">
      <c r="A586">
        <v>585</v>
      </c>
      <c r="B586">
        <v>282</v>
      </c>
      <c r="C586">
        <f t="shared" si="27"/>
        <v>213.27279504000001</v>
      </c>
      <c r="D586">
        <f t="shared" si="28"/>
        <v>68.727204959999995</v>
      </c>
    </row>
    <row r="587" spans="1:4">
      <c r="A587">
        <v>586</v>
      </c>
      <c r="B587">
        <v>284</v>
      </c>
      <c r="C587">
        <f t="shared" si="27"/>
        <v>213.25650742240001</v>
      </c>
      <c r="D587">
        <f t="shared" si="28"/>
        <v>70.743492577599994</v>
      </c>
    </row>
    <row r="588" spans="1:4">
      <c r="A588">
        <v>587</v>
      </c>
      <c r="B588">
        <v>256</v>
      </c>
      <c r="C588">
        <f t="shared" si="27"/>
        <v>213.23979507360002</v>
      </c>
      <c r="D588">
        <f t="shared" si="28"/>
        <v>42.760204926399979</v>
      </c>
    </row>
    <row r="589" spans="1:4">
      <c r="A589">
        <v>588</v>
      </c>
      <c r="B589">
        <v>233</v>
      </c>
      <c r="C589">
        <f t="shared" si="27"/>
        <v>213.22265799360002</v>
      </c>
      <c r="D589">
        <f t="shared" si="28"/>
        <v>19.777342006399977</v>
      </c>
    </row>
    <row r="590" spans="1:4">
      <c r="A590">
        <v>589</v>
      </c>
      <c r="B590">
        <v>220</v>
      </c>
      <c r="C590">
        <f t="shared" si="27"/>
        <v>213.20509618240001</v>
      </c>
      <c r="D590">
        <f t="shared" si="28"/>
        <v>6.7949038175999874</v>
      </c>
    </row>
    <row r="591" spans="1:4">
      <c r="A591">
        <v>590</v>
      </c>
      <c r="B591">
        <v>225</v>
      </c>
      <c r="C591">
        <f t="shared" si="27"/>
        <v>213.18710963999999</v>
      </c>
      <c r="D591">
        <f t="shared" si="28"/>
        <v>11.812890360000011</v>
      </c>
    </row>
    <row r="592" spans="1:4">
      <c r="A592">
        <v>591</v>
      </c>
      <c r="B592">
        <v>220</v>
      </c>
      <c r="C592">
        <f t="shared" si="27"/>
        <v>213.16869836640001</v>
      </c>
      <c r="D592">
        <f t="shared" si="28"/>
        <v>6.8313016335999919</v>
      </c>
    </row>
    <row r="593" spans="1:4">
      <c r="A593">
        <v>592</v>
      </c>
      <c r="B593">
        <v>225</v>
      </c>
      <c r="C593">
        <f t="shared" si="27"/>
        <v>213.14986236159999</v>
      </c>
      <c r="D593">
        <f t="shared" si="28"/>
        <v>11.850137638400014</v>
      </c>
    </row>
    <row r="594" spans="1:4">
      <c r="A594">
        <v>593</v>
      </c>
      <c r="B594">
        <v>253</v>
      </c>
      <c r="C594">
        <f t="shared" si="27"/>
        <v>213.13060162559998</v>
      </c>
      <c r="D594">
        <f t="shared" si="28"/>
        <v>39.869398374400021</v>
      </c>
    </row>
    <row r="595" spans="1:4">
      <c r="A595">
        <v>594</v>
      </c>
      <c r="B595">
        <v>300</v>
      </c>
      <c r="C595">
        <f t="shared" si="27"/>
        <v>213.11091615840002</v>
      </c>
      <c r="D595">
        <f t="shared" si="28"/>
        <v>86.889083841599984</v>
      </c>
    </row>
    <row r="596" spans="1:4">
      <c r="A596">
        <v>595</v>
      </c>
      <c r="B596">
        <v>326</v>
      </c>
      <c r="C596">
        <f t="shared" si="27"/>
        <v>213.09080596000001</v>
      </c>
      <c r="D596">
        <f t="shared" si="28"/>
        <v>112.90919403999999</v>
      </c>
    </row>
    <row r="597" spans="1:4">
      <c r="A597">
        <v>596</v>
      </c>
      <c r="B597">
        <v>313</v>
      </c>
      <c r="C597">
        <f t="shared" si="27"/>
        <v>213.07027103040002</v>
      </c>
      <c r="D597">
        <f t="shared" si="28"/>
        <v>99.929728969599978</v>
      </c>
    </row>
    <row r="598" spans="1:4">
      <c r="A598">
        <v>597</v>
      </c>
      <c r="B598">
        <v>293</v>
      </c>
      <c r="C598">
        <f t="shared" si="27"/>
        <v>213.04931136960002</v>
      </c>
      <c r="D598">
        <f t="shared" si="28"/>
        <v>79.950688630399981</v>
      </c>
    </row>
    <row r="599" spans="1:4">
      <c r="A599">
        <v>598</v>
      </c>
      <c r="B599">
        <v>320</v>
      </c>
      <c r="C599">
        <f t="shared" si="27"/>
        <v>213.02792697760003</v>
      </c>
      <c r="D599">
        <f t="shared" si="28"/>
        <v>106.97207302239997</v>
      </c>
    </row>
    <row r="600" spans="1:4">
      <c r="A600">
        <v>599</v>
      </c>
      <c r="B600">
        <v>497</v>
      </c>
      <c r="C600">
        <f t="shared" si="27"/>
        <v>213.00611785439997</v>
      </c>
      <c r="D600">
        <f t="shared" si="28"/>
        <v>283.99388214560003</v>
      </c>
    </row>
    <row r="601" spans="1:4">
      <c r="A601">
        <v>600</v>
      </c>
      <c r="B601">
        <v>681</v>
      </c>
      <c r="C601">
        <f t="shared" si="27"/>
        <v>212.98388399999999</v>
      </c>
      <c r="D601">
        <f t="shared" si="28"/>
        <v>468.01611600000001</v>
      </c>
    </row>
    <row r="602" spans="1:4">
      <c r="A602">
        <v>601</v>
      </c>
      <c r="B602">
        <v>807</v>
      </c>
      <c r="C602">
        <f t="shared" si="27"/>
        <v>212.96122541439999</v>
      </c>
      <c r="D602">
        <f t="shared" si="28"/>
        <v>594.03877458559998</v>
      </c>
    </row>
    <row r="603" spans="1:4">
      <c r="A603">
        <v>602</v>
      </c>
      <c r="B603">
        <v>781</v>
      </c>
      <c r="C603">
        <f t="shared" si="27"/>
        <v>212.93814209760001</v>
      </c>
      <c r="D603">
        <f t="shared" si="28"/>
        <v>568.06185790239999</v>
      </c>
    </row>
    <row r="604" spans="1:4">
      <c r="A604">
        <v>603</v>
      </c>
      <c r="B604">
        <v>676</v>
      </c>
      <c r="C604">
        <f t="shared" si="27"/>
        <v>212.91463404960001</v>
      </c>
      <c r="D604">
        <f t="shared" si="28"/>
        <v>463.08536595039999</v>
      </c>
    </row>
    <row r="605" spans="1:4">
      <c r="A605">
        <v>604</v>
      </c>
      <c r="B605">
        <v>563</v>
      </c>
      <c r="C605">
        <f t="shared" si="27"/>
        <v>212.89070127040003</v>
      </c>
      <c r="D605">
        <f t="shared" si="28"/>
        <v>350.10929872959997</v>
      </c>
    </row>
    <row r="606" spans="1:4">
      <c r="A606">
        <v>605</v>
      </c>
      <c r="B606">
        <v>472</v>
      </c>
      <c r="C606">
        <f t="shared" si="27"/>
        <v>212.86634376000001</v>
      </c>
      <c r="D606">
        <f t="shared" si="28"/>
        <v>259.13365623999999</v>
      </c>
    </row>
    <row r="607" spans="1:4">
      <c r="A607">
        <v>606</v>
      </c>
      <c r="B607">
        <v>415</v>
      </c>
      <c r="C607">
        <f t="shared" si="27"/>
        <v>212.8415615184</v>
      </c>
      <c r="D607">
        <f t="shared" si="28"/>
        <v>202.1584384816</v>
      </c>
    </row>
    <row r="608" spans="1:4">
      <c r="A608">
        <v>607</v>
      </c>
      <c r="B608">
        <v>402</v>
      </c>
      <c r="C608">
        <f t="shared" si="27"/>
        <v>212.81635454560001</v>
      </c>
      <c r="D608">
        <f t="shared" si="28"/>
        <v>189.18364545439999</v>
      </c>
    </row>
    <row r="609" spans="1:4">
      <c r="A609">
        <v>608</v>
      </c>
      <c r="B609">
        <v>424</v>
      </c>
      <c r="C609">
        <f t="shared" si="27"/>
        <v>212.79072284160003</v>
      </c>
      <c r="D609">
        <f t="shared" si="28"/>
        <v>211.20927715839997</v>
      </c>
    </row>
    <row r="610" spans="1:4">
      <c r="A610">
        <v>609</v>
      </c>
      <c r="B610">
        <v>412</v>
      </c>
      <c r="C610">
        <f t="shared" si="27"/>
        <v>212.76466640640001</v>
      </c>
      <c r="D610">
        <f t="shared" si="28"/>
        <v>199.23533359359999</v>
      </c>
    </row>
    <row r="611" spans="1:4">
      <c r="A611">
        <v>610</v>
      </c>
      <c r="B611">
        <v>380</v>
      </c>
      <c r="C611">
        <f t="shared" si="27"/>
        <v>212.73818524000001</v>
      </c>
      <c r="D611">
        <f t="shared" si="28"/>
        <v>167.26181475999999</v>
      </c>
    </row>
    <row r="612" spans="1:4">
      <c r="A612">
        <v>611</v>
      </c>
      <c r="B612">
        <v>335</v>
      </c>
      <c r="C612">
        <f t="shared" si="27"/>
        <v>212.71127934240002</v>
      </c>
      <c r="D612">
        <f t="shared" si="28"/>
        <v>122.28872065759998</v>
      </c>
    </row>
    <row r="613" spans="1:4">
      <c r="A613">
        <v>612</v>
      </c>
      <c r="B613">
        <v>314</v>
      </c>
      <c r="C613">
        <f t="shared" si="27"/>
        <v>212.68394871359999</v>
      </c>
      <c r="D613">
        <f t="shared" si="28"/>
        <v>101.31605128640001</v>
      </c>
    </row>
    <row r="614" spans="1:4">
      <c r="A614">
        <v>613</v>
      </c>
      <c r="B614">
        <v>338</v>
      </c>
      <c r="C614">
        <f t="shared" si="27"/>
        <v>212.6561933536</v>
      </c>
      <c r="D614">
        <f t="shared" si="28"/>
        <v>125.3438066464</v>
      </c>
    </row>
    <row r="615" spans="1:4">
      <c r="A615">
        <v>614</v>
      </c>
      <c r="B615">
        <v>422</v>
      </c>
      <c r="C615">
        <f t="shared" si="27"/>
        <v>212.62801326240003</v>
      </c>
      <c r="D615">
        <f t="shared" si="28"/>
        <v>209.37198673759997</v>
      </c>
    </row>
    <row r="616" spans="1:4">
      <c r="A616">
        <v>615</v>
      </c>
      <c r="B616">
        <v>607</v>
      </c>
      <c r="C616">
        <f t="shared" si="27"/>
        <v>212.59940843999999</v>
      </c>
      <c r="D616">
        <f t="shared" si="28"/>
        <v>394.40059156000001</v>
      </c>
    </row>
    <row r="617" spans="1:4">
      <c r="A617">
        <v>616</v>
      </c>
      <c r="B617">
        <v>781</v>
      </c>
      <c r="C617">
        <f t="shared" si="27"/>
        <v>212.57037888640002</v>
      </c>
      <c r="D617">
        <f t="shared" si="28"/>
        <v>568.42962111359998</v>
      </c>
    </row>
    <row r="618" spans="1:4">
      <c r="A618">
        <v>617</v>
      </c>
      <c r="B618">
        <v>852</v>
      </c>
      <c r="C618">
        <f t="shared" si="27"/>
        <v>212.54092460160001</v>
      </c>
      <c r="D618">
        <f t="shared" si="28"/>
        <v>639.45907539840005</v>
      </c>
    </row>
    <row r="619" spans="1:4">
      <c r="A619">
        <v>618</v>
      </c>
      <c r="B619">
        <v>755</v>
      </c>
      <c r="C619">
        <f t="shared" si="27"/>
        <v>212.51104558560002</v>
      </c>
      <c r="D619">
        <f t="shared" si="28"/>
        <v>542.48895441440004</v>
      </c>
    </row>
    <row r="620" spans="1:4">
      <c r="A620">
        <v>619</v>
      </c>
      <c r="B620">
        <v>659</v>
      </c>
      <c r="C620">
        <f t="shared" si="27"/>
        <v>212.48074183839998</v>
      </c>
      <c r="D620">
        <f t="shared" si="28"/>
        <v>446.51925816160002</v>
      </c>
    </row>
    <row r="621" spans="1:4">
      <c r="A621">
        <v>620</v>
      </c>
      <c r="B621">
        <v>575</v>
      </c>
      <c r="C621">
        <f t="shared" si="27"/>
        <v>212.45001336000001</v>
      </c>
      <c r="D621">
        <f t="shared" si="28"/>
        <v>362.54998663999999</v>
      </c>
    </row>
    <row r="622" spans="1:4">
      <c r="A622">
        <v>621</v>
      </c>
      <c r="B622">
        <v>534</v>
      </c>
      <c r="C622">
        <f t="shared" si="27"/>
        <v>212.41886015040001</v>
      </c>
      <c r="D622">
        <f t="shared" si="28"/>
        <v>321.58113984959999</v>
      </c>
    </row>
    <row r="623" spans="1:4">
      <c r="A623">
        <v>622</v>
      </c>
      <c r="B623">
        <v>500</v>
      </c>
      <c r="C623">
        <f t="shared" si="27"/>
        <v>212.38728220960002</v>
      </c>
      <c r="D623">
        <f t="shared" si="28"/>
        <v>287.61271779039998</v>
      </c>
    </row>
    <row r="624" spans="1:4">
      <c r="A624">
        <v>623</v>
      </c>
      <c r="B624">
        <v>503</v>
      </c>
      <c r="C624">
        <f t="shared" si="27"/>
        <v>212.35527953760001</v>
      </c>
      <c r="D624">
        <f t="shared" si="28"/>
        <v>290.64472046239996</v>
      </c>
    </row>
    <row r="625" spans="1:4">
      <c r="A625">
        <v>624</v>
      </c>
      <c r="B625">
        <v>589</v>
      </c>
      <c r="C625">
        <f t="shared" si="27"/>
        <v>212.32285213440002</v>
      </c>
      <c r="D625">
        <f t="shared" si="28"/>
        <v>376.67714786559998</v>
      </c>
    </row>
    <row r="626" spans="1:4">
      <c r="A626">
        <v>625</v>
      </c>
      <c r="B626">
        <v>682</v>
      </c>
      <c r="C626">
        <f t="shared" si="27"/>
        <v>212.29000000000002</v>
      </c>
      <c r="D626">
        <f t="shared" si="28"/>
        <v>469.71</v>
      </c>
    </row>
    <row r="627" spans="1:4">
      <c r="A627">
        <v>626</v>
      </c>
      <c r="B627">
        <v>668</v>
      </c>
      <c r="C627">
        <f t="shared" si="27"/>
        <v>212.25672313440003</v>
      </c>
      <c r="D627">
        <f t="shared" si="28"/>
        <v>455.74327686559997</v>
      </c>
    </row>
    <row r="628" spans="1:4">
      <c r="A628">
        <v>627</v>
      </c>
      <c r="B628">
        <v>580</v>
      </c>
      <c r="C628">
        <f t="shared" si="27"/>
        <v>212.2230215376</v>
      </c>
      <c r="D628">
        <f t="shared" si="28"/>
        <v>367.7769784624</v>
      </c>
    </row>
    <row r="629" spans="1:4">
      <c r="A629">
        <v>628</v>
      </c>
      <c r="B629">
        <v>585</v>
      </c>
      <c r="C629">
        <f t="shared" si="27"/>
        <v>212.18889520959999</v>
      </c>
      <c r="D629">
        <f t="shared" si="28"/>
        <v>372.81110479040001</v>
      </c>
    </row>
    <row r="630" spans="1:4">
      <c r="A630">
        <v>629</v>
      </c>
      <c r="B630">
        <v>568</v>
      </c>
      <c r="C630">
        <f t="shared" si="27"/>
        <v>212.15434415039999</v>
      </c>
      <c r="D630">
        <f t="shared" si="28"/>
        <v>355.84565584960001</v>
      </c>
    </row>
    <row r="631" spans="1:4">
      <c r="A631">
        <v>630</v>
      </c>
      <c r="B631">
        <v>525</v>
      </c>
      <c r="C631">
        <f t="shared" si="27"/>
        <v>212.11936836000001</v>
      </c>
      <c r="D631">
        <f t="shared" si="28"/>
        <v>312.88063163999999</v>
      </c>
    </row>
    <row r="632" spans="1:4">
      <c r="A632">
        <v>631</v>
      </c>
      <c r="B632">
        <v>444</v>
      </c>
      <c r="C632">
        <f t="shared" si="27"/>
        <v>212.08396783839999</v>
      </c>
      <c r="D632">
        <f t="shared" si="28"/>
        <v>231.91603216160001</v>
      </c>
    </row>
    <row r="633" spans="1:4">
      <c r="A633">
        <v>632</v>
      </c>
      <c r="B633">
        <v>366</v>
      </c>
      <c r="C633">
        <f t="shared" si="27"/>
        <v>212.04814258560003</v>
      </c>
      <c r="D633">
        <f t="shared" si="28"/>
        <v>153.95185741439997</v>
      </c>
    </row>
    <row r="634" spans="1:4">
      <c r="A634">
        <v>633</v>
      </c>
      <c r="B634">
        <v>351</v>
      </c>
      <c r="C634">
        <f t="shared" si="27"/>
        <v>212.01189260160001</v>
      </c>
      <c r="D634">
        <f t="shared" si="28"/>
        <v>138.98810739839999</v>
      </c>
    </row>
    <row r="635" spans="1:4">
      <c r="A635">
        <v>634</v>
      </c>
      <c r="B635">
        <v>359</v>
      </c>
      <c r="C635">
        <f t="shared" si="27"/>
        <v>211.9752178864</v>
      </c>
      <c r="D635">
        <f t="shared" si="28"/>
        <v>147.0247821136</v>
      </c>
    </row>
    <row r="636" spans="1:4">
      <c r="A636">
        <v>635</v>
      </c>
      <c r="B636">
        <v>346</v>
      </c>
      <c r="C636">
        <f t="shared" si="27"/>
        <v>211.93811844000001</v>
      </c>
      <c r="D636">
        <f t="shared" si="28"/>
        <v>134.06188155999999</v>
      </c>
    </row>
    <row r="637" spans="1:4">
      <c r="A637">
        <v>636</v>
      </c>
      <c r="B637">
        <v>341</v>
      </c>
      <c r="C637">
        <f t="shared" si="27"/>
        <v>211.90059426239998</v>
      </c>
      <c r="D637">
        <f t="shared" si="28"/>
        <v>129.09940573760002</v>
      </c>
    </row>
    <row r="638" spans="1:4">
      <c r="A638">
        <v>637</v>
      </c>
      <c r="B638">
        <v>369</v>
      </c>
      <c r="C638">
        <f t="shared" si="27"/>
        <v>211.86264535359999</v>
      </c>
      <c r="D638">
        <f t="shared" si="28"/>
        <v>157.13735464640001</v>
      </c>
    </row>
    <row r="639" spans="1:4">
      <c r="A639">
        <v>638</v>
      </c>
      <c r="B639">
        <v>494</v>
      </c>
      <c r="C639">
        <f t="shared" si="27"/>
        <v>211.82427171360001</v>
      </c>
      <c r="D639">
        <f t="shared" si="28"/>
        <v>282.17572828639999</v>
      </c>
    </row>
    <row r="640" spans="1:4">
      <c r="A640">
        <v>639</v>
      </c>
      <c r="B640">
        <v>733</v>
      </c>
      <c r="C640">
        <f t="shared" si="27"/>
        <v>211.7854733424</v>
      </c>
      <c r="D640">
        <f t="shared" si="28"/>
        <v>521.2145266576</v>
      </c>
    </row>
    <row r="641" spans="1:7">
      <c r="A641">
        <v>640</v>
      </c>
      <c r="B641">
        <v>1150</v>
      </c>
      <c r="C641">
        <f t="shared" si="27"/>
        <v>211.74625023999999</v>
      </c>
      <c r="D641">
        <f t="shared" si="28"/>
        <v>938.25374976000001</v>
      </c>
    </row>
    <row r="642" spans="1:7" ht="17.25">
      <c r="A642">
        <v>641</v>
      </c>
      <c r="B642">
        <v>1591</v>
      </c>
      <c r="C642">
        <f t="shared" ref="C642:C705" si="29" xml:space="preserve"> -0.0002123656*A642*A642 + 0.2323925*A642 + 150</f>
        <v>211.70660240640001</v>
      </c>
      <c r="D642">
        <f t="shared" ref="D642:D705" si="30">B642-C642</f>
        <v>1379.2933975936</v>
      </c>
      <c r="F642">
        <v>641.5</v>
      </c>
      <c r="G642" t="s">
        <v>23</v>
      </c>
    </row>
    <row r="643" spans="1:7">
      <c r="A643">
        <v>642</v>
      </c>
      <c r="B643">
        <v>1657</v>
      </c>
      <c r="C643">
        <f t="shared" si="29"/>
        <v>211.66652984160001</v>
      </c>
      <c r="D643">
        <f t="shared" si="30"/>
        <v>1445.3334701583999</v>
      </c>
    </row>
    <row r="644" spans="1:7">
      <c r="A644">
        <v>643</v>
      </c>
      <c r="B644">
        <v>1189</v>
      </c>
      <c r="C644">
        <f t="shared" si="29"/>
        <v>211.62603254560003</v>
      </c>
      <c r="D644">
        <f t="shared" si="30"/>
        <v>977.37396745439992</v>
      </c>
    </row>
    <row r="645" spans="1:7">
      <c r="A645">
        <v>644</v>
      </c>
      <c r="B645">
        <v>666</v>
      </c>
      <c r="C645">
        <f t="shared" si="29"/>
        <v>211.58511051840003</v>
      </c>
      <c r="D645">
        <f t="shared" si="30"/>
        <v>454.41488948159997</v>
      </c>
    </row>
    <row r="646" spans="1:7">
      <c r="A646">
        <v>645</v>
      </c>
      <c r="B646">
        <v>426</v>
      </c>
      <c r="C646">
        <f t="shared" si="29"/>
        <v>211.54376375999999</v>
      </c>
      <c r="D646">
        <f t="shared" si="30"/>
        <v>214.45623624000001</v>
      </c>
    </row>
    <row r="647" spans="1:7">
      <c r="A647">
        <v>646</v>
      </c>
      <c r="B647">
        <v>489</v>
      </c>
      <c r="C647">
        <f t="shared" si="29"/>
        <v>211.5019922704</v>
      </c>
      <c r="D647">
        <f t="shared" si="30"/>
        <v>277.49800772959998</v>
      </c>
    </row>
    <row r="648" spans="1:7">
      <c r="A648">
        <v>647</v>
      </c>
      <c r="B648">
        <v>675</v>
      </c>
      <c r="C648">
        <f t="shared" si="29"/>
        <v>211.45979604959999</v>
      </c>
      <c r="D648">
        <f t="shared" si="30"/>
        <v>463.54020395040004</v>
      </c>
    </row>
    <row r="649" spans="1:7">
      <c r="A649">
        <v>648</v>
      </c>
      <c r="B649">
        <v>785</v>
      </c>
      <c r="C649">
        <f t="shared" si="29"/>
        <v>211.41717509760002</v>
      </c>
      <c r="D649">
        <f t="shared" si="30"/>
        <v>573.58282490240003</v>
      </c>
    </row>
    <row r="650" spans="1:7">
      <c r="A650">
        <v>649</v>
      </c>
      <c r="B650">
        <v>773</v>
      </c>
      <c r="C650">
        <f t="shared" si="29"/>
        <v>211.37412941439999</v>
      </c>
      <c r="D650">
        <f t="shared" si="30"/>
        <v>561.62587058560007</v>
      </c>
    </row>
    <row r="651" spans="1:7">
      <c r="A651">
        <v>650</v>
      </c>
      <c r="B651">
        <v>712</v>
      </c>
      <c r="C651">
        <f t="shared" si="29"/>
        <v>211.33065900000003</v>
      </c>
      <c r="D651">
        <f t="shared" si="30"/>
        <v>500.66934099999997</v>
      </c>
    </row>
    <row r="652" spans="1:7">
      <c r="A652">
        <v>651</v>
      </c>
      <c r="B652">
        <v>653</v>
      </c>
      <c r="C652">
        <f t="shared" si="29"/>
        <v>211.28676385440002</v>
      </c>
      <c r="D652">
        <f t="shared" si="30"/>
        <v>441.71323614559998</v>
      </c>
    </row>
    <row r="653" spans="1:7">
      <c r="A653">
        <v>652</v>
      </c>
      <c r="B653">
        <v>643</v>
      </c>
      <c r="C653">
        <f t="shared" si="29"/>
        <v>211.24244397760003</v>
      </c>
      <c r="D653">
        <f t="shared" si="30"/>
        <v>431.75755602239997</v>
      </c>
    </row>
    <row r="654" spans="1:7">
      <c r="A654">
        <v>653</v>
      </c>
      <c r="B654">
        <v>625</v>
      </c>
      <c r="C654">
        <f t="shared" si="29"/>
        <v>211.1976993696</v>
      </c>
      <c r="D654">
        <f t="shared" si="30"/>
        <v>413.8023006304</v>
      </c>
    </row>
    <row r="655" spans="1:7">
      <c r="A655">
        <v>654</v>
      </c>
      <c r="B655">
        <v>575</v>
      </c>
      <c r="C655">
        <f t="shared" si="29"/>
        <v>211.15253003039999</v>
      </c>
      <c r="D655">
        <f t="shared" si="30"/>
        <v>363.84746996960001</v>
      </c>
    </row>
    <row r="656" spans="1:7">
      <c r="A656">
        <v>655</v>
      </c>
      <c r="B656">
        <v>541</v>
      </c>
      <c r="C656">
        <f t="shared" si="29"/>
        <v>211.10693595999999</v>
      </c>
      <c r="D656">
        <f t="shared" si="30"/>
        <v>329.89306404000001</v>
      </c>
    </row>
    <row r="657" spans="1:7">
      <c r="A657">
        <v>656</v>
      </c>
      <c r="B657">
        <v>499</v>
      </c>
      <c r="C657">
        <f t="shared" si="29"/>
        <v>211.0609171584</v>
      </c>
      <c r="D657">
        <f t="shared" si="30"/>
        <v>287.9390828416</v>
      </c>
    </row>
    <row r="658" spans="1:7">
      <c r="A658">
        <v>657</v>
      </c>
      <c r="B658">
        <v>509</v>
      </c>
      <c r="C658">
        <f t="shared" si="29"/>
        <v>211.01447362559998</v>
      </c>
      <c r="D658">
        <f t="shared" si="30"/>
        <v>297.98552637440002</v>
      </c>
    </row>
    <row r="659" spans="1:7">
      <c r="A659">
        <v>658</v>
      </c>
      <c r="B659">
        <v>551</v>
      </c>
      <c r="C659">
        <f t="shared" si="29"/>
        <v>210.96760536160002</v>
      </c>
      <c r="D659">
        <f t="shared" si="30"/>
        <v>340.03239463839998</v>
      </c>
    </row>
    <row r="660" spans="1:7">
      <c r="A660">
        <v>659</v>
      </c>
      <c r="B660">
        <v>608</v>
      </c>
      <c r="C660">
        <f t="shared" si="29"/>
        <v>210.9203123664</v>
      </c>
      <c r="D660">
        <f t="shared" si="30"/>
        <v>397.07968763359997</v>
      </c>
    </row>
    <row r="661" spans="1:7">
      <c r="A661">
        <v>660</v>
      </c>
      <c r="B661">
        <v>669</v>
      </c>
      <c r="C661">
        <f t="shared" si="29"/>
        <v>210.87259464000002</v>
      </c>
      <c r="D661">
        <f t="shared" si="30"/>
        <v>458.12740536000001</v>
      </c>
    </row>
    <row r="662" spans="1:7">
      <c r="A662">
        <v>661</v>
      </c>
      <c r="B662">
        <v>696</v>
      </c>
      <c r="C662">
        <f t="shared" si="29"/>
        <v>210.82445218240002</v>
      </c>
      <c r="D662">
        <f t="shared" si="30"/>
        <v>485.17554781759998</v>
      </c>
    </row>
    <row r="663" spans="1:7">
      <c r="A663">
        <v>662</v>
      </c>
      <c r="B663">
        <v>735</v>
      </c>
      <c r="C663">
        <f t="shared" si="29"/>
        <v>210.77588499360002</v>
      </c>
      <c r="D663">
        <f t="shared" si="30"/>
        <v>524.22411500639998</v>
      </c>
    </row>
    <row r="664" spans="1:7">
      <c r="A664">
        <v>663</v>
      </c>
      <c r="B664">
        <v>795</v>
      </c>
      <c r="C664">
        <f t="shared" si="29"/>
        <v>210.72689307359997</v>
      </c>
      <c r="D664">
        <f t="shared" si="30"/>
        <v>584.27310692640003</v>
      </c>
    </row>
    <row r="665" spans="1:7">
      <c r="A665">
        <v>664</v>
      </c>
      <c r="B665">
        <v>962</v>
      </c>
      <c r="C665">
        <f t="shared" si="29"/>
        <v>210.67747642239999</v>
      </c>
      <c r="D665">
        <f t="shared" si="30"/>
        <v>751.32252357760001</v>
      </c>
    </row>
    <row r="666" spans="1:7">
      <c r="A666">
        <v>665</v>
      </c>
      <c r="B666">
        <v>1640</v>
      </c>
      <c r="C666">
        <f t="shared" si="29"/>
        <v>210.62763503999997</v>
      </c>
      <c r="D666">
        <f t="shared" si="30"/>
        <v>1429.3723649600001</v>
      </c>
    </row>
    <row r="667" spans="1:7">
      <c r="A667">
        <v>666</v>
      </c>
      <c r="B667">
        <v>3951</v>
      </c>
      <c r="C667">
        <f t="shared" si="29"/>
        <v>210.5773689264</v>
      </c>
      <c r="D667">
        <f t="shared" si="30"/>
        <v>3740.4226310735999</v>
      </c>
    </row>
    <row r="668" spans="1:7">
      <c r="A668">
        <v>667</v>
      </c>
      <c r="B668">
        <v>9480</v>
      </c>
      <c r="C668">
        <f t="shared" si="29"/>
        <v>210.52667808159998</v>
      </c>
      <c r="D668">
        <f t="shared" si="30"/>
        <v>9269.4733219184</v>
      </c>
    </row>
    <row r="669" spans="1:7" ht="17.25">
      <c r="A669">
        <v>668</v>
      </c>
      <c r="B669">
        <v>14160</v>
      </c>
      <c r="C669">
        <f t="shared" si="29"/>
        <v>210.47556250560001</v>
      </c>
      <c r="D669">
        <f t="shared" si="30"/>
        <v>13949.5244374944</v>
      </c>
      <c r="F669">
        <v>668.5</v>
      </c>
      <c r="G669" t="s">
        <v>24</v>
      </c>
    </row>
    <row r="670" spans="1:7">
      <c r="A670">
        <v>669</v>
      </c>
      <c r="B670">
        <v>13050</v>
      </c>
      <c r="C670">
        <f t="shared" si="29"/>
        <v>210.4240221984</v>
      </c>
      <c r="D670">
        <f t="shared" si="30"/>
        <v>12839.5759778016</v>
      </c>
    </row>
    <row r="671" spans="1:7">
      <c r="A671">
        <v>670</v>
      </c>
      <c r="B671">
        <v>7486</v>
      </c>
      <c r="C671">
        <f t="shared" si="29"/>
        <v>210.37205716</v>
      </c>
      <c r="D671">
        <f t="shared" si="30"/>
        <v>7275.6279428400003</v>
      </c>
    </row>
    <row r="672" spans="1:7">
      <c r="A672">
        <v>671</v>
      </c>
      <c r="B672">
        <v>3040</v>
      </c>
      <c r="C672">
        <f t="shared" si="29"/>
        <v>210.31966739040001</v>
      </c>
      <c r="D672">
        <f t="shared" si="30"/>
        <v>2829.6803326096001</v>
      </c>
    </row>
    <row r="673" spans="1:4">
      <c r="A673">
        <v>672</v>
      </c>
      <c r="B673">
        <v>1203</v>
      </c>
      <c r="C673">
        <f t="shared" si="29"/>
        <v>210.26685288959999</v>
      </c>
      <c r="D673">
        <f t="shared" si="30"/>
        <v>992.73314711040007</v>
      </c>
    </row>
    <row r="674" spans="1:4">
      <c r="A674">
        <v>673</v>
      </c>
      <c r="B674">
        <v>739</v>
      </c>
      <c r="C674">
        <f t="shared" si="29"/>
        <v>210.21361365759998</v>
      </c>
      <c r="D674">
        <f t="shared" si="30"/>
        <v>528.78638634239996</v>
      </c>
    </row>
    <row r="675" spans="1:4">
      <c r="A675">
        <v>674</v>
      </c>
      <c r="B675">
        <v>634</v>
      </c>
      <c r="C675">
        <f t="shared" si="29"/>
        <v>210.15994969439998</v>
      </c>
      <c r="D675">
        <f t="shared" si="30"/>
        <v>423.84005030560002</v>
      </c>
    </row>
    <row r="676" spans="1:4">
      <c r="A676">
        <v>675</v>
      </c>
      <c r="B676">
        <v>587</v>
      </c>
      <c r="C676">
        <f t="shared" si="29"/>
        <v>210.105861</v>
      </c>
      <c r="D676">
        <f t="shared" si="30"/>
        <v>376.894139</v>
      </c>
    </row>
    <row r="677" spans="1:4">
      <c r="A677">
        <v>676</v>
      </c>
      <c r="B677">
        <v>538</v>
      </c>
      <c r="C677">
        <f t="shared" si="29"/>
        <v>210.05134757439998</v>
      </c>
      <c r="D677">
        <f t="shared" si="30"/>
        <v>327.94865242560002</v>
      </c>
    </row>
    <row r="678" spans="1:4">
      <c r="A678">
        <v>677</v>
      </c>
      <c r="B678">
        <v>515</v>
      </c>
      <c r="C678">
        <f t="shared" si="29"/>
        <v>209.99640941759998</v>
      </c>
      <c r="D678">
        <f t="shared" si="30"/>
        <v>305.00359058240002</v>
      </c>
    </row>
    <row r="679" spans="1:4">
      <c r="A679">
        <v>678</v>
      </c>
      <c r="B679">
        <v>493</v>
      </c>
      <c r="C679">
        <f t="shared" si="29"/>
        <v>209.94104652960002</v>
      </c>
      <c r="D679">
        <f t="shared" si="30"/>
        <v>283.05895347039996</v>
      </c>
    </row>
    <row r="680" spans="1:4">
      <c r="A680">
        <v>679</v>
      </c>
      <c r="B680">
        <v>488</v>
      </c>
      <c r="C680">
        <f t="shared" si="29"/>
        <v>209.88525891040001</v>
      </c>
      <c r="D680">
        <f t="shared" si="30"/>
        <v>278.11474108959999</v>
      </c>
    </row>
    <row r="681" spans="1:4">
      <c r="A681">
        <v>680</v>
      </c>
      <c r="B681">
        <v>488</v>
      </c>
      <c r="C681">
        <f t="shared" si="29"/>
        <v>209.82904656000002</v>
      </c>
      <c r="D681">
        <f t="shared" si="30"/>
        <v>278.17095343999995</v>
      </c>
    </row>
    <row r="682" spans="1:4">
      <c r="A682">
        <v>681</v>
      </c>
      <c r="B682">
        <v>455</v>
      </c>
      <c r="C682">
        <f t="shared" si="29"/>
        <v>209.77240947839999</v>
      </c>
      <c r="D682">
        <f t="shared" si="30"/>
        <v>245.22759052160001</v>
      </c>
    </row>
    <row r="683" spans="1:4">
      <c r="A683">
        <v>682</v>
      </c>
      <c r="B683">
        <v>457</v>
      </c>
      <c r="C683">
        <f t="shared" si="29"/>
        <v>209.71534766560001</v>
      </c>
      <c r="D683">
        <f t="shared" si="30"/>
        <v>247.28465233439999</v>
      </c>
    </row>
    <row r="684" spans="1:4">
      <c r="A684">
        <v>683</v>
      </c>
      <c r="B684">
        <v>439</v>
      </c>
      <c r="C684">
        <f t="shared" si="29"/>
        <v>209.65786112160001</v>
      </c>
      <c r="D684">
        <f t="shared" si="30"/>
        <v>229.34213887839999</v>
      </c>
    </row>
    <row r="685" spans="1:4">
      <c r="A685">
        <v>684</v>
      </c>
      <c r="B685">
        <v>441</v>
      </c>
      <c r="C685">
        <f t="shared" si="29"/>
        <v>209.59994984639999</v>
      </c>
      <c r="D685">
        <f t="shared" si="30"/>
        <v>231.40005015360001</v>
      </c>
    </row>
    <row r="686" spans="1:4">
      <c r="A686">
        <v>685</v>
      </c>
      <c r="B686">
        <v>437</v>
      </c>
      <c r="C686">
        <f t="shared" si="29"/>
        <v>209.54161384000002</v>
      </c>
      <c r="D686">
        <f t="shared" si="30"/>
        <v>227.45838615999998</v>
      </c>
    </row>
    <row r="687" spans="1:4">
      <c r="A687">
        <v>686</v>
      </c>
      <c r="B687">
        <v>423</v>
      </c>
      <c r="C687">
        <f t="shared" si="29"/>
        <v>209.48285310239999</v>
      </c>
      <c r="D687">
        <f t="shared" si="30"/>
        <v>213.51714689760001</v>
      </c>
    </row>
    <row r="688" spans="1:4">
      <c r="A688">
        <v>687</v>
      </c>
      <c r="B688">
        <v>472</v>
      </c>
      <c r="C688">
        <f t="shared" si="29"/>
        <v>209.42366763360002</v>
      </c>
      <c r="D688">
        <f t="shared" si="30"/>
        <v>262.57633236639998</v>
      </c>
    </row>
    <row r="689" spans="1:4">
      <c r="A689">
        <v>688</v>
      </c>
      <c r="B689">
        <v>497</v>
      </c>
      <c r="C689">
        <f t="shared" si="29"/>
        <v>209.36405743360001</v>
      </c>
      <c r="D689">
        <f t="shared" si="30"/>
        <v>287.63594256639999</v>
      </c>
    </row>
    <row r="690" spans="1:4">
      <c r="A690">
        <v>689</v>
      </c>
      <c r="B690">
        <v>514</v>
      </c>
      <c r="C690">
        <f t="shared" si="29"/>
        <v>209.30402250240002</v>
      </c>
      <c r="D690">
        <f t="shared" si="30"/>
        <v>304.69597749759998</v>
      </c>
    </row>
    <row r="691" spans="1:4">
      <c r="A691">
        <v>690</v>
      </c>
      <c r="B691">
        <v>518</v>
      </c>
      <c r="C691">
        <f t="shared" si="29"/>
        <v>209.24356284000004</v>
      </c>
      <c r="D691">
        <f t="shared" si="30"/>
        <v>308.75643715999996</v>
      </c>
    </row>
    <row r="692" spans="1:4">
      <c r="A692">
        <v>691</v>
      </c>
      <c r="B692">
        <v>499</v>
      </c>
      <c r="C692">
        <f t="shared" si="29"/>
        <v>209.18267844640002</v>
      </c>
      <c r="D692">
        <f t="shared" si="30"/>
        <v>289.81732155359998</v>
      </c>
    </row>
    <row r="693" spans="1:4">
      <c r="A693">
        <v>692</v>
      </c>
      <c r="B693">
        <v>490</v>
      </c>
      <c r="C693">
        <f t="shared" si="29"/>
        <v>209.12136932160001</v>
      </c>
      <c r="D693">
        <f t="shared" si="30"/>
        <v>280.87863067839999</v>
      </c>
    </row>
    <row r="694" spans="1:4">
      <c r="A694">
        <v>693</v>
      </c>
      <c r="B694">
        <v>470</v>
      </c>
      <c r="C694">
        <f t="shared" si="29"/>
        <v>209.05963546560002</v>
      </c>
      <c r="D694">
        <f t="shared" si="30"/>
        <v>260.94036453439998</v>
      </c>
    </row>
    <row r="695" spans="1:4">
      <c r="A695">
        <v>694</v>
      </c>
      <c r="B695">
        <v>462</v>
      </c>
      <c r="C695">
        <f t="shared" si="29"/>
        <v>208.99747687839999</v>
      </c>
      <c r="D695">
        <f t="shared" si="30"/>
        <v>253.00252312160001</v>
      </c>
    </row>
    <row r="696" spans="1:4">
      <c r="A696">
        <v>695</v>
      </c>
      <c r="B696">
        <v>413</v>
      </c>
      <c r="C696">
        <f t="shared" si="29"/>
        <v>208.93489356000003</v>
      </c>
      <c r="D696">
        <f t="shared" si="30"/>
        <v>204.06510643999997</v>
      </c>
    </row>
    <row r="697" spans="1:4">
      <c r="A697">
        <v>696</v>
      </c>
      <c r="B697">
        <v>413</v>
      </c>
      <c r="C697">
        <f t="shared" si="29"/>
        <v>208.87188551040001</v>
      </c>
      <c r="D697">
        <f t="shared" si="30"/>
        <v>204.12811448959999</v>
      </c>
    </row>
    <row r="698" spans="1:4">
      <c r="A698">
        <v>697</v>
      </c>
      <c r="B698">
        <v>401</v>
      </c>
      <c r="C698">
        <f t="shared" si="29"/>
        <v>208.80845272960002</v>
      </c>
      <c r="D698">
        <f t="shared" si="30"/>
        <v>192.19154727039998</v>
      </c>
    </row>
    <row r="699" spans="1:4">
      <c r="A699">
        <v>698</v>
      </c>
      <c r="B699">
        <v>381</v>
      </c>
      <c r="C699">
        <f t="shared" si="29"/>
        <v>208.74459521760002</v>
      </c>
      <c r="D699">
        <f t="shared" si="30"/>
        <v>172.25540478239998</v>
      </c>
    </row>
    <row r="700" spans="1:4">
      <c r="A700">
        <v>699</v>
      </c>
      <c r="B700">
        <v>365</v>
      </c>
      <c r="C700">
        <f t="shared" si="29"/>
        <v>208.68031297440001</v>
      </c>
      <c r="D700">
        <f t="shared" si="30"/>
        <v>156.31968702559999</v>
      </c>
    </row>
    <row r="701" spans="1:4">
      <c r="A701">
        <v>700</v>
      </c>
      <c r="B701">
        <v>367</v>
      </c>
      <c r="C701">
        <f t="shared" si="29"/>
        <v>208.61560599999999</v>
      </c>
      <c r="D701">
        <f t="shared" si="30"/>
        <v>158.38439400000001</v>
      </c>
    </row>
    <row r="702" spans="1:4">
      <c r="A702">
        <v>701</v>
      </c>
      <c r="B702">
        <v>385</v>
      </c>
      <c r="C702">
        <f t="shared" si="29"/>
        <v>208.5504742944</v>
      </c>
      <c r="D702">
        <f t="shared" si="30"/>
        <v>176.4495257056</v>
      </c>
    </row>
    <row r="703" spans="1:4">
      <c r="A703">
        <v>702</v>
      </c>
      <c r="B703">
        <v>390</v>
      </c>
      <c r="C703">
        <f t="shared" si="29"/>
        <v>208.48491785760001</v>
      </c>
      <c r="D703">
        <f t="shared" si="30"/>
        <v>181.51508214239999</v>
      </c>
    </row>
    <row r="704" spans="1:4">
      <c r="A704">
        <v>703</v>
      </c>
      <c r="B704">
        <v>381</v>
      </c>
      <c r="C704">
        <f t="shared" si="29"/>
        <v>208.4189366896</v>
      </c>
      <c r="D704">
        <f t="shared" si="30"/>
        <v>172.5810633104</v>
      </c>
    </row>
    <row r="705" spans="1:7">
      <c r="A705">
        <v>704</v>
      </c>
      <c r="B705">
        <v>365</v>
      </c>
      <c r="C705">
        <f t="shared" si="29"/>
        <v>208.35253079040001</v>
      </c>
      <c r="D705">
        <f t="shared" si="30"/>
        <v>156.64746920959999</v>
      </c>
    </row>
    <row r="706" spans="1:7">
      <c r="A706">
        <v>705</v>
      </c>
      <c r="B706">
        <v>377</v>
      </c>
      <c r="C706">
        <f t="shared" ref="C706:C769" si="31" xml:space="preserve"> -0.0002123656*A706*A706 + 0.2323925*A706 + 150</f>
        <v>208.28570016000003</v>
      </c>
      <c r="D706">
        <f t="shared" ref="D706:D769" si="32">B706-C706</f>
        <v>168.71429983999997</v>
      </c>
    </row>
    <row r="707" spans="1:7">
      <c r="A707">
        <v>706</v>
      </c>
      <c r="B707">
        <v>415</v>
      </c>
      <c r="C707">
        <f t="shared" si="31"/>
        <v>208.21844479840001</v>
      </c>
      <c r="D707">
        <f t="shared" si="32"/>
        <v>206.78155520159999</v>
      </c>
    </row>
    <row r="708" spans="1:7">
      <c r="A708">
        <v>707</v>
      </c>
      <c r="B708">
        <v>416</v>
      </c>
      <c r="C708">
        <f t="shared" si="31"/>
        <v>208.15076470560001</v>
      </c>
      <c r="D708">
        <f t="shared" si="32"/>
        <v>207.84923529439999</v>
      </c>
    </row>
    <row r="709" spans="1:7">
      <c r="A709">
        <v>708</v>
      </c>
      <c r="B709">
        <v>384</v>
      </c>
      <c r="C709">
        <f t="shared" si="31"/>
        <v>208.08265988160002</v>
      </c>
      <c r="D709">
        <f t="shared" si="32"/>
        <v>175.91734011839998</v>
      </c>
    </row>
    <row r="710" spans="1:7">
      <c r="A710">
        <v>709</v>
      </c>
      <c r="B710">
        <v>366</v>
      </c>
      <c r="C710">
        <f t="shared" si="31"/>
        <v>208.01413032639999</v>
      </c>
      <c r="D710">
        <f t="shared" si="32"/>
        <v>157.98586967360001</v>
      </c>
    </row>
    <row r="711" spans="1:7">
      <c r="A711">
        <v>710</v>
      </c>
      <c r="B711">
        <v>371</v>
      </c>
      <c r="C711">
        <f t="shared" si="31"/>
        <v>207.94517603999998</v>
      </c>
      <c r="D711">
        <f t="shared" si="32"/>
        <v>163.05482396000002</v>
      </c>
    </row>
    <row r="712" spans="1:7">
      <c r="A712">
        <v>711</v>
      </c>
      <c r="B712">
        <v>352</v>
      </c>
      <c r="C712">
        <f t="shared" si="31"/>
        <v>207.87579702240001</v>
      </c>
      <c r="D712">
        <f t="shared" si="32"/>
        <v>144.12420297759999</v>
      </c>
    </row>
    <row r="713" spans="1:7">
      <c r="A713">
        <v>712</v>
      </c>
      <c r="B713">
        <v>346</v>
      </c>
      <c r="C713">
        <f t="shared" si="31"/>
        <v>207.8059932736</v>
      </c>
      <c r="D713">
        <f t="shared" si="32"/>
        <v>138.1940067264</v>
      </c>
    </row>
    <row r="714" spans="1:7">
      <c r="A714">
        <v>713</v>
      </c>
      <c r="B714">
        <v>326</v>
      </c>
      <c r="C714">
        <f t="shared" si="31"/>
        <v>207.73576479360003</v>
      </c>
      <c r="D714">
        <f t="shared" si="32"/>
        <v>118.26423520639997</v>
      </c>
    </row>
    <row r="715" spans="1:7">
      <c r="A715">
        <v>714</v>
      </c>
      <c r="B715">
        <v>349</v>
      </c>
      <c r="C715">
        <f t="shared" si="31"/>
        <v>207.66511158240002</v>
      </c>
      <c r="D715">
        <f t="shared" si="32"/>
        <v>141.33488841759998</v>
      </c>
    </row>
    <row r="716" spans="1:7">
      <c r="A716">
        <v>715</v>
      </c>
      <c r="B716">
        <v>408</v>
      </c>
      <c r="C716">
        <f t="shared" si="31"/>
        <v>207.59403364000002</v>
      </c>
      <c r="D716">
        <f t="shared" si="32"/>
        <v>200.40596635999998</v>
      </c>
    </row>
    <row r="717" spans="1:7">
      <c r="A717">
        <v>716</v>
      </c>
      <c r="B717">
        <v>563</v>
      </c>
      <c r="C717">
        <f t="shared" si="31"/>
        <v>207.52253096640001</v>
      </c>
      <c r="D717">
        <f t="shared" si="32"/>
        <v>355.47746903359996</v>
      </c>
    </row>
    <row r="718" spans="1:7">
      <c r="A718">
        <v>717</v>
      </c>
      <c r="B718">
        <v>961</v>
      </c>
      <c r="C718">
        <f t="shared" si="31"/>
        <v>207.45060356160002</v>
      </c>
      <c r="D718">
        <f t="shared" si="32"/>
        <v>753.54939643839998</v>
      </c>
    </row>
    <row r="719" spans="1:7">
      <c r="A719">
        <v>718</v>
      </c>
      <c r="B719">
        <v>1893</v>
      </c>
      <c r="C719">
        <f t="shared" si="31"/>
        <v>207.37825142559998</v>
      </c>
      <c r="D719">
        <f t="shared" si="32"/>
        <v>1685.6217485744</v>
      </c>
    </row>
    <row r="720" spans="1:7" ht="17.25">
      <c r="A720">
        <v>719</v>
      </c>
      <c r="B720">
        <v>2667</v>
      </c>
      <c r="C720">
        <f t="shared" si="31"/>
        <v>207.30547455840002</v>
      </c>
      <c r="D720">
        <f t="shared" si="32"/>
        <v>2459.6945254416</v>
      </c>
      <c r="F720">
        <v>719.5</v>
      </c>
      <c r="G720" t="s">
        <v>25</v>
      </c>
    </row>
    <row r="721" spans="1:4">
      <c r="A721">
        <v>720</v>
      </c>
      <c r="B721">
        <v>2539</v>
      </c>
      <c r="C721">
        <f t="shared" si="31"/>
        <v>207.23227295999999</v>
      </c>
      <c r="D721">
        <f t="shared" si="32"/>
        <v>2331.76772704</v>
      </c>
    </row>
    <row r="722" spans="1:4">
      <c r="A722">
        <v>721</v>
      </c>
      <c r="B722">
        <v>1771</v>
      </c>
      <c r="C722">
        <f t="shared" si="31"/>
        <v>207.15864663040003</v>
      </c>
      <c r="D722">
        <f t="shared" si="32"/>
        <v>1563.8413533696</v>
      </c>
    </row>
    <row r="723" spans="1:4">
      <c r="A723">
        <v>722</v>
      </c>
      <c r="B723">
        <v>1122</v>
      </c>
      <c r="C723">
        <f t="shared" si="31"/>
        <v>207.0845955696</v>
      </c>
      <c r="D723">
        <f t="shared" si="32"/>
        <v>914.91540443040003</v>
      </c>
    </row>
    <row r="724" spans="1:4">
      <c r="A724">
        <v>723</v>
      </c>
      <c r="B724">
        <v>749</v>
      </c>
      <c r="C724">
        <f t="shared" si="31"/>
        <v>207.01011977760001</v>
      </c>
      <c r="D724">
        <f t="shared" si="32"/>
        <v>541.98988022239996</v>
      </c>
    </row>
    <row r="725" spans="1:4">
      <c r="A725">
        <v>724</v>
      </c>
      <c r="B725">
        <v>549</v>
      </c>
      <c r="C725">
        <f t="shared" si="31"/>
        <v>206.93521925440001</v>
      </c>
      <c r="D725">
        <f t="shared" si="32"/>
        <v>342.06478074559999</v>
      </c>
    </row>
    <row r="726" spans="1:4">
      <c r="A726">
        <v>725</v>
      </c>
      <c r="B726">
        <v>436</v>
      </c>
      <c r="C726">
        <f t="shared" si="31"/>
        <v>206.85989400000003</v>
      </c>
      <c r="D726">
        <f t="shared" si="32"/>
        <v>229.14010599999997</v>
      </c>
    </row>
    <row r="727" spans="1:4">
      <c r="A727">
        <v>726</v>
      </c>
      <c r="B727">
        <v>357</v>
      </c>
      <c r="C727">
        <f t="shared" si="31"/>
        <v>206.7841440144</v>
      </c>
      <c r="D727">
        <f t="shared" si="32"/>
        <v>150.2158559856</v>
      </c>
    </row>
    <row r="728" spans="1:4">
      <c r="A728">
        <v>727</v>
      </c>
      <c r="B728">
        <v>326</v>
      </c>
      <c r="C728">
        <f t="shared" si="31"/>
        <v>206.70796929760002</v>
      </c>
      <c r="D728">
        <f t="shared" si="32"/>
        <v>119.29203070239998</v>
      </c>
    </row>
    <row r="729" spans="1:4">
      <c r="A729">
        <v>728</v>
      </c>
      <c r="B729">
        <v>359</v>
      </c>
      <c r="C729">
        <f t="shared" si="31"/>
        <v>206.63136984959999</v>
      </c>
      <c r="D729">
        <f t="shared" si="32"/>
        <v>152.36863015040001</v>
      </c>
    </row>
    <row r="730" spans="1:4">
      <c r="A730">
        <v>729</v>
      </c>
      <c r="B730">
        <v>428</v>
      </c>
      <c r="C730">
        <f t="shared" si="31"/>
        <v>206.55434567039998</v>
      </c>
      <c r="D730">
        <f t="shared" si="32"/>
        <v>221.44565432960002</v>
      </c>
    </row>
    <row r="731" spans="1:4">
      <c r="A731">
        <v>730</v>
      </c>
      <c r="B731">
        <v>583</v>
      </c>
      <c r="C731">
        <f t="shared" si="31"/>
        <v>206.47689675999999</v>
      </c>
      <c r="D731">
        <f t="shared" si="32"/>
        <v>376.52310324000001</v>
      </c>
    </row>
    <row r="732" spans="1:4">
      <c r="A732">
        <v>731</v>
      </c>
      <c r="B732">
        <v>792</v>
      </c>
      <c r="C732">
        <f t="shared" si="31"/>
        <v>206.39902311840001</v>
      </c>
      <c r="D732">
        <f t="shared" si="32"/>
        <v>585.60097688159999</v>
      </c>
    </row>
    <row r="733" spans="1:4">
      <c r="A733">
        <v>732</v>
      </c>
      <c r="B733">
        <v>894</v>
      </c>
      <c r="C733">
        <f t="shared" si="31"/>
        <v>206.32072474559999</v>
      </c>
      <c r="D733">
        <f t="shared" si="32"/>
        <v>687.67927525439995</v>
      </c>
    </row>
    <row r="734" spans="1:4">
      <c r="A734">
        <v>733</v>
      </c>
      <c r="B734">
        <v>783</v>
      </c>
      <c r="C734">
        <f t="shared" si="31"/>
        <v>206.24200164160001</v>
      </c>
      <c r="D734">
        <f t="shared" si="32"/>
        <v>576.75799835839996</v>
      </c>
    </row>
    <row r="735" spans="1:4">
      <c r="A735">
        <v>734</v>
      </c>
      <c r="B735">
        <v>598</v>
      </c>
      <c r="C735">
        <f t="shared" si="31"/>
        <v>206.16285380639999</v>
      </c>
      <c r="D735">
        <f t="shared" si="32"/>
        <v>391.83714619360001</v>
      </c>
    </row>
    <row r="736" spans="1:4">
      <c r="A736">
        <v>735</v>
      </c>
      <c r="B736">
        <v>446</v>
      </c>
      <c r="C736">
        <f t="shared" si="31"/>
        <v>206.08328124000002</v>
      </c>
      <c r="D736">
        <f t="shared" si="32"/>
        <v>239.91671875999998</v>
      </c>
    </row>
    <row r="737" spans="1:4">
      <c r="A737">
        <v>736</v>
      </c>
      <c r="B737">
        <v>357</v>
      </c>
      <c r="C737">
        <f t="shared" si="31"/>
        <v>206.0032839424</v>
      </c>
      <c r="D737">
        <f t="shared" si="32"/>
        <v>150.9967160576</v>
      </c>
    </row>
    <row r="738" spans="1:4">
      <c r="A738">
        <v>737</v>
      </c>
      <c r="B738">
        <v>322</v>
      </c>
      <c r="C738">
        <f t="shared" si="31"/>
        <v>205.9228619136</v>
      </c>
      <c r="D738">
        <f t="shared" si="32"/>
        <v>116.0771380864</v>
      </c>
    </row>
    <row r="739" spans="1:4">
      <c r="A739">
        <v>738</v>
      </c>
      <c r="B739">
        <v>337</v>
      </c>
      <c r="C739">
        <f t="shared" si="31"/>
        <v>205.84201515359999</v>
      </c>
      <c r="D739">
        <f t="shared" si="32"/>
        <v>131.15798484640001</v>
      </c>
    </row>
    <row r="740" spans="1:4">
      <c r="A740">
        <v>739</v>
      </c>
      <c r="B740">
        <v>412</v>
      </c>
      <c r="C740">
        <f t="shared" si="31"/>
        <v>205.76074366239999</v>
      </c>
      <c r="D740">
        <f t="shared" si="32"/>
        <v>206.23925633760001</v>
      </c>
    </row>
    <row r="741" spans="1:4">
      <c r="A741">
        <v>740</v>
      </c>
      <c r="B741">
        <v>468</v>
      </c>
      <c r="C741">
        <f t="shared" si="31"/>
        <v>205.67904743999998</v>
      </c>
      <c r="D741">
        <f t="shared" si="32"/>
        <v>262.32095256000002</v>
      </c>
    </row>
    <row r="742" spans="1:4">
      <c r="A742">
        <v>741</v>
      </c>
      <c r="B742">
        <v>437</v>
      </c>
      <c r="C742">
        <f t="shared" si="31"/>
        <v>205.59692648640001</v>
      </c>
      <c r="D742">
        <f t="shared" si="32"/>
        <v>231.40307351359999</v>
      </c>
    </row>
    <row r="743" spans="1:4">
      <c r="A743">
        <v>742</v>
      </c>
      <c r="B743">
        <v>357</v>
      </c>
      <c r="C743">
        <f t="shared" si="31"/>
        <v>205.5143808016</v>
      </c>
      <c r="D743">
        <f t="shared" si="32"/>
        <v>151.4856191984</v>
      </c>
    </row>
    <row r="744" spans="1:4">
      <c r="A744">
        <v>743</v>
      </c>
      <c r="B744">
        <v>322</v>
      </c>
      <c r="C744">
        <f t="shared" si="31"/>
        <v>205.43141038560003</v>
      </c>
      <c r="D744">
        <f t="shared" si="32"/>
        <v>116.56858961439997</v>
      </c>
    </row>
    <row r="745" spans="1:4">
      <c r="A745">
        <v>744</v>
      </c>
      <c r="B745">
        <v>318</v>
      </c>
      <c r="C745">
        <f t="shared" si="31"/>
        <v>205.34801523840002</v>
      </c>
      <c r="D745">
        <f t="shared" si="32"/>
        <v>112.65198476159998</v>
      </c>
    </row>
    <row r="746" spans="1:4">
      <c r="A746">
        <v>745</v>
      </c>
      <c r="B746">
        <v>322</v>
      </c>
      <c r="C746">
        <f t="shared" si="31"/>
        <v>205.26419536000003</v>
      </c>
      <c r="D746">
        <f t="shared" si="32"/>
        <v>116.73580463999997</v>
      </c>
    </row>
    <row r="747" spans="1:4">
      <c r="A747">
        <v>746</v>
      </c>
      <c r="B747">
        <v>340</v>
      </c>
      <c r="C747">
        <f t="shared" si="31"/>
        <v>205.1799507504</v>
      </c>
      <c r="D747">
        <f t="shared" si="32"/>
        <v>134.8200492496</v>
      </c>
    </row>
    <row r="748" spans="1:4">
      <c r="A748">
        <v>747</v>
      </c>
      <c r="B748">
        <v>333</v>
      </c>
      <c r="C748">
        <f t="shared" si="31"/>
        <v>205.09528140960001</v>
      </c>
      <c r="D748">
        <f t="shared" si="32"/>
        <v>127.90471859039999</v>
      </c>
    </row>
    <row r="749" spans="1:4">
      <c r="A749">
        <v>748</v>
      </c>
      <c r="B749">
        <v>340</v>
      </c>
      <c r="C749">
        <f t="shared" si="31"/>
        <v>205.01018733759997</v>
      </c>
      <c r="D749">
        <f t="shared" si="32"/>
        <v>134.98981266240003</v>
      </c>
    </row>
    <row r="750" spans="1:4">
      <c r="A750">
        <v>749</v>
      </c>
      <c r="B750">
        <v>327</v>
      </c>
      <c r="C750">
        <f t="shared" si="31"/>
        <v>204.92466853440001</v>
      </c>
      <c r="D750">
        <f t="shared" si="32"/>
        <v>122.07533146559999</v>
      </c>
    </row>
    <row r="751" spans="1:4">
      <c r="A751">
        <v>750</v>
      </c>
      <c r="B751">
        <v>328</v>
      </c>
      <c r="C751">
        <f t="shared" si="31"/>
        <v>204.83872500000001</v>
      </c>
      <c r="D751">
        <f t="shared" si="32"/>
        <v>123.16127499999999</v>
      </c>
    </row>
    <row r="752" spans="1:4">
      <c r="A752">
        <v>751</v>
      </c>
      <c r="B752">
        <v>340</v>
      </c>
      <c r="C752">
        <f t="shared" si="31"/>
        <v>204.7523567344</v>
      </c>
      <c r="D752">
        <f t="shared" si="32"/>
        <v>135.2476432656</v>
      </c>
    </row>
    <row r="753" spans="1:4">
      <c r="A753">
        <v>752</v>
      </c>
      <c r="B753">
        <v>354</v>
      </c>
      <c r="C753">
        <f t="shared" si="31"/>
        <v>204.6655637376</v>
      </c>
      <c r="D753">
        <f t="shared" si="32"/>
        <v>149.3344362624</v>
      </c>
    </row>
    <row r="754" spans="1:4">
      <c r="A754">
        <v>753</v>
      </c>
      <c r="B754">
        <v>391</v>
      </c>
      <c r="C754">
        <f t="shared" si="31"/>
        <v>204.57834600960001</v>
      </c>
      <c r="D754">
        <f t="shared" si="32"/>
        <v>186.42165399039999</v>
      </c>
    </row>
    <row r="755" spans="1:4">
      <c r="A755">
        <v>754</v>
      </c>
      <c r="B755">
        <v>459</v>
      </c>
      <c r="C755">
        <f t="shared" si="31"/>
        <v>204.49070355040001</v>
      </c>
      <c r="D755">
        <f t="shared" si="32"/>
        <v>254.50929644959999</v>
      </c>
    </row>
    <row r="756" spans="1:4">
      <c r="A756">
        <v>755</v>
      </c>
      <c r="B756">
        <v>451</v>
      </c>
      <c r="C756">
        <f t="shared" si="31"/>
        <v>204.40263636</v>
      </c>
      <c r="D756">
        <f t="shared" si="32"/>
        <v>246.59736364</v>
      </c>
    </row>
    <row r="757" spans="1:4">
      <c r="A757">
        <v>756</v>
      </c>
      <c r="B757">
        <v>383</v>
      </c>
      <c r="C757">
        <f t="shared" si="31"/>
        <v>204.31414443839998</v>
      </c>
      <c r="D757">
        <f t="shared" si="32"/>
        <v>178.68585556160002</v>
      </c>
    </row>
    <row r="758" spans="1:4">
      <c r="A758">
        <v>757</v>
      </c>
      <c r="B758">
        <v>324</v>
      </c>
      <c r="C758">
        <f t="shared" si="31"/>
        <v>204.2252277856</v>
      </c>
      <c r="D758">
        <f t="shared" si="32"/>
        <v>119.7747722144</v>
      </c>
    </row>
    <row r="759" spans="1:4">
      <c r="A759">
        <v>758</v>
      </c>
      <c r="B759">
        <v>288</v>
      </c>
      <c r="C759">
        <f t="shared" si="31"/>
        <v>204.13588640159998</v>
      </c>
      <c r="D759">
        <f t="shared" si="32"/>
        <v>83.864113598400024</v>
      </c>
    </row>
    <row r="760" spans="1:4">
      <c r="A760">
        <v>759</v>
      </c>
      <c r="B760">
        <v>276</v>
      </c>
      <c r="C760">
        <f t="shared" si="31"/>
        <v>204.04612028640003</v>
      </c>
      <c r="D760">
        <f t="shared" si="32"/>
        <v>71.953879713599974</v>
      </c>
    </row>
    <row r="761" spans="1:4">
      <c r="A761">
        <v>760</v>
      </c>
      <c r="B761">
        <v>306</v>
      </c>
      <c r="C761">
        <f t="shared" si="31"/>
        <v>203.95592944000001</v>
      </c>
      <c r="D761">
        <f t="shared" si="32"/>
        <v>102.04407055999999</v>
      </c>
    </row>
    <row r="762" spans="1:4">
      <c r="A762">
        <v>761</v>
      </c>
      <c r="B762">
        <v>313</v>
      </c>
      <c r="C762">
        <f t="shared" si="31"/>
        <v>203.8653138624</v>
      </c>
      <c r="D762">
        <f t="shared" si="32"/>
        <v>109.1346861376</v>
      </c>
    </row>
    <row r="763" spans="1:4">
      <c r="A763">
        <v>762</v>
      </c>
      <c r="B763">
        <v>321</v>
      </c>
      <c r="C763">
        <f t="shared" si="31"/>
        <v>203.77427355360001</v>
      </c>
      <c r="D763">
        <f t="shared" si="32"/>
        <v>117.22572644639999</v>
      </c>
    </row>
    <row r="764" spans="1:4">
      <c r="A764">
        <v>763</v>
      </c>
      <c r="B764">
        <v>309</v>
      </c>
      <c r="C764">
        <f t="shared" si="31"/>
        <v>203.68280851360004</v>
      </c>
      <c r="D764">
        <f t="shared" si="32"/>
        <v>105.31719148639996</v>
      </c>
    </row>
    <row r="765" spans="1:4">
      <c r="A765">
        <v>764</v>
      </c>
      <c r="B765">
        <v>288</v>
      </c>
      <c r="C765">
        <f t="shared" si="31"/>
        <v>203.59091874239999</v>
      </c>
      <c r="D765">
        <f t="shared" si="32"/>
        <v>84.409081257600008</v>
      </c>
    </row>
    <row r="766" spans="1:4">
      <c r="A766">
        <v>765</v>
      </c>
      <c r="B766">
        <v>266</v>
      </c>
      <c r="C766">
        <f t="shared" si="31"/>
        <v>203.49860423999999</v>
      </c>
      <c r="D766">
        <f t="shared" si="32"/>
        <v>62.501395760000008</v>
      </c>
    </row>
    <row r="767" spans="1:4">
      <c r="A767">
        <v>766</v>
      </c>
      <c r="B767">
        <v>277</v>
      </c>
      <c r="C767">
        <f t="shared" si="31"/>
        <v>203.40586500640001</v>
      </c>
      <c r="D767">
        <f t="shared" si="32"/>
        <v>73.594134993599994</v>
      </c>
    </row>
    <row r="768" spans="1:4">
      <c r="A768">
        <v>767</v>
      </c>
      <c r="B768">
        <v>304</v>
      </c>
      <c r="C768">
        <f t="shared" si="31"/>
        <v>203.31270104160001</v>
      </c>
      <c r="D768">
        <f t="shared" si="32"/>
        <v>100.68729895839999</v>
      </c>
    </row>
    <row r="769" spans="1:7">
      <c r="A769">
        <v>768</v>
      </c>
      <c r="B769">
        <v>311</v>
      </c>
      <c r="C769">
        <f t="shared" si="31"/>
        <v>203.2191123456</v>
      </c>
      <c r="D769">
        <f t="shared" si="32"/>
        <v>107.7808876544</v>
      </c>
    </row>
    <row r="770" spans="1:7">
      <c r="A770">
        <v>769</v>
      </c>
      <c r="B770">
        <v>269</v>
      </c>
      <c r="C770">
        <f t="shared" ref="C770:C833" si="33" xml:space="preserve"> -0.0002123656*A770*A770 + 0.2323925*A770 + 150</f>
        <v>203.1250989184</v>
      </c>
      <c r="D770">
        <f t="shared" ref="D770:D833" si="34">B770-C770</f>
        <v>65.874901081600001</v>
      </c>
    </row>
    <row r="771" spans="1:7">
      <c r="A771">
        <v>770</v>
      </c>
      <c r="B771">
        <v>252</v>
      </c>
      <c r="C771">
        <f t="shared" si="33"/>
        <v>203.03066076000002</v>
      </c>
      <c r="D771">
        <f t="shared" si="34"/>
        <v>48.969339239999982</v>
      </c>
    </row>
    <row r="772" spans="1:7">
      <c r="A772">
        <v>771</v>
      </c>
      <c r="B772">
        <v>259</v>
      </c>
      <c r="C772">
        <f t="shared" si="33"/>
        <v>202.93579787039999</v>
      </c>
      <c r="D772">
        <f t="shared" si="34"/>
        <v>56.064202129600005</v>
      </c>
    </row>
    <row r="773" spans="1:7">
      <c r="A773">
        <v>772</v>
      </c>
      <c r="B773">
        <v>311</v>
      </c>
      <c r="C773">
        <f t="shared" si="33"/>
        <v>202.84051024960002</v>
      </c>
      <c r="D773">
        <f t="shared" si="34"/>
        <v>108.15948975039998</v>
      </c>
    </row>
    <row r="774" spans="1:7">
      <c r="A774">
        <v>773</v>
      </c>
      <c r="B774">
        <v>332</v>
      </c>
      <c r="C774">
        <f t="shared" si="33"/>
        <v>202.74479789759999</v>
      </c>
      <c r="D774">
        <f t="shared" si="34"/>
        <v>129.25520210240001</v>
      </c>
    </row>
    <row r="775" spans="1:7">
      <c r="A775">
        <v>774</v>
      </c>
      <c r="B775">
        <v>348</v>
      </c>
      <c r="C775">
        <f t="shared" si="33"/>
        <v>202.64866081439999</v>
      </c>
      <c r="D775">
        <f t="shared" si="34"/>
        <v>145.35133918560001</v>
      </c>
    </row>
    <row r="776" spans="1:7">
      <c r="A776">
        <v>775</v>
      </c>
      <c r="B776">
        <v>365</v>
      </c>
      <c r="C776">
        <f t="shared" si="33"/>
        <v>202.552099</v>
      </c>
      <c r="D776">
        <f t="shared" si="34"/>
        <v>162.447901</v>
      </c>
    </row>
    <row r="777" spans="1:7">
      <c r="A777">
        <v>776</v>
      </c>
      <c r="B777">
        <v>444</v>
      </c>
      <c r="C777">
        <f t="shared" si="33"/>
        <v>202.45511245440002</v>
      </c>
      <c r="D777">
        <f t="shared" si="34"/>
        <v>241.54488754559998</v>
      </c>
    </row>
    <row r="778" spans="1:7">
      <c r="A778">
        <v>777</v>
      </c>
      <c r="B778">
        <v>628</v>
      </c>
      <c r="C778">
        <f t="shared" si="33"/>
        <v>202.35770117760001</v>
      </c>
      <c r="D778">
        <f t="shared" si="34"/>
        <v>425.64229882239999</v>
      </c>
    </row>
    <row r="779" spans="1:7">
      <c r="A779">
        <v>778</v>
      </c>
      <c r="B779">
        <v>1058</v>
      </c>
      <c r="C779">
        <f t="shared" si="33"/>
        <v>202.2598651696</v>
      </c>
      <c r="D779">
        <f t="shared" si="34"/>
        <v>855.74013483039994</v>
      </c>
    </row>
    <row r="780" spans="1:7" ht="17.25">
      <c r="A780">
        <v>779</v>
      </c>
      <c r="B780">
        <v>1441</v>
      </c>
      <c r="C780">
        <f t="shared" si="33"/>
        <v>202.16160443040002</v>
      </c>
      <c r="D780">
        <f t="shared" si="34"/>
        <v>1238.8383955695999</v>
      </c>
      <c r="F780">
        <v>779.5</v>
      </c>
      <c r="G780" t="s">
        <v>26</v>
      </c>
    </row>
    <row r="781" spans="1:7">
      <c r="A781">
        <v>780</v>
      </c>
      <c r="B781">
        <v>1389</v>
      </c>
      <c r="C781">
        <f t="shared" si="33"/>
        <v>202.06291896000002</v>
      </c>
      <c r="D781">
        <f t="shared" si="34"/>
        <v>1186.9370810400001</v>
      </c>
    </row>
    <row r="782" spans="1:7">
      <c r="A782">
        <v>781</v>
      </c>
      <c r="B782">
        <v>925</v>
      </c>
      <c r="C782">
        <f t="shared" si="33"/>
        <v>201.96380875840001</v>
      </c>
      <c r="D782">
        <f t="shared" si="34"/>
        <v>723.03619124160002</v>
      </c>
    </row>
    <row r="783" spans="1:7">
      <c r="A783">
        <v>782</v>
      </c>
      <c r="B783">
        <v>511</v>
      </c>
      <c r="C783">
        <f t="shared" si="33"/>
        <v>201.86427382560001</v>
      </c>
      <c r="D783">
        <f t="shared" si="34"/>
        <v>309.13572617440002</v>
      </c>
    </row>
    <row r="784" spans="1:7">
      <c r="A784">
        <v>783</v>
      </c>
      <c r="B784">
        <v>355</v>
      </c>
      <c r="C784">
        <f t="shared" si="33"/>
        <v>201.7643141616</v>
      </c>
      <c r="D784">
        <f t="shared" si="34"/>
        <v>153.2356858384</v>
      </c>
    </row>
    <row r="785" spans="1:4">
      <c r="A785">
        <v>784</v>
      </c>
      <c r="B785">
        <v>460</v>
      </c>
      <c r="C785">
        <f t="shared" si="33"/>
        <v>201.6639297664</v>
      </c>
      <c r="D785">
        <f t="shared" si="34"/>
        <v>258.33607023360003</v>
      </c>
    </row>
    <row r="786" spans="1:4">
      <c r="A786">
        <v>785</v>
      </c>
      <c r="B786">
        <v>700</v>
      </c>
      <c r="C786">
        <f t="shared" si="33"/>
        <v>201.56312063999999</v>
      </c>
      <c r="D786">
        <f t="shared" si="34"/>
        <v>498.43687936000003</v>
      </c>
    </row>
    <row r="787" spans="1:4">
      <c r="A787">
        <v>786</v>
      </c>
      <c r="B787">
        <v>858</v>
      </c>
      <c r="C787">
        <f t="shared" si="33"/>
        <v>201.4618867824</v>
      </c>
      <c r="D787">
        <f t="shared" si="34"/>
        <v>656.53811321759997</v>
      </c>
    </row>
    <row r="788" spans="1:4">
      <c r="A788">
        <v>787</v>
      </c>
      <c r="B788">
        <v>849</v>
      </c>
      <c r="C788">
        <f t="shared" si="33"/>
        <v>201.36022819359999</v>
      </c>
      <c r="D788">
        <f t="shared" si="34"/>
        <v>647.63977180639995</v>
      </c>
    </row>
    <row r="789" spans="1:4">
      <c r="A789">
        <v>788</v>
      </c>
      <c r="B789">
        <v>728</v>
      </c>
      <c r="C789">
        <f t="shared" si="33"/>
        <v>201.25814487360003</v>
      </c>
      <c r="D789">
        <f t="shared" si="34"/>
        <v>526.74185512639997</v>
      </c>
    </row>
    <row r="790" spans="1:4">
      <c r="A790">
        <v>789</v>
      </c>
      <c r="B790">
        <v>622</v>
      </c>
      <c r="C790">
        <f t="shared" si="33"/>
        <v>201.15563682240003</v>
      </c>
      <c r="D790">
        <f t="shared" si="34"/>
        <v>420.84436317759997</v>
      </c>
    </row>
    <row r="791" spans="1:4">
      <c r="A791">
        <v>790</v>
      </c>
      <c r="B791">
        <v>589</v>
      </c>
      <c r="C791">
        <f t="shared" si="33"/>
        <v>201.05270404000004</v>
      </c>
      <c r="D791">
        <f t="shared" si="34"/>
        <v>387.94729595999996</v>
      </c>
    </row>
    <row r="792" spans="1:4">
      <c r="A792">
        <v>791</v>
      </c>
      <c r="B792">
        <v>502</v>
      </c>
      <c r="C792">
        <f t="shared" si="33"/>
        <v>200.94934652639998</v>
      </c>
      <c r="D792">
        <f t="shared" si="34"/>
        <v>301.05065347360005</v>
      </c>
    </row>
    <row r="793" spans="1:4">
      <c r="A793">
        <v>792</v>
      </c>
      <c r="B793">
        <v>421</v>
      </c>
      <c r="C793">
        <f t="shared" si="33"/>
        <v>200.84556428159999</v>
      </c>
      <c r="D793">
        <f t="shared" si="34"/>
        <v>220.15443571840001</v>
      </c>
    </row>
    <row r="794" spans="1:4">
      <c r="A794">
        <v>793</v>
      </c>
      <c r="B794">
        <v>366</v>
      </c>
      <c r="C794">
        <f t="shared" si="33"/>
        <v>200.74135730559999</v>
      </c>
      <c r="D794">
        <f t="shared" si="34"/>
        <v>165.25864269440001</v>
      </c>
    </row>
    <row r="795" spans="1:4">
      <c r="A795">
        <v>794</v>
      </c>
      <c r="B795">
        <v>389</v>
      </c>
      <c r="C795">
        <f t="shared" si="33"/>
        <v>200.63672559840001</v>
      </c>
      <c r="D795">
        <f t="shared" si="34"/>
        <v>188.36327440159999</v>
      </c>
    </row>
    <row r="796" spans="1:4">
      <c r="A796">
        <v>795</v>
      </c>
      <c r="B796">
        <v>419</v>
      </c>
      <c r="C796">
        <f t="shared" si="33"/>
        <v>200.53166916000001</v>
      </c>
      <c r="D796">
        <f t="shared" si="34"/>
        <v>218.46833083999999</v>
      </c>
    </row>
    <row r="797" spans="1:4">
      <c r="A797">
        <v>796</v>
      </c>
      <c r="B797">
        <v>433</v>
      </c>
      <c r="C797">
        <f t="shared" si="33"/>
        <v>200.42618799040002</v>
      </c>
      <c r="D797">
        <f t="shared" si="34"/>
        <v>232.57381200959998</v>
      </c>
    </row>
    <row r="798" spans="1:4">
      <c r="A798">
        <v>797</v>
      </c>
      <c r="B798">
        <v>401</v>
      </c>
      <c r="C798">
        <f t="shared" si="33"/>
        <v>200.3202820896</v>
      </c>
      <c r="D798">
        <f t="shared" si="34"/>
        <v>200.6797179104</v>
      </c>
    </row>
    <row r="799" spans="1:4">
      <c r="A799">
        <v>798</v>
      </c>
      <c r="B799">
        <v>361</v>
      </c>
      <c r="C799">
        <f t="shared" si="33"/>
        <v>200.21395145760002</v>
      </c>
      <c r="D799">
        <f t="shared" si="34"/>
        <v>160.78604854239998</v>
      </c>
    </row>
    <row r="800" spans="1:4">
      <c r="A800">
        <v>799</v>
      </c>
      <c r="B800">
        <v>345</v>
      </c>
      <c r="C800">
        <f t="shared" si="33"/>
        <v>200.10719609440002</v>
      </c>
      <c r="D800">
        <f t="shared" si="34"/>
        <v>144.89280390559998</v>
      </c>
    </row>
    <row r="801" spans="1:4">
      <c r="A801">
        <v>800</v>
      </c>
      <c r="B801">
        <v>348</v>
      </c>
      <c r="C801">
        <f t="shared" si="33"/>
        <v>200.00001599999999</v>
      </c>
      <c r="D801">
        <f t="shared" si="34"/>
        <v>147.99998400000001</v>
      </c>
    </row>
    <row r="802" spans="1:4">
      <c r="A802">
        <v>801</v>
      </c>
      <c r="B802">
        <v>374</v>
      </c>
      <c r="C802">
        <f t="shared" si="33"/>
        <v>199.8924111744</v>
      </c>
      <c r="D802">
        <f t="shared" si="34"/>
        <v>174.1075888256</v>
      </c>
    </row>
    <row r="803" spans="1:4">
      <c r="A803">
        <v>802</v>
      </c>
      <c r="B803">
        <v>409</v>
      </c>
      <c r="C803">
        <f t="shared" si="33"/>
        <v>199.78438161760002</v>
      </c>
      <c r="D803">
        <f t="shared" si="34"/>
        <v>209.21561838239998</v>
      </c>
    </row>
    <row r="804" spans="1:4">
      <c r="A804">
        <v>803</v>
      </c>
      <c r="B804">
        <v>411</v>
      </c>
      <c r="C804">
        <f t="shared" si="33"/>
        <v>199.6759273296</v>
      </c>
      <c r="D804">
        <f t="shared" si="34"/>
        <v>211.3240726704</v>
      </c>
    </row>
    <row r="805" spans="1:4">
      <c r="A805">
        <v>804</v>
      </c>
      <c r="B805">
        <v>382</v>
      </c>
      <c r="C805">
        <f t="shared" si="33"/>
        <v>199.56704831040003</v>
      </c>
      <c r="D805">
        <f t="shared" si="34"/>
        <v>182.43295168959997</v>
      </c>
    </row>
    <row r="806" spans="1:4">
      <c r="A806">
        <v>805</v>
      </c>
      <c r="B806">
        <v>328</v>
      </c>
      <c r="C806">
        <f t="shared" si="33"/>
        <v>199.45774456000001</v>
      </c>
      <c r="D806">
        <f t="shared" si="34"/>
        <v>128.54225543999999</v>
      </c>
    </row>
    <row r="807" spans="1:4">
      <c r="A807">
        <v>806</v>
      </c>
      <c r="B807">
        <v>286</v>
      </c>
      <c r="C807">
        <f t="shared" si="33"/>
        <v>199.34801607840001</v>
      </c>
      <c r="D807">
        <f t="shared" si="34"/>
        <v>86.651983921599992</v>
      </c>
    </row>
    <row r="808" spans="1:4">
      <c r="A808">
        <v>807</v>
      </c>
      <c r="B808">
        <v>265</v>
      </c>
      <c r="C808">
        <f t="shared" si="33"/>
        <v>199.23786286560002</v>
      </c>
      <c r="D808">
        <f t="shared" si="34"/>
        <v>65.762137134399978</v>
      </c>
    </row>
    <row r="809" spans="1:4">
      <c r="A809">
        <v>808</v>
      </c>
      <c r="B809">
        <v>276</v>
      </c>
      <c r="C809">
        <f t="shared" si="33"/>
        <v>199.12728492160002</v>
      </c>
      <c r="D809">
        <f t="shared" si="34"/>
        <v>76.872715078399978</v>
      </c>
    </row>
    <row r="810" spans="1:4">
      <c r="A810">
        <v>809</v>
      </c>
      <c r="B810">
        <v>307</v>
      </c>
      <c r="C810">
        <f t="shared" si="33"/>
        <v>199.01628224640001</v>
      </c>
      <c r="D810">
        <f t="shared" si="34"/>
        <v>107.98371775359999</v>
      </c>
    </row>
    <row r="811" spans="1:4">
      <c r="A811">
        <v>810</v>
      </c>
      <c r="B811">
        <v>317</v>
      </c>
      <c r="C811">
        <f t="shared" si="33"/>
        <v>198.90485484000001</v>
      </c>
      <c r="D811">
        <f t="shared" si="34"/>
        <v>118.09514515999999</v>
      </c>
    </row>
    <row r="812" spans="1:4">
      <c r="A812">
        <v>811</v>
      </c>
      <c r="B812">
        <v>284</v>
      </c>
      <c r="C812">
        <f t="shared" si="33"/>
        <v>198.7930027024</v>
      </c>
      <c r="D812">
        <f t="shared" si="34"/>
        <v>85.206997297599997</v>
      </c>
    </row>
    <row r="813" spans="1:4">
      <c r="A813">
        <v>812</v>
      </c>
      <c r="B813">
        <v>252</v>
      </c>
      <c r="C813">
        <f t="shared" si="33"/>
        <v>198.68072583360001</v>
      </c>
      <c r="D813">
        <f t="shared" si="34"/>
        <v>53.319274166399993</v>
      </c>
    </row>
    <row r="814" spans="1:4">
      <c r="A814">
        <v>813</v>
      </c>
      <c r="B814">
        <v>227</v>
      </c>
      <c r="C814">
        <f t="shared" si="33"/>
        <v>198.5680242336</v>
      </c>
      <c r="D814">
        <f t="shared" si="34"/>
        <v>28.431975766400001</v>
      </c>
    </row>
    <row r="815" spans="1:4">
      <c r="A815">
        <v>814</v>
      </c>
      <c r="B815">
        <v>229</v>
      </c>
      <c r="C815">
        <f t="shared" si="33"/>
        <v>198.45489790240001</v>
      </c>
      <c r="D815">
        <f t="shared" si="34"/>
        <v>30.545102097599994</v>
      </c>
    </row>
    <row r="816" spans="1:4">
      <c r="A816">
        <v>815</v>
      </c>
      <c r="B816">
        <v>247</v>
      </c>
      <c r="C816">
        <f t="shared" si="33"/>
        <v>198.34134684</v>
      </c>
      <c r="D816">
        <f t="shared" si="34"/>
        <v>48.65865316</v>
      </c>
    </row>
    <row r="817" spans="1:4">
      <c r="A817">
        <v>816</v>
      </c>
      <c r="B817">
        <v>261</v>
      </c>
      <c r="C817">
        <f t="shared" si="33"/>
        <v>198.22737104640001</v>
      </c>
      <c r="D817">
        <f t="shared" si="34"/>
        <v>62.772628953599991</v>
      </c>
    </row>
    <row r="818" spans="1:4">
      <c r="A818">
        <v>817</v>
      </c>
      <c r="B818">
        <v>251</v>
      </c>
      <c r="C818">
        <f t="shared" si="33"/>
        <v>198.1129705216</v>
      </c>
      <c r="D818">
        <f t="shared" si="34"/>
        <v>52.887029478399995</v>
      </c>
    </row>
    <row r="819" spans="1:4">
      <c r="A819">
        <v>818</v>
      </c>
      <c r="B819">
        <v>229</v>
      </c>
      <c r="C819">
        <f t="shared" si="33"/>
        <v>197.99814526560002</v>
      </c>
      <c r="D819">
        <f t="shared" si="34"/>
        <v>31.001854734399984</v>
      </c>
    </row>
    <row r="820" spans="1:4">
      <c r="A820">
        <v>819</v>
      </c>
      <c r="B820">
        <v>215</v>
      </c>
      <c r="C820">
        <f t="shared" si="33"/>
        <v>197.88289527839999</v>
      </c>
      <c r="D820">
        <f t="shared" si="34"/>
        <v>17.117104721600015</v>
      </c>
    </row>
    <row r="821" spans="1:4">
      <c r="A821">
        <v>820</v>
      </c>
      <c r="B821">
        <v>216</v>
      </c>
      <c r="C821">
        <f t="shared" si="33"/>
        <v>197.76722056</v>
      </c>
      <c r="D821">
        <f t="shared" si="34"/>
        <v>18.232779440000002</v>
      </c>
    </row>
    <row r="822" spans="1:4">
      <c r="A822">
        <v>821</v>
      </c>
      <c r="B822">
        <v>210</v>
      </c>
      <c r="C822">
        <f t="shared" si="33"/>
        <v>197.6511211104</v>
      </c>
      <c r="D822">
        <f t="shared" si="34"/>
        <v>12.348878889600002</v>
      </c>
    </row>
    <row r="823" spans="1:4">
      <c r="A823">
        <v>822</v>
      </c>
      <c r="B823">
        <v>224</v>
      </c>
      <c r="C823">
        <f t="shared" si="33"/>
        <v>197.53459692960001</v>
      </c>
      <c r="D823">
        <f t="shared" si="34"/>
        <v>26.465403070399987</v>
      </c>
    </row>
    <row r="824" spans="1:4">
      <c r="A824">
        <v>823</v>
      </c>
      <c r="B824">
        <v>272</v>
      </c>
      <c r="C824">
        <f t="shared" si="33"/>
        <v>197.41764801759999</v>
      </c>
      <c r="D824">
        <f t="shared" si="34"/>
        <v>74.582351982400013</v>
      </c>
    </row>
    <row r="825" spans="1:4">
      <c r="A825">
        <v>824</v>
      </c>
      <c r="B825">
        <v>278</v>
      </c>
      <c r="C825">
        <f t="shared" si="33"/>
        <v>197.3002743744</v>
      </c>
      <c r="D825">
        <f t="shared" si="34"/>
        <v>80.699725625599996</v>
      </c>
    </row>
    <row r="826" spans="1:4">
      <c r="A826">
        <v>825</v>
      </c>
      <c r="B826">
        <v>232</v>
      </c>
      <c r="C826">
        <f t="shared" si="33"/>
        <v>197.18247600000001</v>
      </c>
      <c r="D826">
        <f t="shared" si="34"/>
        <v>34.817523999999992</v>
      </c>
    </row>
    <row r="827" spans="1:4">
      <c r="A827">
        <v>826</v>
      </c>
      <c r="B827">
        <v>187</v>
      </c>
      <c r="C827">
        <f t="shared" si="33"/>
        <v>197.06425289440003</v>
      </c>
      <c r="D827">
        <f t="shared" si="34"/>
        <v>-10.064252894400028</v>
      </c>
    </row>
    <row r="828" spans="1:4">
      <c r="A828">
        <v>827</v>
      </c>
      <c r="B828">
        <v>153</v>
      </c>
      <c r="C828">
        <f t="shared" si="33"/>
        <v>196.94560505760001</v>
      </c>
      <c r="D828">
        <f t="shared" si="34"/>
        <v>-43.945605057600005</v>
      </c>
    </row>
    <row r="829" spans="1:4">
      <c r="A829">
        <v>828</v>
      </c>
      <c r="B829">
        <v>187</v>
      </c>
      <c r="C829">
        <f t="shared" si="33"/>
        <v>196.8265324896</v>
      </c>
      <c r="D829">
        <f t="shared" si="34"/>
        <v>-9.8265324895999981</v>
      </c>
    </row>
    <row r="830" spans="1:4">
      <c r="A830">
        <v>829</v>
      </c>
      <c r="B830">
        <v>267</v>
      </c>
      <c r="C830">
        <f t="shared" si="33"/>
        <v>196.70703519039998</v>
      </c>
      <c r="D830">
        <f t="shared" si="34"/>
        <v>70.292964809600022</v>
      </c>
    </row>
    <row r="831" spans="1:4">
      <c r="A831">
        <v>830</v>
      </c>
      <c r="B831">
        <v>306</v>
      </c>
      <c r="C831">
        <f t="shared" si="33"/>
        <v>196.58711316</v>
      </c>
      <c r="D831">
        <f t="shared" si="34"/>
        <v>109.41288684</v>
      </c>
    </row>
    <row r="832" spans="1:4">
      <c r="A832">
        <v>831</v>
      </c>
      <c r="B832">
        <v>265</v>
      </c>
      <c r="C832">
        <f t="shared" si="33"/>
        <v>196.46676639839998</v>
      </c>
      <c r="D832">
        <f t="shared" si="34"/>
        <v>68.533233601600017</v>
      </c>
    </row>
    <row r="833" spans="1:7">
      <c r="A833">
        <v>832</v>
      </c>
      <c r="B833">
        <v>229</v>
      </c>
      <c r="C833">
        <f t="shared" si="33"/>
        <v>196.34599490560001</v>
      </c>
      <c r="D833">
        <f t="shared" si="34"/>
        <v>32.654005094399992</v>
      </c>
    </row>
    <row r="834" spans="1:7">
      <c r="A834">
        <v>833</v>
      </c>
      <c r="B834">
        <v>352</v>
      </c>
      <c r="C834">
        <f t="shared" ref="C834:C897" si="35" xml:space="preserve"> -0.0002123656*A834*A834 + 0.2323925*A834 + 150</f>
        <v>196.22479868159999</v>
      </c>
      <c r="D834">
        <f t="shared" ref="D834:D897" si="36">B834-C834</f>
        <v>155.77520131840001</v>
      </c>
    </row>
    <row r="835" spans="1:7">
      <c r="A835">
        <v>834</v>
      </c>
      <c r="B835">
        <v>652</v>
      </c>
      <c r="C835">
        <f t="shared" si="35"/>
        <v>196.10317772640002</v>
      </c>
      <c r="D835">
        <f t="shared" si="36"/>
        <v>455.89682227359998</v>
      </c>
    </row>
    <row r="836" spans="1:7">
      <c r="A836">
        <v>835</v>
      </c>
      <c r="B836">
        <v>1020</v>
      </c>
      <c r="C836">
        <f t="shared" si="35"/>
        <v>195.98113204000001</v>
      </c>
      <c r="D836">
        <f t="shared" si="36"/>
        <v>824.01886795999997</v>
      </c>
    </row>
    <row r="837" spans="1:7" ht="17.25">
      <c r="A837">
        <v>836</v>
      </c>
      <c r="B837">
        <v>1058</v>
      </c>
      <c r="C837">
        <f t="shared" si="35"/>
        <v>195.85866162240004</v>
      </c>
      <c r="D837">
        <f t="shared" si="36"/>
        <v>862.14133837759994</v>
      </c>
      <c r="F837">
        <v>836</v>
      </c>
      <c r="G837" t="s">
        <v>27</v>
      </c>
    </row>
    <row r="838" spans="1:7">
      <c r="A838">
        <v>837</v>
      </c>
      <c r="B838">
        <v>794</v>
      </c>
      <c r="C838">
        <f t="shared" si="35"/>
        <v>195.73576647359999</v>
      </c>
      <c r="D838">
        <f t="shared" si="36"/>
        <v>598.26423352639995</v>
      </c>
    </row>
    <row r="839" spans="1:7">
      <c r="A839">
        <v>838</v>
      </c>
      <c r="B839">
        <v>466</v>
      </c>
      <c r="C839">
        <f t="shared" si="35"/>
        <v>195.6124465936</v>
      </c>
      <c r="D839">
        <f t="shared" si="36"/>
        <v>270.3875534064</v>
      </c>
    </row>
    <row r="840" spans="1:7">
      <c r="A840">
        <v>839</v>
      </c>
      <c r="B840">
        <v>320</v>
      </c>
      <c r="C840">
        <f t="shared" si="35"/>
        <v>195.48870198239999</v>
      </c>
      <c r="D840">
        <f t="shared" si="36"/>
        <v>124.51129801760001</v>
      </c>
    </row>
    <row r="841" spans="1:7">
      <c r="A841">
        <v>840</v>
      </c>
      <c r="B841">
        <v>290</v>
      </c>
      <c r="C841">
        <f t="shared" si="35"/>
        <v>195.36453263999999</v>
      </c>
      <c r="D841">
        <f t="shared" si="36"/>
        <v>94.635467360000007</v>
      </c>
    </row>
    <row r="842" spans="1:7">
      <c r="A842">
        <v>841</v>
      </c>
      <c r="B842">
        <v>301</v>
      </c>
      <c r="C842">
        <f t="shared" si="35"/>
        <v>195.23993856639999</v>
      </c>
      <c r="D842">
        <f t="shared" si="36"/>
        <v>105.76006143360001</v>
      </c>
    </row>
    <row r="843" spans="1:7">
      <c r="A843">
        <v>842</v>
      </c>
      <c r="B843">
        <v>329</v>
      </c>
      <c r="C843">
        <f t="shared" si="35"/>
        <v>195.11491976160002</v>
      </c>
      <c r="D843">
        <f t="shared" si="36"/>
        <v>133.88508023839998</v>
      </c>
    </row>
    <row r="844" spans="1:7">
      <c r="A844">
        <v>843</v>
      </c>
      <c r="B844">
        <v>327</v>
      </c>
      <c r="C844">
        <f t="shared" si="35"/>
        <v>194.98947622560001</v>
      </c>
      <c r="D844">
        <f t="shared" si="36"/>
        <v>132.01052377439999</v>
      </c>
    </row>
    <row r="845" spans="1:7">
      <c r="A845">
        <v>844</v>
      </c>
      <c r="B845">
        <v>287</v>
      </c>
      <c r="C845">
        <f t="shared" si="35"/>
        <v>194.86360795840002</v>
      </c>
      <c r="D845">
        <f t="shared" si="36"/>
        <v>92.136392041599976</v>
      </c>
    </row>
    <row r="846" spans="1:7">
      <c r="A846">
        <v>845</v>
      </c>
      <c r="B846">
        <v>251</v>
      </c>
      <c r="C846">
        <f t="shared" si="35"/>
        <v>194.73731496000002</v>
      </c>
      <c r="D846">
        <f t="shared" si="36"/>
        <v>56.26268503999998</v>
      </c>
    </row>
    <row r="847" spans="1:7">
      <c r="A847">
        <v>846</v>
      </c>
      <c r="B847">
        <v>243</v>
      </c>
      <c r="C847">
        <f t="shared" si="35"/>
        <v>194.6105972304</v>
      </c>
      <c r="D847">
        <f t="shared" si="36"/>
        <v>48.389402769599997</v>
      </c>
    </row>
    <row r="848" spans="1:7">
      <c r="A848">
        <v>847</v>
      </c>
      <c r="B848">
        <v>238</v>
      </c>
      <c r="C848">
        <f t="shared" si="35"/>
        <v>194.48345476959997</v>
      </c>
      <c r="D848">
        <f t="shared" si="36"/>
        <v>43.516545230400027</v>
      </c>
    </row>
    <row r="849" spans="1:4">
      <c r="A849">
        <v>848</v>
      </c>
      <c r="B849">
        <v>251</v>
      </c>
      <c r="C849">
        <f t="shared" si="35"/>
        <v>194.35588757760001</v>
      </c>
      <c r="D849">
        <f t="shared" si="36"/>
        <v>56.644112422399985</v>
      </c>
    </row>
    <row r="850" spans="1:4">
      <c r="A850">
        <v>849</v>
      </c>
      <c r="B850">
        <v>291</v>
      </c>
      <c r="C850">
        <f t="shared" si="35"/>
        <v>194.22789565439999</v>
      </c>
      <c r="D850">
        <f t="shared" si="36"/>
        <v>96.772104345600013</v>
      </c>
    </row>
    <row r="851" spans="1:4">
      <c r="A851">
        <v>850</v>
      </c>
      <c r="B851">
        <v>301</v>
      </c>
      <c r="C851">
        <f t="shared" si="35"/>
        <v>194.099479</v>
      </c>
      <c r="D851">
        <f t="shared" si="36"/>
        <v>106.900521</v>
      </c>
    </row>
    <row r="852" spans="1:4">
      <c r="A852">
        <v>851</v>
      </c>
      <c r="B852">
        <v>307</v>
      </c>
      <c r="C852">
        <f t="shared" si="35"/>
        <v>193.9706376144</v>
      </c>
      <c r="D852">
        <f t="shared" si="36"/>
        <v>113.0293623856</v>
      </c>
    </row>
    <row r="853" spans="1:4">
      <c r="A853">
        <v>852</v>
      </c>
      <c r="B853">
        <v>353</v>
      </c>
      <c r="C853">
        <f t="shared" si="35"/>
        <v>193.84137149760002</v>
      </c>
      <c r="D853">
        <f t="shared" si="36"/>
        <v>159.15862850239998</v>
      </c>
    </row>
    <row r="854" spans="1:4">
      <c r="A854">
        <v>853</v>
      </c>
      <c r="B854">
        <v>465</v>
      </c>
      <c r="C854">
        <f t="shared" si="35"/>
        <v>193.7116806496</v>
      </c>
      <c r="D854">
        <f t="shared" si="36"/>
        <v>271.2883193504</v>
      </c>
    </row>
    <row r="855" spans="1:4">
      <c r="A855">
        <v>854</v>
      </c>
      <c r="B855">
        <v>612</v>
      </c>
      <c r="C855">
        <f t="shared" si="35"/>
        <v>193.58156507040002</v>
      </c>
      <c r="D855">
        <f t="shared" si="36"/>
        <v>418.41843492959998</v>
      </c>
    </row>
    <row r="856" spans="1:4">
      <c r="A856">
        <v>855</v>
      </c>
      <c r="B856">
        <v>649</v>
      </c>
      <c r="C856">
        <f t="shared" si="35"/>
        <v>193.45102476</v>
      </c>
      <c r="D856">
        <f t="shared" si="36"/>
        <v>455.54897524</v>
      </c>
    </row>
    <row r="857" spans="1:4">
      <c r="A857">
        <v>856</v>
      </c>
      <c r="B857">
        <v>538</v>
      </c>
      <c r="C857">
        <f t="shared" si="35"/>
        <v>193.32005971839999</v>
      </c>
      <c r="D857">
        <f t="shared" si="36"/>
        <v>344.67994028160001</v>
      </c>
    </row>
    <row r="858" spans="1:4">
      <c r="A858">
        <v>857</v>
      </c>
      <c r="B858">
        <v>427</v>
      </c>
      <c r="C858">
        <f t="shared" si="35"/>
        <v>193.1886699456</v>
      </c>
      <c r="D858">
        <f t="shared" si="36"/>
        <v>233.8113300544</v>
      </c>
    </row>
    <row r="859" spans="1:4">
      <c r="A859">
        <v>858</v>
      </c>
      <c r="B859">
        <v>336</v>
      </c>
      <c r="C859">
        <f t="shared" si="35"/>
        <v>193.05685544159999</v>
      </c>
      <c r="D859">
        <f t="shared" si="36"/>
        <v>142.94314455840001</v>
      </c>
    </row>
    <row r="860" spans="1:4">
      <c r="A860">
        <v>859</v>
      </c>
      <c r="B860">
        <v>302</v>
      </c>
      <c r="C860">
        <f t="shared" si="35"/>
        <v>192.92461620640003</v>
      </c>
      <c r="D860">
        <f t="shared" si="36"/>
        <v>109.07538379359997</v>
      </c>
    </row>
    <row r="861" spans="1:4">
      <c r="A861">
        <v>860</v>
      </c>
      <c r="B861">
        <v>303</v>
      </c>
      <c r="C861">
        <f t="shared" si="35"/>
        <v>192.79195224</v>
      </c>
      <c r="D861">
        <f t="shared" si="36"/>
        <v>110.20804776</v>
      </c>
    </row>
    <row r="862" spans="1:4">
      <c r="A862">
        <v>861</v>
      </c>
      <c r="B862">
        <v>320</v>
      </c>
      <c r="C862">
        <f t="shared" si="35"/>
        <v>192.65886354240001</v>
      </c>
      <c r="D862">
        <f t="shared" si="36"/>
        <v>127.34113645759999</v>
      </c>
    </row>
    <row r="863" spans="1:4">
      <c r="A863">
        <v>862</v>
      </c>
      <c r="B863">
        <v>320</v>
      </c>
      <c r="C863">
        <f t="shared" si="35"/>
        <v>192.52535011360001</v>
      </c>
      <c r="D863">
        <f t="shared" si="36"/>
        <v>127.47464988639999</v>
      </c>
    </row>
    <row r="864" spans="1:4">
      <c r="A864">
        <v>863</v>
      </c>
      <c r="B864">
        <v>307</v>
      </c>
      <c r="C864">
        <f t="shared" si="35"/>
        <v>192.39141195360003</v>
      </c>
      <c r="D864">
        <f t="shared" si="36"/>
        <v>114.60858804639997</v>
      </c>
    </row>
    <row r="865" spans="1:4">
      <c r="A865">
        <v>864</v>
      </c>
      <c r="B865">
        <v>286</v>
      </c>
      <c r="C865">
        <f t="shared" si="35"/>
        <v>192.25704906240003</v>
      </c>
      <c r="D865">
        <f t="shared" si="36"/>
        <v>93.742950937599971</v>
      </c>
    </row>
    <row r="866" spans="1:4">
      <c r="A866">
        <v>865</v>
      </c>
      <c r="B866">
        <v>253</v>
      </c>
      <c r="C866">
        <f t="shared" si="35"/>
        <v>192.12226144000002</v>
      </c>
      <c r="D866">
        <f t="shared" si="36"/>
        <v>60.877738559999983</v>
      </c>
    </row>
    <row r="867" spans="1:4">
      <c r="A867">
        <v>866</v>
      </c>
      <c r="B867">
        <v>221</v>
      </c>
      <c r="C867">
        <f t="shared" si="35"/>
        <v>191.98704908639999</v>
      </c>
      <c r="D867">
        <f t="shared" si="36"/>
        <v>29.012950913600008</v>
      </c>
    </row>
    <row r="868" spans="1:4">
      <c r="A868">
        <v>867</v>
      </c>
      <c r="B868">
        <v>201</v>
      </c>
      <c r="C868">
        <f t="shared" si="35"/>
        <v>191.85141200160001</v>
      </c>
      <c r="D868">
        <f t="shared" si="36"/>
        <v>9.1485879983999894</v>
      </c>
    </row>
    <row r="869" spans="1:4">
      <c r="A869">
        <v>868</v>
      </c>
      <c r="B869">
        <v>245</v>
      </c>
      <c r="C869">
        <f t="shared" si="35"/>
        <v>191.71535018560002</v>
      </c>
      <c r="D869">
        <f t="shared" si="36"/>
        <v>53.284649814399984</v>
      </c>
    </row>
    <row r="870" spans="1:4">
      <c r="A870">
        <v>869</v>
      </c>
      <c r="B870">
        <v>339</v>
      </c>
      <c r="C870">
        <f t="shared" si="35"/>
        <v>191.57886363840001</v>
      </c>
      <c r="D870">
        <f t="shared" si="36"/>
        <v>147.42113636159999</v>
      </c>
    </row>
    <row r="871" spans="1:4">
      <c r="A871">
        <v>870</v>
      </c>
      <c r="B871">
        <v>421</v>
      </c>
      <c r="C871">
        <f t="shared" si="35"/>
        <v>191.44195236000002</v>
      </c>
      <c r="D871">
        <f t="shared" si="36"/>
        <v>229.55804763999998</v>
      </c>
    </row>
    <row r="872" spans="1:4">
      <c r="A872">
        <v>871</v>
      </c>
      <c r="B872">
        <v>437</v>
      </c>
      <c r="C872">
        <f t="shared" si="35"/>
        <v>191.30461635040004</v>
      </c>
      <c r="D872">
        <f t="shared" si="36"/>
        <v>245.69538364959996</v>
      </c>
    </row>
    <row r="873" spans="1:4">
      <c r="A873">
        <v>872</v>
      </c>
      <c r="B873">
        <v>345</v>
      </c>
      <c r="C873">
        <f t="shared" si="35"/>
        <v>191.16685560960002</v>
      </c>
      <c r="D873">
        <f t="shared" si="36"/>
        <v>153.83314439039998</v>
      </c>
    </row>
    <row r="874" spans="1:4">
      <c r="A874">
        <v>873</v>
      </c>
      <c r="B874">
        <v>258</v>
      </c>
      <c r="C874">
        <f t="shared" si="35"/>
        <v>191.02867013760005</v>
      </c>
      <c r="D874">
        <f t="shared" si="36"/>
        <v>66.971329862399955</v>
      </c>
    </row>
    <row r="875" spans="1:4">
      <c r="A875">
        <v>874</v>
      </c>
      <c r="B875">
        <v>220</v>
      </c>
      <c r="C875">
        <f t="shared" si="35"/>
        <v>190.8900599344</v>
      </c>
      <c r="D875">
        <f t="shared" si="36"/>
        <v>29.1099400656</v>
      </c>
    </row>
    <row r="876" spans="1:4">
      <c r="A876">
        <v>875</v>
      </c>
      <c r="B876">
        <v>216</v>
      </c>
      <c r="C876">
        <f t="shared" si="35"/>
        <v>190.751025</v>
      </c>
      <c r="D876">
        <f t="shared" si="36"/>
        <v>25.248975000000002</v>
      </c>
    </row>
    <row r="877" spans="1:4">
      <c r="A877">
        <v>876</v>
      </c>
      <c r="B877">
        <v>246</v>
      </c>
      <c r="C877">
        <f t="shared" si="35"/>
        <v>190.61156533440001</v>
      </c>
      <c r="D877">
        <f t="shared" si="36"/>
        <v>55.388434665599988</v>
      </c>
    </row>
    <row r="878" spans="1:4">
      <c r="A878">
        <v>877</v>
      </c>
      <c r="B878">
        <v>259</v>
      </c>
      <c r="C878">
        <f t="shared" si="35"/>
        <v>190.47168093760001</v>
      </c>
      <c r="D878">
        <f t="shared" si="36"/>
        <v>68.528319062399987</v>
      </c>
    </row>
    <row r="879" spans="1:4">
      <c r="A879">
        <v>878</v>
      </c>
      <c r="B879">
        <v>247</v>
      </c>
      <c r="C879">
        <f t="shared" si="35"/>
        <v>190.3313718096</v>
      </c>
      <c r="D879">
        <f t="shared" si="36"/>
        <v>56.6686281904</v>
      </c>
    </row>
    <row r="880" spans="1:4">
      <c r="A880">
        <v>879</v>
      </c>
      <c r="B880">
        <v>223</v>
      </c>
      <c r="C880">
        <f t="shared" si="35"/>
        <v>190.19063795040003</v>
      </c>
      <c r="D880">
        <f t="shared" si="36"/>
        <v>32.809362049599969</v>
      </c>
    </row>
    <row r="881" spans="1:4">
      <c r="A881">
        <v>880</v>
      </c>
      <c r="B881">
        <v>219</v>
      </c>
      <c r="C881">
        <f t="shared" si="35"/>
        <v>190.04947936000002</v>
      </c>
      <c r="D881">
        <f t="shared" si="36"/>
        <v>28.950520639999979</v>
      </c>
    </row>
    <row r="882" spans="1:4">
      <c r="A882">
        <v>881</v>
      </c>
      <c r="B882">
        <v>235</v>
      </c>
      <c r="C882">
        <f t="shared" si="35"/>
        <v>189.90789603840003</v>
      </c>
      <c r="D882">
        <f t="shared" si="36"/>
        <v>45.092103961599975</v>
      </c>
    </row>
    <row r="883" spans="1:4">
      <c r="A883">
        <v>882</v>
      </c>
      <c r="B883">
        <v>253</v>
      </c>
      <c r="C883">
        <f t="shared" si="35"/>
        <v>189.76588798560002</v>
      </c>
      <c r="D883">
        <f t="shared" si="36"/>
        <v>63.234112014399983</v>
      </c>
    </row>
    <row r="884" spans="1:4">
      <c r="A884">
        <v>883</v>
      </c>
      <c r="B884">
        <v>236</v>
      </c>
      <c r="C884">
        <f t="shared" si="35"/>
        <v>189.6234552016</v>
      </c>
      <c r="D884">
        <f t="shared" si="36"/>
        <v>46.376544798400005</v>
      </c>
    </row>
    <row r="885" spans="1:4">
      <c r="A885">
        <v>884</v>
      </c>
      <c r="B885">
        <v>212</v>
      </c>
      <c r="C885">
        <f t="shared" si="35"/>
        <v>189.48059768639999</v>
      </c>
      <c r="D885">
        <f t="shared" si="36"/>
        <v>22.519402313600011</v>
      </c>
    </row>
    <row r="886" spans="1:4">
      <c r="A886">
        <v>885</v>
      </c>
      <c r="B886">
        <v>209</v>
      </c>
      <c r="C886">
        <f t="shared" si="35"/>
        <v>189.33731544</v>
      </c>
      <c r="D886">
        <f t="shared" si="36"/>
        <v>19.662684560000002</v>
      </c>
    </row>
    <row r="887" spans="1:4">
      <c r="A887">
        <v>886</v>
      </c>
      <c r="B887">
        <v>219</v>
      </c>
      <c r="C887">
        <f t="shared" si="35"/>
        <v>189.19360846239999</v>
      </c>
      <c r="D887">
        <f t="shared" si="36"/>
        <v>29.806391537600007</v>
      </c>
    </row>
    <row r="888" spans="1:4">
      <c r="A888">
        <v>887</v>
      </c>
      <c r="B888">
        <v>238</v>
      </c>
      <c r="C888">
        <f t="shared" si="35"/>
        <v>189.0494767536</v>
      </c>
      <c r="D888">
        <f t="shared" si="36"/>
        <v>48.950523246399996</v>
      </c>
    </row>
    <row r="889" spans="1:4">
      <c r="A889">
        <v>888</v>
      </c>
      <c r="B889">
        <v>223</v>
      </c>
      <c r="C889">
        <f t="shared" si="35"/>
        <v>188.9049203136</v>
      </c>
      <c r="D889">
        <f t="shared" si="36"/>
        <v>34.095079686399998</v>
      </c>
    </row>
    <row r="890" spans="1:4">
      <c r="A890">
        <v>889</v>
      </c>
      <c r="B890">
        <v>200</v>
      </c>
      <c r="C890">
        <f t="shared" si="35"/>
        <v>188.75993914240001</v>
      </c>
      <c r="D890">
        <f t="shared" si="36"/>
        <v>11.240060857599985</v>
      </c>
    </row>
    <row r="891" spans="1:4">
      <c r="A891">
        <v>890</v>
      </c>
      <c r="B891">
        <v>175</v>
      </c>
      <c r="C891">
        <f t="shared" si="35"/>
        <v>188.61453324000001</v>
      </c>
      <c r="D891">
        <f t="shared" si="36"/>
        <v>-13.614533240000014</v>
      </c>
    </row>
    <row r="892" spans="1:4">
      <c r="A892">
        <v>891</v>
      </c>
      <c r="B892">
        <v>162</v>
      </c>
      <c r="C892">
        <f t="shared" si="35"/>
        <v>188.46870260640003</v>
      </c>
      <c r="D892">
        <f t="shared" si="36"/>
        <v>-26.468702606400029</v>
      </c>
    </row>
    <row r="893" spans="1:4">
      <c r="A893">
        <v>892</v>
      </c>
      <c r="B893">
        <v>181</v>
      </c>
      <c r="C893">
        <f t="shared" si="35"/>
        <v>188.3224472416</v>
      </c>
      <c r="D893">
        <f t="shared" si="36"/>
        <v>-7.3224472416000026</v>
      </c>
    </row>
    <row r="894" spans="1:4">
      <c r="A894">
        <v>893</v>
      </c>
      <c r="B894">
        <v>192</v>
      </c>
      <c r="C894">
        <f t="shared" si="35"/>
        <v>188.17576714560002</v>
      </c>
      <c r="D894">
        <f t="shared" si="36"/>
        <v>3.8242328543999804</v>
      </c>
    </row>
    <row r="895" spans="1:4">
      <c r="A895">
        <v>894</v>
      </c>
      <c r="B895">
        <v>207</v>
      </c>
      <c r="C895">
        <f t="shared" si="35"/>
        <v>188.0286623184</v>
      </c>
      <c r="D895">
        <f t="shared" si="36"/>
        <v>18.971337681600005</v>
      </c>
    </row>
    <row r="896" spans="1:4">
      <c r="A896">
        <v>895</v>
      </c>
      <c r="B896">
        <v>199</v>
      </c>
      <c r="C896">
        <f t="shared" si="35"/>
        <v>187.88113276000001</v>
      </c>
      <c r="D896">
        <f t="shared" si="36"/>
        <v>11.118867239999986</v>
      </c>
    </row>
    <row r="897" spans="1:4">
      <c r="A897">
        <v>896</v>
      </c>
      <c r="B897">
        <v>185</v>
      </c>
      <c r="C897">
        <f t="shared" si="35"/>
        <v>187.73317847039999</v>
      </c>
      <c r="D897">
        <f t="shared" si="36"/>
        <v>-2.7331784703999915</v>
      </c>
    </row>
    <row r="898" spans="1:4">
      <c r="A898">
        <v>897</v>
      </c>
      <c r="B898">
        <v>167</v>
      </c>
      <c r="C898">
        <f t="shared" ref="C898:C961" si="37" xml:space="preserve"> -0.0002123656*A898*A898 + 0.2323925*A898 + 150</f>
        <v>187.58479944960001</v>
      </c>
      <c r="D898">
        <f t="shared" ref="D898:D961" si="38">B898-C898</f>
        <v>-20.584799449600013</v>
      </c>
    </row>
    <row r="899" spans="1:4">
      <c r="A899">
        <v>898</v>
      </c>
      <c r="B899">
        <v>193</v>
      </c>
      <c r="C899">
        <f t="shared" si="37"/>
        <v>187.43599569760002</v>
      </c>
      <c r="D899">
        <f t="shared" si="38"/>
        <v>5.5640043023999795</v>
      </c>
    </row>
    <row r="900" spans="1:4">
      <c r="A900">
        <v>899</v>
      </c>
      <c r="B900">
        <v>191</v>
      </c>
      <c r="C900">
        <f t="shared" si="37"/>
        <v>187.28676721440002</v>
      </c>
      <c r="D900">
        <f t="shared" si="38"/>
        <v>3.7132327855999847</v>
      </c>
    </row>
    <row r="901" spans="1:4">
      <c r="A901">
        <v>900</v>
      </c>
      <c r="B901">
        <v>212</v>
      </c>
      <c r="C901">
        <f t="shared" si="37"/>
        <v>187.13711400000003</v>
      </c>
      <c r="D901">
        <f t="shared" si="38"/>
        <v>24.862885999999975</v>
      </c>
    </row>
    <row r="902" spans="1:4">
      <c r="A902">
        <v>901</v>
      </c>
      <c r="B902">
        <v>226</v>
      </c>
      <c r="C902">
        <f t="shared" si="37"/>
        <v>186.98703605439999</v>
      </c>
      <c r="D902">
        <f t="shared" si="38"/>
        <v>39.012963945600006</v>
      </c>
    </row>
    <row r="903" spans="1:4">
      <c r="A903">
        <v>902</v>
      </c>
      <c r="B903">
        <v>245</v>
      </c>
      <c r="C903">
        <f t="shared" si="37"/>
        <v>186.83653337760001</v>
      </c>
      <c r="D903">
        <f t="shared" si="38"/>
        <v>58.163466622399994</v>
      </c>
    </row>
    <row r="904" spans="1:4">
      <c r="A904">
        <v>903</v>
      </c>
      <c r="B904">
        <v>327</v>
      </c>
      <c r="C904">
        <f t="shared" si="37"/>
        <v>186.6856059696</v>
      </c>
      <c r="D904">
        <f t="shared" si="38"/>
        <v>140.3143940304</v>
      </c>
    </row>
    <row r="905" spans="1:4">
      <c r="A905">
        <v>904</v>
      </c>
      <c r="B905">
        <v>543</v>
      </c>
      <c r="C905">
        <f t="shared" si="37"/>
        <v>186.53425383039999</v>
      </c>
      <c r="D905">
        <f t="shared" si="38"/>
        <v>356.46574616960004</v>
      </c>
    </row>
    <row r="906" spans="1:4">
      <c r="A906">
        <v>905</v>
      </c>
      <c r="B906">
        <v>794</v>
      </c>
      <c r="C906">
        <f t="shared" si="37"/>
        <v>186.38247696000002</v>
      </c>
      <c r="D906">
        <f t="shared" si="38"/>
        <v>607.61752303999992</v>
      </c>
    </row>
    <row r="907" spans="1:4">
      <c r="A907">
        <v>906</v>
      </c>
      <c r="B907">
        <v>863</v>
      </c>
      <c r="C907">
        <f t="shared" si="37"/>
        <v>186.23027535840001</v>
      </c>
      <c r="D907">
        <f t="shared" si="38"/>
        <v>676.76972464159996</v>
      </c>
    </row>
    <row r="908" spans="1:4">
      <c r="A908">
        <v>907</v>
      </c>
      <c r="B908">
        <v>624</v>
      </c>
      <c r="C908">
        <f t="shared" si="37"/>
        <v>186.07764902560001</v>
      </c>
      <c r="D908">
        <f t="shared" si="38"/>
        <v>437.92235097439999</v>
      </c>
    </row>
    <row r="909" spans="1:4">
      <c r="A909">
        <v>908</v>
      </c>
      <c r="B909">
        <v>380</v>
      </c>
      <c r="C909">
        <f t="shared" si="37"/>
        <v>185.9245979616</v>
      </c>
      <c r="D909">
        <f t="shared" si="38"/>
        <v>194.0754020384</v>
      </c>
    </row>
    <row r="910" spans="1:4">
      <c r="A910">
        <v>909</v>
      </c>
      <c r="B910">
        <v>258</v>
      </c>
      <c r="C910">
        <f t="shared" si="37"/>
        <v>185.77112216640003</v>
      </c>
      <c r="D910">
        <f t="shared" si="38"/>
        <v>72.228877833599967</v>
      </c>
    </row>
    <row r="911" spans="1:4">
      <c r="A911">
        <v>910</v>
      </c>
      <c r="B911">
        <v>271</v>
      </c>
      <c r="C911">
        <f t="shared" si="37"/>
        <v>185.61722164</v>
      </c>
      <c r="D911">
        <f t="shared" si="38"/>
        <v>85.382778360000003</v>
      </c>
    </row>
    <row r="912" spans="1:4">
      <c r="A912">
        <v>911</v>
      </c>
      <c r="B912">
        <v>320</v>
      </c>
      <c r="C912">
        <f t="shared" si="37"/>
        <v>185.4628963824</v>
      </c>
      <c r="D912">
        <f t="shared" si="38"/>
        <v>134.5371036176</v>
      </c>
    </row>
    <row r="913" spans="1:7">
      <c r="A913">
        <v>912</v>
      </c>
      <c r="B913">
        <v>433</v>
      </c>
      <c r="C913">
        <f t="shared" si="37"/>
        <v>185.3081463936</v>
      </c>
      <c r="D913">
        <f t="shared" si="38"/>
        <v>247.6918536064</v>
      </c>
    </row>
    <row r="914" spans="1:7">
      <c r="A914">
        <v>913</v>
      </c>
      <c r="B914">
        <v>630</v>
      </c>
      <c r="C914">
        <f t="shared" si="37"/>
        <v>185.15297167360001</v>
      </c>
      <c r="D914">
        <f t="shared" si="38"/>
        <v>444.84702832639999</v>
      </c>
    </row>
    <row r="915" spans="1:7">
      <c r="A915">
        <v>914</v>
      </c>
      <c r="B915">
        <v>1166</v>
      </c>
      <c r="C915">
        <f t="shared" si="37"/>
        <v>184.9973722224</v>
      </c>
      <c r="D915">
        <f t="shared" si="38"/>
        <v>981.00262777759997</v>
      </c>
    </row>
    <row r="916" spans="1:7">
      <c r="A916">
        <v>915</v>
      </c>
      <c r="B916">
        <v>3208</v>
      </c>
      <c r="C916">
        <f t="shared" si="37"/>
        <v>184.84134804000001</v>
      </c>
      <c r="D916">
        <f t="shared" si="38"/>
        <v>3023.15865196</v>
      </c>
    </row>
    <row r="917" spans="1:7">
      <c r="A917">
        <v>916</v>
      </c>
      <c r="B917">
        <v>8717</v>
      </c>
      <c r="C917">
        <f t="shared" si="37"/>
        <v>184.68489912640001</v>
      </c>
      <c r="D917">
        <f t="shared" si="38"/>
        <v>8532.3151008736004</v>
      </c>
    </row>
    <row r="918" spans="1:7" ht="17.25">
      <c r="A918">
        <v>917</v>
      </c>
      <c r="B918">
        <v>13820</v>
      </c>
      <c r="C918">
        <f t="shared" si="37"/>
        <v>184.52802548160003</v>
      </c>
      <c r="D918">
        <f t="shared" si="38"/>
        <v>13635.471974518399</v>
      </c>
      <c r="F918">
        <v>917.5</v>
      </c>
      <c r="G918" t="s">
        <v>28</v>
      </c>
    </row>
    <row r="919" spans="1:7">
      <c r="A919">
        <v>918</v>
      </c>
      <c r="B919">
        <v>13661</v>
      </c>
      <c r="C919">
        <f t="shared" si="37"/>
        <v>184.3707271056</v>
      </c>
      <c r="D919">
        <f t="shared" si="38"/>
        <v>13476.629272894401</v>
      </c>
    </row>
    <row r="920" spans="1:7">
      <c r="A920">
        <v>919</v>
      </c>
      <c r="B920">
        <v>8680</v>
      </c>
      <c r="C920">
        <f t="shared" si="37"/>
        <v>184.21300399840001</v>
      </c>
      <c r="D920">
        <f t="shared" si="38"/>
        <v>8495.7869960015996</v>
      </c>
    </row>
    <row r="921" spans="1:7">
      <c r="A921">
        <v>920</v>
      </c>
      <c r="B921">
        <v>4185</v>
      </c>
      <c r="C921">
        <f t="shared" si="37"/>
        <v>184.05485615999999</v>
      </c>
      <c r="D921">
        <f t="shared" si="38"/>
        <v>4000.9451438400001</v>
      </c>
    </row>
    <row r="922" spans="1:7">
      <c r="A922">
        <v>921</v>
      </c>
      <c r="B922">
        <v>2487</v>
      </c>
      <c r="C922">
        <f t="shared" si="37"/>
        <v>183.8962835904</v>
      </c>
      <c r="D922">
        <f t="shared" si="38"/>
        <v>2303.1037164096001</v>
      </c>
    </row>
    <row r="923" spans="1:7">
      <c r="A923">
        <v>922</v>
      </c>
      <c r="B923">
        <v>2216</v>
      </c>
      <c r="C923">
        <f t="shared" si="37"/>
        <v>183.73728628960001</v>
      </c>
      <c r="D923">
        <f t="shared" si="38"/>
        <v>2032.2627137104</v>
      </c>
    </row>
    <row r="924" spans="1:7">
      <c r="A924">
        <v>923</v>
      </c>
      <c r="B924">
        <v>1750</v>
      </c>
      <c r="C924">
        <f t="shared" si="37"/>
        <v>183.5778642576</v>
      </c>
      <c r="D924">
        <f t="shared" si="38"/>
        <v>1566.4221357424001</v>
      </c>
    </row>
    <row r="925" spans="1:7">
      <c r="A925">
        <v>924</v>
      </c>
      <c r="B925">
        <v>1128</v>
      </c>
      <c r="C925">
        <f t="shared" si="37"/>
        <v>183.4180174944</v>
      </c>
      <c r="D925">
        <f t="shared" si="38"/>
        <v>944.58198250559997</v>
      </c>
    </row>
    <row r="926" spans="1:7">
      <c r="A926">
        <v>925</v>
      </c>
      <c r="B926">
        <v>680</v>
      </c>
      <c r="C926">
        <f t="shared" si="37"/>
        <v>183.25774600000003</v>
      </c>
      <c r="D926">
        <f t="shared" si="38"/>
        <v>496.742254</v>
      </c>
    </row>
    <row r="927" spans="1:7">
      <c r="A927">
        <v>926</v>
      </c>
      <c r="B927">
        <v>488</v>
      </c>
      <c r="C927">
        <f t="shared" si="37"/>
        <v>183.09704977440001</v>
      </c>
      <c r="D927">
        <f t="shared" si="38"/>
        <v>304.90295022559997</v>
      </c>
    </row>
    <row r="928" spans="1:7">
      <c r="A928">
        <v>927</v>
      </c>
      <c r="B928">
        <v>411</v>
      </c>
      <c r="C928">
        <f t="shared" si="37"/>
        <v>182.93592881760003</v>
      </c>
      <c r="D928">
        <f t="shared" si="38"/>
        <v>228.06407118239997</v>
      </c>
    </row>
    <row r="929" spans="1:4">
      <c r="A929">
        <v>928</v>
      </c>
      <c r="B929">
        <v>360</v>
      </c>
      <c r="C929">
        <f t="shared" si="37"/>
        <v>182.77438312959998</v>
      </c>
      <c r="D929">
        <f t="shared" si="38"/>
        <v>177.22561687040002</v>
      </c>
    </row>
    <row r="930" spans="1:4">
      <c r="A930">
        <v>929</v>
      </c>
      <c r="B930">
        <v>340</v>
      </c>
      <c r="C930">
        <f t="shared" si="37"/>
        <v>182.61241271040001</v>
      </c>
      <c r="D930">
        <f t="shared" si="38"/>
        <v>157.38758728959999</v>
      </c>
    </row>
    <row r="931" spans="1:4">
      <c r="A931">
        <v>930</v>
      </c>
      <c r="B931">
        <v>366</v>
      </c>
      <c r="C931">
        <f t="shared" si="37"/>
        <v>182.45001755999999</v>
      </c>
      <c r="D931">
        <f t="shared" si="38"/>
        <v>183.54998244000001</v>
      </c>
    </row>
    <row r="932" spans="1:4">
      <c r="A932">
        <v>931</v>
      </c>
      <c r="B932">
        <v>482</v>
      </c>
      <c r="C932">
        <f t="shared" si="37"/>
        <v>182.28719767839999</v>
      </c>
      <c r="D932">
        <f t="shared" si="38"/>
        <v>299.71280232160001</v>
      </c>
    </row>
    <row r="933" spans="1:4">
      <c r="A933">
        <v>932</v>
      </c>
      <c r="B933">
        <v>592</v>
      </c>
      <c r="C933">
        <f t="shared" si="37"/>
        <v>182.12395306560001</v>
      </c>
      <c r="D933">
        <f t="shared" si="38"/>
        <v>409.87604693439999</v>
      </c>
    </row>
    <row r="934" spans="1:4">
      <c r="A934">
        <v>933</v>
      </c>
      <c r="B934">
        <v>650</v>
      </c>
      <c r="C934">
        <f t="shared" si="37"/>
        <v>181.96028372160001</v>
      </c>
      <c r="D934">
        <f t="shared" si="38"/>
        <v>468.03971627839996</v>
      </c>
    </row>
    <row r="935" spans="1:4">
      <c r="A935">
        <v>934</v>
      </c>
      <c r="B935">
        <v>614</v>
      </c>
      <c r="C935">
        <f t="shared" si="37"/>
        <v>181.79618964639999</v>
      </c>
      <c r="D935">
        <f t="shared" si="38"/>
        <v>432.20381035360003</v>
      </c>
    </row>
    <row r="936" spans="1:4">
      <c r="A936">
        <v>935</v>
      </c>
      <c r="B936">
        <v>566</v>
      </c>
      <c r="C936">
        <f t="shared" si="37"/>
        <v>181.63167084000003</v>
      </c>
      <c r="D936">
        <f t="shared" si="38"/>
        <v>384.36832915999997</v>
      </c>
    </row>
    <row r="937" spans="1:4">
      <c r="A937">
        <v>936</v>
      </c>
      <c r="B937">
        <v>513</v>
      </c>
      <c r="C937">
        <f t="shared" si="37"/>
        <v>181.46672730240002</v>
      </c>
      <c r="D937">
        <f t="shared" si="38"/>
        <v>331.53327269759995</v>
      </c>
    </row>
    <row r="938" spans="1:4">
      <c r="A938">
        <v>937</v>
      </c>
      <c r="B938">
        <v>462</v>
      </c>
      <c r="C938">
        <f t="shared" si="37"/>
        <v>181.30135903360002</v>
      </c>
      <c r="D938">
        <f t="shared" si="38"/>
        <v>280.69864096639998</v>
      </c>
    </row>
    <row r="939" spans="1:4">
      <c r="A939">
        <v>938</v>
      </c>
      <c r="B939">
        <v>428</v>
      </c>
      <c r="C939">
        <f t="shared" si="37"/>
        <v>181.13556603359999</v>
      </c>
      <c r="D939">
        <f t="shared" si="38"/>
        <v>246.86443396640001</v>
      </c>
    </row>
    <row r="940" spans="1:4">
      <c r="A940">
        <v>939</v>
      </c>
      <c r="B940">
        <v>415</v>
      </c>
      <c r="C940">
        <f t="shared" si="37"/>
        <v>180.96934830239999</v>
      </c>
      <c r="D940">
        <f t="shared" si="38"/>
        <v>234.03065169760001</v>
      </c>
    </row>
    <row r="941" spans="1:4">
      <c r="A941">
        <v>940</v>
      </c>
      <c r="B941">
        <v>427</v>
      </c>
      <c r="C941">
        <f t="shared" si="37"/>
        <v>180.80270584000002</v>
      </c>
      <c r="D941">
        <f t="shared" si="38"/>
        <v>246.19729415999998</v>
      </c>
    </row>
    <row r="942" spans="1:4">
      <c r="A942">
        <v>941</v>
      </c>
      <c r="B942">
        <v>451</v>
      </c>
      <c r="C942">
        <f t="shared" si="37"/>
        <v>180.6356386464</v>
      </c>
      <c r="D942">
        <f t="shared" si="38"/>
        <v>270.36436135359997</v>
      </c>
    </row>
    <row r="943" spans="1:4">
      <c r="A943">
        <v>942</v>
      </c>
      <c r="B943">
        <v>448</v>
      </c>
      <c r="C943">
        <f t="shared" si="37"/>
        <v>180.46814672160002</v>
      </c>
      <c r="D943">
        <f t="shared" si="38"/>
        <v>267.53185327839998</v>
      </c>
    </row>
    <row r="944" spans="1:4">
      <c r="A944">
        <v>943</v>
      </c>
      <c r="B944">
        <v>424</v>
      </c>
      <c r="C944">
        <f t="shared" si="37"/>
        <v>180.3002300656</v>
      </c>
      <c r="D944">
        <f t="shared" si="38"/>
        <v>243.6997699344</v>
      </c>
    </row>
    <row r="945" spans="1:4">
      <c r="A945">
        <v>944</v>
      </c>
      <c r="B945">
        <v>391</v>
      </c>
      <c r="C945">
        <f t="shared" si="37"/>
        <v>180.13188867840003</v>
      </c>
      <c r="D945">
        <f t="shared" si="38"/>
        <v>210.86811132159997</v>
      </c>
    </row>
    <row r="946" spans="1:4">
      <c r="A946">
        <v>945</v>
      </c>
      <c r="B946">
        <v>350</v>
      </c>
      <c r="C946">
        <f t="shared" si="37"/>
        <v>179.96312256000002</v>
      </c>
      <c r="D946">
        <f t="shared" si="38"/>
        <v>170.03687743999998</v>
      </c>
    </row>
    <row r="947" spans="1:4">
      <c r="A947">
        <v>946</v>
      </c>
      <c r="B947">
        <v>333</v>
      </c>
      <c r="C947">
        <f t="shared" si="37"/>
        <v>179.79393171040005</v>
      </c>
      <c r="D947">
        <f t="shared" si="38"/>
        <v>153.20606828959995</v>
      </c>
    </row>
    <row r="948" spans="1:4">
      <c r="A948">
        <v>947</v>
      </c>
      <c r="B948">
        <v>344</v>
      </c>
      <c r="C948">
        <f t="shared" si="37"/>
        <v>179.6243161296</v>
      </c>
      <c r="D948">
        <f t="shared" si="38"/>
        <v>164.3756838704</v>
      </c>
    </row>
    <row r="949" spans="1:4">
      <c r="A949">
        <v>948</v>
      </c>
      <c r="B949">
        <v>443</v>
      </c>
      <c r="C949">
        <f t="shared" si="37"/>
        <v>179.45427581760001</v>
      </c>
      <c r="D949">
        <f t="shared" si="38"/>
        <v>263.54572418240002</v>
      </c>
    </row>
    <row r="950" spans="1:4">
      <c r="A950">
        <v>949</v>
      </c>
      <c r="B950">
        <v>621</v>
      </c>
      <c r="C950">
        <f t="shared" si="37"/>
        <v>179.2838107744</v>
      </c>
      <c r="D950">
        <f t="shared" si="38"/>
        <v>441.71618922560003</v>
      </c>
    </row>
    <row r="951" spans="1:4">
      <c r="A951">
        <v>950</v>
      </c>
      <c r="B951">
        <v>723</v>
      </c>
      <c r="C951">
        <f t="shared" si="37"/>
        <v>179.11292100000003</v>
      </c>
      <c r="D951">
        <f t="shared" si="38"/>
        <v>543.88707899999997</v>
      </c>
    </row>
    <row r="952" spans="1:4">
      <c r="A952">
        <v>951</v>
      </c>
      <c r="B952">
        <v>610</v>
      </c>
      <c r="C952">
        <f t="shared" si="37"/>
        <v>178.94160649440002</v>
      </c>
      <c r="D952">
        <f t="shared" si="38"/>
        <v>431.05839350559995</v>
      </c>
    </row>
    <row r="953" spans="1:4">
      <c r="A953">
        <v>952</v>
      </c>
      <c r="B953">
        <v>426</v>
      </c>
      <c r="C953">
        <f t="shared" si="37"/>
        <v>178.76986725760003</v>
      </c>
      <c r="D953">
        <f t="shared" si="38"/>
        <v>247.23013274239997</v>
      </c>
    </row>
    <row r="954" spans="1:4">
      <c r="A954">
        <v>953</v>
      </c>
      <c r="B954">
        <v>309</v>
      </c>
      <c r="C954">
        <f t="shared" si="37"/>
        <v>178.59770328960002</v>
      </c>
      <c r="D954">
        <f t="shared" si="38"/>
        <v>130.40229671039998</v>
      </c>
    </row>
    <row r="955" spans="1:4">
      <c r="A955">
        <v>954</v>
      </c>
      <c r="B955">
        <v>269</v>
      </c>
      <c r="C955">
        <f t="shared" si="37"/>
        <v>178.42511459040003</v>
      </c>
      <c r="D955">
        <f t="shared" si="38"/>
        <v>90.574885409599972</v>
      </c>
    </row>
    <row r="956" spans="1:4">
      <c r="A956">
        <v>955</v>
      </c>
      <c r="B956">
        <v>260</v>
      </c>
      <c r="C956">
        <f t="shared" si="37"/>
        <v>178.25210116000002</v>
      </c>
      <c r="D956">
        <f t="shared" si="38"/>
        <v>81.747898839999976</v>
      </c>
    </row>
    <row r="957" spans="1:4">
      <c r="A957">
        <v>956</v>
      </c>
      <c r="B957">
        <v>240</v>
      </c>
      <c r="C957">
        <f t="shared" si="37"/>
        <v>178.07866299840001</v>
      </c>
      <c r="D957">
        <f t="shared" si="38"/>
        <v>61.921337001599994</v>
      </c>
    </row>
    <row r="958" spans="1:4">
      <c r="A958">
        <v>957</v>
      </c>
      <c r="B958">
        <v>235</v>
      </c>
      <c r="C958">
        <f t="shared" si="37"/>
        <v>177.9048001056</v>
      </c>
      <c r="D958">
        <f t="shared" si="38"/>
        <v>57.095199894399997</v>
      </c>
    </row>
    <row r="959" spans="1:4">
      <c r="A959">
        <v>958</v>
      </c>
      <c r="B959">
        <v>244</v>
      </c>
      <c r="C959">
        <f t="shared" si="37"/>
        <v>177.73051248160002</v>
      </c>
      <c r="D959">
        <f t="shared" si="38"/>
        <v>66.269487518399984</v>
      </c>
    </row>
    <row r="960" spans="1:4">
      <c r="A960">
        <v>959</v>
      </c>
      <c r="B960">
        <v>282</v>
      </c>
      <c r="C960">
        <f t="shared" si="37"/>
        <v>177.55580012640002</v>
      </c>
      <c r="D960">
        <f t="shared" si="38"/>
        <v>104.44419987359998</v>
      </c>
    </row>
    <row r="961" spans="1:4">
      <c r="A961">
        <v>960</v>
      </c>
      <c r="B961">
        <v>316</v>
      </c>
      <c r="C961">
        <f t="shared" si="37"/>
        <v>177.38066304000003</v>
      </c>
      <c r="D961">
        <f t="shared" si="38"/>
        <v>138.61933695999997</v>
      </c>
    </row>
    <row r="962" spans="1:4">
      <c r="A962">
        <v>961</v>
      </c>
      <c r="B962">
        <v>348</v>
      </c>
      <c r="C962">
        <f t="shared" ref="C962:C1025" si="39" xml:space="preserve"> -0.0002123656*A962*A962 + 0.2323925*A962 + 150</f>
        <v>177.2051012224</v>
      </c>
      <c r="D962">
        <f t="shared" ref="D962:D1025" si="40">B962-C962</f>
        <v>170.7948987776</v>
      </c>
    </row>
    <row r="963" spans="1:4">
      <c r="A963">
        <v>962</v>
      </c>
      <c r="B963">
        <v>351</v>
      </c>
      <c r="C963">
        <f t="shared" si="39"/>
        <v>177.02911467360002</v>
      </c>
      <c r="D963">
        <f t="shared" si="40"/>
        <v>173.97088532639998</v>
      </c>
    </row>
    <row r="964" spans="1:4">
      <c r="A964">
        <v>963</v>
      </c>
      <c r="B964">
        <v>368</v>
      </c>
      <c r="C964">
        <f t="shared" si="39"/>
        <v>176.85270339360002</v>
      </c>
      <c r="D964">
        <f t="shared" si="40"/>
        <v>191.14729660639998</v>
      </c>
    </row>
    <row r="965" spans="1:4">
      <c r="A965">
        <v>964</v>
      </c>
      <c r="B965">
        <v>375</v>
      </c>
      <c r="C965">
        <f t="shared" si="39"/>
        <v>176.67586738240004</v>
      </c>
      <c r="D965">
        <f t="shared" si="40"/>
        <v>198.32413261759996</v>
      </c>
    </row>
    <row r="966" spans="1:4">
      <c r="A966">
        <v>965</v>
      </c>
      <c r="B966">
        <v>371</v>
      </c>
      <c r="C966">
        <f t="shared" si="39"/>
        <v>176.49860663999999</v>
      </c>
      <c r="D966">
        <f t="shared" si="40"/>
        <v>194.50139336000001</v>
      </c>
    </row>
    <row r="967" spans="1:4">
      <c r="A967">
        <v>966</v>
      </c>
      <c r="B967">
        <v>351</v>
      </c>
      <c r="C967">
        <f t="shared" si="39"/>
        <v>176.32092116640001</v>
      </c>
      <c r="D967">
        <f t="shared" si="40"/>
        <v>174.67907883359999</v>
      </c>
    </row>
    <row r="968" spans="1:4">
      <c r="A968">
        <v>967</v>
      </c>
      <c r="B968">
        <v>332</v>
      </c>
      <c r="C968">
        <f t="shared" si="39"/>
        <v>176.14281096159999</v>
      </c>
      <c r="D968">
        <f t="shared" si="40"/>
        <v>155.85718903840001</v>
      </c>
    </row>
    <row r="969" spans="1:4">
      <c r="A969">
        <v>968</v>
      </c>
      <c r="B969">
        <v>319</v>
      </c>
      <c r="C969">
        <f t="shared" si="39"/>
        <v>175.96427602560001</v>
      </c>
      <c r="D969">
        <f t="shared" si="40"/>
        <v>143.03572397439999</v>
      </c>
    </row>
    <row r="970" spans="1:4">
      <c r="A970">
        <v>969</v>
      </c>
      <c r="B970">
        <v>310</v>
      </c>
      <c r="C970">
        <f t="shared" si="39"/>
        <v>175.7853163584</v>
      </c>
      <c r="D970">
        <f t="shared" si="40"/>
        <v>134.2146836416</v>
      </c>
    </row>
    <row r="971" spans="1:4">
      <c r="A971">
        <v>970</v>
      </c>
      <c r="B971">
        <v>294</v>
      </c>
      <c r="C971">
        <f t="shared" si="39"/>
        <v>175.60593196000002</v>
      </c>
      <c r="D971">
        <f t="shared" si="40"/>
        <v>118.39406803999998</v>
      </c>
    </row>
    <row r="972" spans="1:4">
      <c r="A972">
        <v>971</v>
      </c>
      <c r="B972">
        <v>308</v>
      </c>
      <c r="C972">
        <f t="shared" si="39"/>
        <v>175.4261228304</v>
      </c>
      <c r="D972">
        <f t="shared" si="40"/>
        <v>132.5738771696</v>
      </c>
    </row>
    <row r="973" spans="1:4">
      <c r="A973">
        <v>972</v>
      </c>
      <c r="B973">
        <v>318</v>
      </c>
      <c r="C973">
        <f t="shared" si="39"/>
        <v>175.24588896960003</v>
      </c>
      <c r="D973">
        <f t="shared" si="40"/>
        <v>142.75411103039997</v>
      </c>
    </row>
    <row r="974" spans="1:4">
      <c r="A974">
        <v>973</v>
      </c>
      <c r="B974">
        <v>357</v>
      </c>
      <c r="C974">
        <f t="shared" si="39"/>
        <v>175.06523037760002</v>
      </c>
      <c r="D974">
        <f t="shared" si="40"/>
        <v>181.93476962239998</v>
      </c>
    </row>
    <row r="975" spans="1:4">
      <c r="A975">
        <v>974</v>
      </c>
      <c r="B975">
        <v>393</v>
      </c>
      <c r="C975">
        <f t="shared" si="39"/>
        <v>174.88414705440002</v>
      </c>
      <c r="D975">
        <f t="shared" si="40"/>
        <v>218.11585294559998</v>
      </c>
    </row>
    <row r="976" spans="1:4">
      <c r="A976">
        <v>975</v>
      </c>
      <c r="B976">
        <v>374</v>
      </c>
      <c r="C976">
        <f t="shared" si="39"/>
        <v>174.702639</v>
      </c>
      <c r="D976">
        <f t="shared" si="40"/>
        <v>199.297361</v>
      </c>
    </row>
    <row r="977" spans="1:4">
      <c r="A977">
        <v>976</v>
      </c>
      <c r="B977">
        <v>385</v>
      </c>
      <c r="C977">
        <f t="shared" si="39"/>
        <v>174.52070621440001</v>
      </c>
      <c r="D977">
        <f t="shared" si="40"/>
        <v>210.47929378559999</v>
      </c>
    </row>
    <row r="978" spans="1:4">
      <c r="A978">
        <v>977</v>
      </c>
      <c r="B978">
        <v>371</v>
      </c>
      <c r="C978">
        <f t="shared" si="39"/>
        <v>174.3383486976</v>
      </c>
      <c r="D978">
        <f t="shared" si="40"/>
        <v>196.6616513024</v>
      </c>
    </row>
    <row r="979" spans="1:4">
      <c r="A979">
        <v>978</v>
      </c>
      <c r="B979">
        <v>368</v>
      </c>
      <c r="C979">
        <f t="shared" si="39"/>
        <v>174.15556644960003</v>
      </c>
      <c r="D979">
        <f t="shared" si="40"/>
        <v>193.84443355039997</v>
      </c>
    </row>
    <row r="980" spans="1:4">
      <c r="A980">
        <v>979</v>
      </c>
      <c r="B980">
        <v>370</v>
      </c>
      <c r="C980">
        <f t="shared" si="39"/>
        <v>173.97235947039999</v>
      </c>
      <c r="D980">
        <f t="shared" si="40"/>
        <v>196.02764052960001</v>
      </c>
    </row>
    <row r="981" spans="1:4">
      <c r="A981">
        <v>980</v>
      </c>
      <c r="B981">
        <v>425</v>
      </c>
      <c r="C981">
        <f t="shared" si="39"/>
        <v>173.78872776000003</v>
      </c>
      <c r="D981">
        <f t="shared" si="40"/>
        <v>251.21127223999997</v>
      </c>
    </row>
    <row r="982" spans="1:4">
      <c r="A982">
        <v>981</v>
      </c>
      <c r="B982">
        <v>527</v>
      </c>
      <c r="C982">
        <f t="shared" si="39"/>
        <v>173.60467131840002</v>
      </c>
      <c r="D982">
        <f t="shared" si="40"/>
        <v>353.39532868159995</v>
      </c>
    </row>
    <row r="983" spans="1:4">
      <c r="A983">
        <v>982</v>
      </c>
      <c r="B983">
        <v>647</v>
      </c>
      <c r="C983">
        <f t="shared" si="39"/>
        <v>173.42019014560003</v>
      </c>
      <c r="D983">
        <f t="shared" si="40"/>
        <v>473.57980985439997</v>
      </c>
    </row>
    <row r="984" spans="1:4">
      <c r="A984">
        <v>983</v>
      </c>
      <c r="B984">
        <v>858</v>
      </c>
      <c r="C984">
        <f t="shared" si="39"/>
        <v>173.2352842416</v>
      </c>
      <c r="D984">
        <f t="shared" si="40"/>
        <v>684.76471575840003</v>
      </c>
    </row>
    <row r="985" spans="1:4">
      <c r="A985">
        <v>984</v>
      </c>
      <c r="B985">
        <v>1314</v>
      </c>
      <c r="C985">
        <f t="shared" si="39"/>
        <v>173.04995360640001</v>
      </c>
      <c r="D985">
        <f t="shared" si="40"/>
        <v>1140.9500463935999</v>
      </c>
    </row>
    <row r="986" spans="1:4">
      <c r="A986">
        <v>985</v>
      </c>
      <c r="B986">
        <v>2227</v>
      </c>
      <c r="C986">
        <f t="shared" si="39"/>
        <v>172.86419824000001</v>
      </c>
      <c r="D986">
        <f t="shared" si="40"/>
        <v>2054.13580176</v>
      </c>
    </row>
    <row r="987" spans="1:4">
      <c r="A987">
        <v>986</v>
      </c>
      <c r="B987">
        <v>4293</v>
      </c>
      <c r="C987">
        <f t="shared" si="39"/>
        <v>172.67801814240002</v>
      </c>
      <c r="D987">
        <f t="shared" si="40"/>
        <v>4120.3219818575999</v>
      </c>
    </row>
    <row r="988" spans="1:4">
      <c r="A988">
        <v>987</v>
      </c>
      <c r="B988">
        <v>11236</v>
      </c>
      <c r="C988">
        <f t="shared" si="39"/>
        <v>172.49141331359999</v>
      </c>
      <c r="D988">
        <f t="shared" si="40"/>
        <v>11063.508586686399</v>
      </c>
    </row>
    <row r="989" spans="1:4">
      <c r="A989">
        <v>988</v>
      </c>
      <c r="B989">
        <v>30796</v>
      </c>
      <c r="C989">
        <f t="shared" si="39"/>
        <v>172.30438375360001</v>
      </c>
      <c r="D989">
        <f t="shared" si="40"/>
        <v>30623.695616246401</v>
      </c>
    </row>
    <row r="990" spans="1:4">
      <c r="A990">
        <v>989</v>
      </c>
      <c r="B990">
        <v>32467</v>
      </c>
      <c r="C990">
        <f t="shared" si="39"/>
        <v>172.11692946240001</v>
      </c>
      <c r="D990">
        <f t="shared" si="40"/>
        <v>32294.883070537599</v>
      </c>
    </row>
    <row r="991" spans="1:4">
      <c r="A991">
        <v>990</v>
      </c>
      <c r="B991">
        <v>32766</v>
      </c>
      <c r="C991">
        <f t="shared" si="39"/>
        <v>171.92905044000003</v>
      </c>
      <c r="D991">
        <f t="shared" si="40"/>
        <v>32594.070949559999</v>
      </c>
    </row>
    <row r="992" spans="1:4">
      <c r="A992">
        <v>991</v>
      </c>
      <c r="B992">
        <v>32021</v>
      </c>
      <c r="C992">
        <f t="shared" si="39"/>
        <v>171.7407466864</v>
      </c>
      <c r="D992">
        <f t="shared" si="40"/>
        <v>31849.259253313601</v>
      </c>
    </row>
    <row r="993" spans="1:4">
      <c r="A993">
        <v>992</v>
      </c>
      <c r="B993">
        <v>22888</v>
      </c>
      <c r="C993">
        <f t="shared" si="39"/>
        <v>171.55201820160002</v>
      </c>
      <c r="D993">
        <f t="shared" si="40"/>
        <v>22716.447981798399</v>
      </c>
    </row>
    <row r="994" spans="1:4">
      <c r="A994">
        <v>993</v>
      </c>
      <c r="B994">
        <v>8451</v>
      </c>
      <c r="C994">
        <f t="shared" si="39"/>
        <v>171.3628649856</v>
      </c>
      <c r="D994">
        <f t="shared" si="40"/>
        <v>8279.6371350144</v>
      </c>
    </row>
    <row r="995" spans="1:4">
      <c r="A995">
        <v>994</v>
      </c>
      <c r="B995">
        <v>3965</v>
      </c>
      <c r="C995">
        <f t="shared" si="39"/>
        <v>171.17328703840002</v>
      </c>
      <c r="D995">
        <f t="shared" si="40"/>
        <v>3793.8267129616002</v>
      </c>
    </row>
    <row r="996" spans="1:4">
      <c r="A996">
        <v>995</v>
      </c>
      <c r="B996">
        <v>2763</v>
      </c>
      <c r="C996">
        <f t="shared" si="39"/>
        <v>170.98328436</v>
      </c>
      <c r="D996">
        <f t="shared" si="40"/>
        <v>2592.0167156399998</v>
      </c>
    </row>
    <row r="997" spans="1:4">
      <c r="A997">
        <v>996</v>
      </c>
      <c r="B997">
        <v>2239</v>
      </c>
      <c r="C997">
        <f t="shared" si="39"/>
        <v>170.79285695040002</v>
      </c>
      <c r="D997">
        <f t="shared" si="40"/>
        <v>2068.2071430495998</v>
      </c>
    </row>
    <row r="998" spans="1:4">
      <c r="A998">
        <v>997</v>
      </c>
      <c r="B998">
        <v>2051</v>
      </c>
      <c r="C998">
        <f t="shared" si="39"/>
        <v>170.6020048096</v>
      </c>
      <c r="D998">
        <f t="shared" si="40"/>
        <v>1880.3979951904</v>
      </c>
    </row>
    <row r="999" spans="1:4">
      <c r="A999">
        <v>998</v>
      </c>
      <c r="B999">
        <v>1616</v>
      </c>
      <c r="C999">
        <f t="shared" si="39"/>
        <v>170.41072793760003</v>
      </c>
      <c r="D999">
        <f t="shared" si="40"/>
        <v>1445.5892720623999</v>
      </c>
    </row>
    <row r="1000" spans="1:4">
      <c r="A1000">
        <v>999</v>
      </c>
      <c r="B1000">
        <v>1066</v>
      </c>
      <c r="C1000">
        <f t="shared" si="39"/>
        <v>170.21902633440001</v>
      </c>
      <c r="D1000">
        <f t="shared" si="40"/>
        <v>895.78097366559996</v>
      </c>
    </row>
    <row r="1001" spans="1:4">
      <c r="A1001">
        <v>1000</v>
      </c>
      <c r="B1001">
        <v>686</v>
      </c>
      <c r="C1001">
        <f t="shared" si="39"/>
        <v>170.02690000000001</v>
      </c>
      <c r="D1001">
        <f t="shared" si="40"/>
        <v>515.97309999999993</v>
      </c>
    </row>
    <row r="1002" spans="1:4">
      <c r="A1002">
        <v>1001</v>
      </c>
      <c r="B1002">
        <v>522</v>
      </c>
      <c r="C1002">
        <f t="shared" si="39"/>
        <v>169.83434893440003</v>
      </c>
      <c r="D1002">
        <f t="shared" si="40"/>
        <v>352.16565106559995</v>
      </c>
    </row>
    <row r="1003" spans="1:4">
      <c r="A1003">
        <v>1002</v>
      </c>
      <c r="B1003">
        <v>482</v>
      </c>
      <c r="C1003">
        <f t="shared" si="39"/>
        <v>169.6413731376</v>
      </c>
      <c r="D1003">
        <f t="shared" si="40"/>
        <v>312.3586268624</v>
      </c>
    </row>
    <row r="1004" spans="1:4">
      <c r="A1004">
        <v>1003</v>
      </c>
      <c r="B1004">
        <v>481</v>
      </c>
      <c r="C1004">
        <f t="shared" si="39"/>
        <v>169.44797260959999</v>
      </c>
      <c r="D1004">
        <f t="shared" si="40"/>
        <v>311.55202739039999</v>
      </c>
    </row>
    <row r="1005" spans="1:4">
      <c r="A1005">
        <v>1004</v>
      </c>
      <c r="B1005">
        <v>474</v>
      </c>
      <c r="C1005">
        <f t="shared" si="39"/>
        <v>169.25414735040002</v>
      </c>
      <c r="D1005">
        <f t="shared" si="40"/>
        <v>304.74585264960001</v>
      </c>
    </row>
    <row r="1006" spans="1:4">
      <c r="A1006">
        <v>1005</v>
      </c>
      <c r="B1006">
        <v>461</v>
      </c>
      <c r="C1006">
        <f t="shared" si="39"/>
        <v>169.05989736000001</v>
      </c>
      <c r="D1006">
        <f t="shared" si="40"/>
        <v>291.94010263999996</v>
      </c>
    </row>
    <row r="1007" spans="1:4">
      <c r="A1007">
        <v>1006</v>
      </c>
      <c r="B1007">
        <v>437</v>
      </c>
      <c r="C1007">
        <f t="shared" si="39"/>
        <v>168.86522263840001</v>
      </c>
      <c r="D1007">
        <f t="shared" si="40"/>
        <v>268.13477736159996</v>
      </c>
    </row>
    <row r="1008" spans="1:4">
      <c r="A1008">
        <v>1007</v>
      </c>
      <c r="B1008">
        <v>462</v>
      </c>
      <c r="C1008">
        <f t="shared" si="39"/>
        <v>168.6701231856</v>
      </c>
      <c r="D1008">
        <f t="shared" si="40"/>
        <v>293.3298768144</v>
      </c>
    </row>
    <row r="1009" spans="1:4">
      <c r="A1009">
        <v>1008</v>
      </c>
      <c r="B1009">
        <v>553</v>
      </c>
      <c r="C1009">
        <f t="shared" si="39"/>
        <v>168.47459900160001</v>
      </c>
      <c r="D1009">
        <f t="shared" si="40"/>
        <v>384.52540099839996</v>
      </c>
    </row>
    <row r="1010" spans="1:4">
      <c r="A1010">
        <v>1009</v>
      </c>
      <c r="B1010">
        <v>647</v>
      </c>
      <c r="C1010">
        <f t="shared" si="39"/>
        <v>168.27865008640001</v>
      </c>
      <c r="D1010">
        <f t="shared" si="40"/>
        <v>478.72134991359997</v>
      </c>
    </row>
    <row r="1011" spans="1:4">
      <c r="A1011">
        <v>1010</v>
      </c>
      <c r="B1011">
        <v>581</v>
      </c>
      <c r="C1011">
        <f t="shared" si="39"/>
        <v>168.08227644000002</v>
      </c>
      <c r="D1011">
        <f t="shared" si="40"/>
        <v>412.91772356000001</v>
      </c>
    </row>
    <row r="1012" spans="1:4">
      <c r="A1012">
        <v>1011</v>
      </c>
      <c r="B1012">
        <v>523</v>
      </c>
      <c r="C1012">
        <f t="shared" si="39"/>
        <v>167.88547806239998</v>
      </c>
      <c r="D1012">
        <f t="shared" si="40"/>
        <v>355.11452193759999</v>
      </c>
    </row>
    <row r="1013" spans="1:4">
      <c r="A1013">
        <v>1012</v>
      </c>
      <c r="B1013">
        <v>472</v>
      </c>
      <c r="C1013">
        <f t="shared" si="39"/>
        <v>167.68825495359999</v>
      </c>
      <c r="D1013">
        <f t="shared" si="40"/>
        <v>304.31174504640001</v>
      </c>
    </row>
    <row r="1014" spans="1:4">
      <c r="A1014">
        <v>1013</v>
      </c>
      <c r="B1014">
        <v>451</v>
      </c>
      <c r="C1014">
        <f t="shared" si="39"/>
        <v>167.49060711359999</v>
      </c>
      <c r="D1014">
        <f t="shared" si="40"/>
        <v>283.50939288640001</v>
      </c>
    </row>
    <row r="1015" spans="1:4">
      <c r="A1015">
        <v>1014</v>
      </c>
      <c r="B1015">
        <v>391</v>
      </c>
      <c r="C1015">
        <f t="shared" si="39"/>
        <v>167.29253454240001</v>
      </c>
      <c r="D1015">
        <f t="shared" si="40"/>
        <v>223.70746545759999</v>
      </c>
    </row>
    <row r="1016" spans="1:4">
      <c r="A1016">
        <v>1015</v>
      </c>
      <c r="B1016">
        <v>317</v>
      </c>
      <c r="C1016">
        <f t="shared" si="39"/>
        <v>167.09403724000001</v>
      </c>
      <c r="D1016">
        <f t="shared" si="40"/>
        <v>149.90596275999999</v>
      </c>
    </row>
    <row r="1017" spans="1:4">
      <c r="A1017">
        <v>1016</v>
      </c>
      <c r="B1017">
        <v>302</v>
      </c>
      <c r="C1017">
        <f t="shared" si="39"/>
        <v>166.89511520640002</v>
      </c>
      <c r="D1017">
        <f t="shared" si="40"/>
        <v>135.10488479359998</v>
      </c>
    </row>
    <row r="1018" spans="1:4">
      <c r="A1018">
        <v>1017</v>
      </c>
      <c r="B1018">
        <v>330</v>
      </c>
      <c r="C1018">
        <f t="shared" si="39"/>
        <v>166.69576844159999</v>
      </c>
      <c r="D1018">
        <f t="shared" si="40"/>
        <v>163.30423155840001</v>
      </c>
    </row>
    <row r="1019" spans="1:4">
      <c r="A1019">
        <v>1018</v>
      </c>
      <c r="B1019">
        <v>328</v>
      </c>
      <c r="C1019">
        <f t="shared" si="39"/>
        <v>166.49599694560001</v>
      </c>
      <c r="D1019">
        <f t="shared" si="40"/>
        <v>161.50400305439999</v>
      </c>
    </row>
    <row r="1020" spans="1:4">
      <c r="A1020">
        <v>1019</v>
      </c>
      <c r="B1020">
        <v>292</v>
      </c>
      <c r="C1020">
        <f t="shared" si="39"/>
        <v>166.29580071840002</v>
      </c>
      <c r="D1020">
        <f t="shared" si="40"/>
        <v>125.70419928159998</v>
      </c>
    </row>
    <row r="1021" spans="1:4">
      <c r="A1021">
        <v>1020</v>
      </c>
      <c r="B1021">
        <v>286</v>
      </c>
      <c r="C1021">
        <f t="shared" si="39"/>
        <v>166.09517976000001</v>
      </c>
      <c r="D1021">
        <f t="shared" si="40"/>
        <v>119.90482023999999</v>
      </c>
    </row>
    <row r="1022" spans="1:4">
      <c r="A1022">
        <v>1021</v>
      </c>
      <c r="B1022">
        <v>279</v>
      </c>
      <c r="C1022">
        <f t="shared" si="39"/>
        <v>165.89413407039999</v>
      </c>
      <c r="D1022">
        <f t="shared" si="40"/>
        <v>113.10586592960001</v>
      </c>
    </row>
    <row r="1023" spans="1:4">
      <c r="A1023">
        <v>1022</v>
      </c>
      <c r="B1023">
        <v>282</v>
      </c>
      <c r="C1023">
        <f t="shared" si="39"/>
        <v>165.69266364960001</v>
      </c>
      <c r="D1023">
        <f t="shared" si="40"/>
        <v>116.30733635039999</v>
      </c>
    </row>
    <row r="1024" spans="1:4">
      <c r="A1024">
        <v>1023</v>
      </c>
      <c r="B1024">
        <v>286</v>
      </c>
      <c r="C1024">
        <f t="shared" si="39"/>
        <v>165.49076849759999</v>
      </c>
      <c r="D1024">
        <f t="shared" si="40"/>
        <v>120.50923150240001</v>
      </c>
    </row>
    <row r="1025" spans="1:4">
      <c r="A1025">
        <v>1024</v>
      </c>
      <c r="B1025">
        <v>309</v>
      </c>
      <c r="C1025">
        <f t="shared" si="39"/>
        <v>165.28844861440001</v>
      </c>
      <c r="D1025">
        <f t="shared" si="40"/>
        <v>143.71155138559999</v>
      </c>
    </row>
    <row r="1026" spans="1:4">
      <c r="A1026">
        <v>1025</v>
      </c>
      <c r="B1026">
        <v>327</v>
      </c>
      <c r="C1026">
        <f t="shared" ref="C1026:C1089" si="41" xml:space="preserve"> -0.0002123656*A1026*A1026 + 0.2323925*A1026 + 150</f>
        <v>165.08570400000002</v>
      </c>
      <c r="D1026">
        <f t="shared" ref="D1026:D1089" si="42">B1026-C1026</f>
        <v>161.91429599999998</v>
      </c>
    </row>
    <row r="1027" spans="1:4">
      <c r="A1027">
        <v>1026</v>
      </c>
      <c r="B1027">
        <v>312</v>
      </c>
      <c r="C1027">
        <f t="shared" si="41"/>
        <v>164.88253465440002</v>
      </c>
      <c r="D1027">
        <f t="shared" si="42"/>
        <v>147.11746534559998</v>
      </c>
    </row>
    <row r="1028" spans="1:4">
      <c r="A1028">
        <v>1027</v>
      </c>
      <c r="B1028">
        <v>315</v>
      </c>
      <c r="C1028">
        <f t="shared" si="41"/>
        <v>164.67894057760003</v>
      </c>
      <c r="D1028">
        <f t="shared" si="42"/>
        <v>150.32105942239997</v>
      </c>
    </row>
    <row r="1029" spans="1:4">
      <c r="A1029">
        <v>1028</v>
      </c>
      <c r="B1029">
        <v>285</v>
      </c>
      <c r="C1029">
        <f t="shared" si="41"/>
        <v>164.47492176960003</v>
      </c>
      <c r="D1029">
        <f t="shared" si="42"/>
        <v>120.52507823039997</v>
      </c>
    </row>
    <row r="1030" spans="1:4">
      <c r="A1030">
        <v>1029</v>
      </c>
      <c r="B1030">
        <v>281</v>
      </c>
      <c r="C1030">
        <f t="shared" si="41"/>
        <v>164.27047823040002</v>
      </c>
      <c r="D1030">
        <f t="shared" si="42"/>
        <v>116.72952176959998</v>
      </c>
    </row>
    <row r="1031" spans="1:4">
      <c r="A1031">
        <v>1030</v>
      </c>
      <c r="B1031">
        <v>284</v>
      </c>
      <c r="C1031">
        <f t="shared" si="41"/>
        <v>164.06560995999999</v>
      </c>
      <c r="D1031">
        <f t="shared" si="42"/>
        <v>119.93439004000001</v>
      </c>
    </row>
    <row r="1032" spans="1:4">
      <c r="A1032">
        <v>1031</v>
      </c>
      <c r="B1032">
        <v>381</v>
      </c>
      <c r="C1032">
        <f t="shared" si="41"/>
        <v>163.86031695840001</v>
      </c>
      <c r="D1032">
        <f t="shared" si="42"/>
        <v>217.13968304159999</v>
      </c>
    </row>
    <row r="1033" spans="1:4">
      <c r="A1033">
        <v>1032</v>
      </c>
      <c r="B1033">
        <v>495</v>
      </c>
      <c r="C1033">
        <f t="shared" si="41"/>
        <v>163.65459922560001</v>
      </c>
      <c r="D1033">
        <f t="shared" si="42"/>
        <v>331.34540077439999</v>
      </c>
    </row>
    <row r="1034" spans="1:4">
      <c r="A1034">
        <v>1033</v>
      </c>
      <c r="B1034">
        <v>631</v>
      </c>
      <c r="C1034">
        <f t="shared" si="41"/>
        <v>163.44845676160003</v>
      </c>
      <c r="D1034">
        <f t="shared" si="42"/>
        <v>467.55154323839997</v>
      </c>
    </row>
    <row r="1035" spans="1:4">
      <c r="A1035">
        <v>1034</v>
      </c>
      <c r="B1035">
        <v>941</v>
      </c>
      <c r="C1035">
        <f t="shared" si="41"/>
        <v>163.2418895664</v>
      </c>
      <c r="D1035">
        <f t="shared" si="42"/>
        <v>777.7581104336</v>
      </c>
    </row>
    <row r="1036" spans="1:4">
      <c r="A1036">
        <v>1035</v>
      </c>
      <c r="B1036">
        <v>1696</v>
      </c>
      <c r="C1036">
        <f t="shared" si="41"/>
        <v>163.03489764000003</v>
      </c>
      <c r="D1036">
        <f t="shared" si="42"/>
        <v>1532.9651023599999</v>
      </c>
    </row>
    <row r="1037" spans="1:4">
      <c r="A1037">
        <v>1036</v>
      </c>
      <c r="B1037">
        <v>3609</v>
      </c>
      <c r="C1037">
        <f t="shared" si="41"/>
        <v>162.8274809824</v>
      </c>
      <c r="D1037">
        <f t="shared" si="42"/>
        <v>3446.1725190175998</v>
      </c>
    </row>
    <row r="1038" spans="1:4">
      <c r="A1038">
        <v>1037</v>
      </c>
      <c r="B1038">
        <v>9102</v>
      </c>
      <c r="C1038">
        <f t="shared" si="41"/>
        <v>162.61963959360003</v>
      </c>
      <c r="D1038">
        <f t="shared" si="42"/>
        <v>8939.3803604063996</v>
      </c>
    </row>
    <row r="1039" spans="1:4">
      <c r="A1039">
        <v>1038</v>
      </c>
      <c r="B1039">
        <v>26869</v>
      </c>
      <c r="C1039">
        <f t="shared" si="41"/>
        <v>162.41137347360001</v>
      </c>
      <c r="D1039">
        <f t="shared" si="42"/>
        <v>26706.588626526402</v>
      </c>
    </row>
    <row r="1040" spans="1:4">
      <c r="A1040">
        <v>1039</v>
      </c>
      <c r="B1040">
        <v>31962</v>
      </c>
      <c r="C1040">
        <f t="shared" si="41"/>
        <v>162.2026826224</v>
      </c>
      <c r="D1040">
        <f t="shared" si="42"/>
        <v>31799.797317377601</v>
      </c>
    </row>
    <row r="1041" spans="1:4">
      <c r="A1041">
        <v>1040</v>
      </c>
      <c r="B1041">
        <v>32191</v>
      </c>
      <c r="C1041">
        <f t="shared" si="41"/>
        <v>161.99356703999999</v>
      </c>
      <c r="D1041">
        <f t="shared" si="42"/>
        <v>32029.006432959999</v>
      </c>
    </row>
    <row r="1042" spans="1:4">
      <c r="A1042">
        <v>1041</v>
      </c>
      <c r="B1042">
        <v>31754</v>
      </c>
      <c r="C1042">
        <f t="shared" si="41"/>
        <v>161.78402672640001</v>
      </c>
      <c r="D1042">
        <f t="shared" si="42"/>
        <v>31592.2159732736</v>
      </c>
    </row>
    <row r="1043" spans="1:4">
      <c r="A1043">
        <v>1042</v>
      </c>
      <c r="B1043">
        <v>19685</v>
      </c>
      <c r="C1043">
        <f t="shared" si="41"/>
        <v>161.5740616816</v>
      </c>
      <c r="D1043">
        <f t="shared" si="42"/>
        <v>19523.4259383184</v>
      </c>
    </row>
    <row r="1044" spans="1:4">
      <c r="A1044">
        <v>1043</v>
      </c>
      <c r="B1044">
        <v>7046</v>
      </c>
      <c r="C1044">
        <f t="shared" si="41"/>
        <v>161.36367190560003</v>
      </c>
      <c r="D1044">
        <f t="shared" si="42"/>
        <v>6884.6363280943997</v>
      </c>
    </row>
    <row r="1045" spans="1:4">
      <c r="A1045">
        <v>1044</v>
      </c>
      <c r="B1045">
        <v>2728</v>
      </c>
      <c r="C1045">
        <f t="shared" si="41"/>
        <v>161.15285739840002</v>
      </c>
      <c r="D1045">
        <f t="shared" si="42"/>
        <v>2566.8471426015999</v>
      </c>
    </row>
    <row r="1046" spans="1:4">
      <c r="A1046">
        <v>1045</v>
      </c>
      <c r="B1046">
        <v>1487</v>
      </c>
      <c r="C1046">
        <f t="shared" si="41"/>
        <v>160.94161816000002</v>
      </c>
      <c r="D1046">
        <f t="shared" si="42"/>
        <v>1326.05838184</v>
      </c>
    </row>
    <row r="1047" spans="1:4">
      <c r="A1047">
        <v>1046</v>
      </c>
      <c r="B1047">
        <v>1016</v>
      </c>
      <c r="C1047">
        <f t="shared" si="41"/>
        <v>160.72995419040001</v>
      </c>
      <c r="D1047">
        <f t="shared" si="42"/>
        <v>855.27004580959999</v>
      </c>
    </row>
    <row r="1048" spans="1:4">
      <c r="A1048">
        <v>1047</v>
      </c>
      <c r="B1048">
        <v>740</v>
      </c>
      <c r="C1048">
        <f t="shared" si="41"/>
        <v>160.51786548960001</v>
      </c>
      <c r="D1048">
        <f t="shared" si="42"/>
        <v>579.48213451039999</v>
      </c>
    </row>
    <row r="1049" spans="1:4">
      <c r="A1049">
        <v>1048</v>
      </c>
      <c r="B1049">
        <v>567</v>
      </c>
      <c r="C1049">
        <f t="shared" si="41"/>
        <v>160.3053520576</v>
      </c>
      <c r="D1049">
        <f t="shared" si="42"/>
        <v>406.69464794240002</v>
      </c>
    </row>
    <row r="1050" spans="1:4">
      <c r="A1050">
        <v>1049</v>
      </c>
      <c r="B1050">
        <v>451</v>
      </c>
      <c r="C1050">
        <f t="shared" si="41"/>
        <v>160.09241389440001</v>
      </c>
      <c r="D1050">
        <f t="shared" si="42"/>
        <v>290.90758610559999</v>
      </c>
    </row>
    <row r="1051" spans="1:4">
      <c r="A1051">
        <v>1050</v>
      </c>
      <c r="B1051">
        <v>398</v>
      </c>
      <c r="C1051">
        <f t="shared" si="41"/>
        <v>159.879051</v>
      </c>
      <c r="D1051">
        <f t="shared" si="42"/>
        <v>238.120949</v>
      </c>
    </row>
    <row r="1052" spans="1:4">
      <c r="A1052">
        <v>1051</v>
      </c>
      <c r="B1052">
        <v>401</v>
      </c>
      <c r="C1052">
        <f t="shared" si="41"/>
        <v>159.66526337440001</v>
      </c>
      <c r="D1052">
        <f t="shared" si="42"/>
        <v>241.33473662559999</v>
      </c>
    </row>
    <row r="1053" spans="1:4">
      <c r="A1053">
        <v>1052</v>
      </c>
      <c r="B1053">
        <v>407</v>
      </c>
      <c r="C1053">
        <f t="shared" si="41"/>
        <v>159.45105101760001</v>
      </c>
      <c r="D1053">
        <f t="shared" si="42"/>
        <v>247.54894898239999</v>
      </c>
    </row>
    <row r="1054" spans="1:4">
      <c r="A1054">
        <v>1053</v>
      </c>
      <c r="B1054">
        <v>371</v>
      </c>
      <c r="C1054">
        <f t="shared" si="41"/>
        <v>159.23641392960002</v>
      </c>
      <c r="D1054">
        <f t="shared" si="42"/>
        <v>211.76358607039998</v>
      </c>
    </row>
    <row r="1055" spans="1:4">
      <c r="A1055">
        <v>1054</v>
      </c>
      <c r="B1055">
        <v>342</v>
      </c>
      <c r="C1055">
        <f t="shared" si="41"/>
        <v>159.02135211040002</v>
      </c>
      <c r="D1055">
        <f t="shared" si="42"/>
        <v>182.97864788959998</v>
      </c>
    </row>
    <row r="1056" spans="1:4">
      <c r="A1056">
        <v>1055</v>
      </c>
      <c r="B1056">
        <v>332</v>
      </c>
      <c r="C1056">
        <f t="shared" si="41"/>
        <v>158.80586556000003</v>
      </c>
      <c r="D1056">
        <f t="shared" si="42"/>
        <v>173.19413443999997</v>
      </c>
    </row>
    <row r="1057" spans="1:4">
      <c r="A1057">
        <v>1056</v>
      </c>
      <c r="B1057">
        <v>337</v>
      </c>
      <c r="C1057">
        <f t="shared" si="41"/>
        <v>158.5899542784</v>
      </c>
      <c r="D1057">
        <f t="shared" si="42"/>
        <v>178.4100457216</v>
      </c>
    </row>
    <row r="1058" spans="1:4">
      <c r="A1058">
        <v>1057</v>
      </c>
      <c r="B1058">
        <v>313</v>
      </c>
      <c r="C1058">
        <f t="shared" si="41"/>
        <v>158.37361826560002</v>
      </c>
      <c r="D1058">
        <f t="shared" si="42"/>
        <v>154.62638173439998</v>
      </c>
    </row>
    <row r="1059" spans="1:4">
      <c r="A1059">
        <v>1058</v>
      </c>
      <c r="B1059">
        <v>316</v>
      </c>
      <c r="C1059">
        <f t="shared" si="41"/>
        <v>158.15685752159999</v>
      </c>
      <c r="D1059">
        <f t="shared" si="42"/>
        <v>157.84314247840001</v>
      </c>
    </row>
    <row r="1060" spans="1:4">
      <c r="A1060">
        <v>1059</v>
      </c>
      <c r="B1060">
        <v>325</v>
      </c>
      <c r="C1060">
        <f t="shared" si="41"/>
        <v>157.93967204640001</v>
      </c>
      <c r="D1060">
        <f t="shared" si="42"/>
        <v>167.06032795359999</v>
      </c>
    </row>
    <row r="1061" spans="1:4">
      <c r="A1061">
        <v>1060</v>
      </c>
      <c r="B1061">
        <v>329</v>
      </c>
      <c r="C1061">
        <f t="shared" si="41"/>
        <v>157.72206184000001</v>
      </c>
      <c r="D1061">
        <f t="shared" si="42"/>
        <v>171.27793815999999</v>
      </c>
    </row>
    <row r="1062" spans="1:4">
      <c r="A1062">
        <v>1061</v>
      </c>
      <c r="B1062">
        <v>332</v>
      </c>
      <c r="C1062">
        <f t="shared" si="41"/>
        <v>157.50402690240003</v>
      </c>
      <c r="D1062">
        <f t="shared" si="42"/>
        <v>174.49597309759997</v>
      </c>
    </row>
    <row r="1063" spans="1:4">
      <c r="A1063">
        <v>1062</v>
      </c>
      <c r="B1063">
        <v>360</v>
      </c>
      <c r="C1063">
        <f t="shared" si="41"/>
        <v>157.28556723360001</v>
      </c>
      <c r="D1063">
        <f t="shared" si="42"/>
        <v>202.71443276639999</v>
      </c>
    </row>
    <row r="1064" spans="1:4">
      <c r="A1064">
        <v>1063</v>
      </c>
      <c r="B1064">
        <v>441</v>
      </c>
      <c r="C1064">
        <f t="shared" si="41"/>
        <v>157.06668283360003</v>
      </c>
      <c r="D1064">
        <f t="shared" si="42"/>
        <v>283.9333171664</v>
      </c>
    </row>
    <row r="1065" spans="1:4">
      <c r="A1065">
        <v>1064</v>
      </c>
      <c r="B1065">
        <v>563</v>
      </c>
      <c r="C1065">
        <f t="shared" si="41"/>
        <v>156.84737370240001</v>
      </c>
      <c r="D1065">
        <f t="shared" si="42"/>
        <v>406.15262629760002</v>
      </c>
    </row>
    <row r="1066" spans="1:4">
      <c r="A1066">
        <v>1065</v>
      </c>
      <c r="B1066">
        <v>762</v>
      </c>
      <c r="C1066">
        <f t="shared" si="41"/>
        <v>156.62763984000003</v>
      </c>
      <c r="D1066">
        <f t="shared" si="42"/>
        <v>605.37236015999997</v>
      </c>
    </row>
    <row r="1067" spans="1:4">
      <c r="A1067">
        <v>1066</v>
      </c>
      <c r="B1067">
        <v>1300</v>
      </c>
      <c r="C1067">
        <f t="shared" si="41"/>
        <v>156.40748124639998</v>
      </c>
      <c r="D1067">
        <f t="shared" si="42"/>
        <v>1143.5925187536</v>
      </c>
    </row>
    <row r="1068" spans="1:4">
      <c r="A1068">
        <v>1067</v>
      </c>
      <c r="B1068">
        <v>2821</v>
      </c>
      <c r="C1068">
        <f t="shared" si="41"/>
        <v>156.18689792160001</v>
      </c>
      <c r="D1068">
        <f t="shared" si="42"/>
        <v>2664.8131020783999</v>
      </c>
    </row>
    <row r="1069" spans="1:4">
      <c r="A1069">
        <v>1068</v>
      </c>
      <c r="B1069">
        <v>5097</v>
      </c>
      <c r="C1069">
        <f t="shared" si="41"/>
        <v>155.96588986559999</v>
      </c>
      <c r="D1069">
        <f t="shared" si="42"/>
        <v>4941.0341101344002</v>
      </c>
    </row>
    <row r="1070" spans="1:4">
      <c r="A1070">
        <v>1069</v>
      </c>
      <c r="B1070">
        <v>10144</v>
      </c>
      <c r="C1070">
        <f t="shared" si="41"/>
        <v>155.74445707840002</v>
      </c>
      <c r="D1070">
        <f t="shared" si="42"/>
        <v>9988.2555429216009</v>
      </c>
    </row>
    <row r="1071" spans="1:4">
      <c r="A1071">
        <v>1070</v>
      </c>
      <c r="B1071">
        <v>26467</v>
      </c>
      <c r="C1071">
        <f t="shared" si="41"/>
        <v>155.52259956</v>
      </c>
      <c r="D1071">
        <f t="shared" si="42"/>
        <v>26311.477400439999</v>
      </c>
    </row>
    <row r="1072" spans="1:4">
      <c r="A1072">
        <v>1071</v>
      </c>
      <c r="B1072">
        <v>31758</v>
      </c>
      <c r="C1072">
        <f t="shared" si="41"/>
        <v>155.30031731040003</v>
      </c>
      <c r="D1072">
        <f t="shared" si="42"/>
        <v>31602.699682689599</v>
      </c>
    </row>
    <row r="1073" spans="1:4">
      <c r="A1073">
        <v>1072</v>
      </c>
      <c r="B1073">
        <v>31743</v>
      </c>
      <c r="C1073">
        <f t="shared" si="41"/>
        <v>155.07761032960002</v>
      </c>
      <c r="D1073">
        <f t="shared" si="42"/>
        <v>31587.922389670399</v>
      </c>
    </row>
    <row r="1074" spans="1:4">
      <c r="A1074">
        <v>1073</v>
      </c>
      <c r="B1074">
        <v>27940</v>
      </c>
      <c r="C1074">
        <f t="shared" si="41"/>
        <v>154.85447861760002</v>
      </c>
      <c r="D1074">
        <f t="shared" si="42"/>
        <v>27785.145521382401</v>
      </c>
    </row>
    <row r="1075" spans="1:4">
      <c r="A1075">
        <v>1074</v>
      </c>
      <c r="B1075">
        <v>13079</v>
      </c>
      <c r="C1075">
        <f t="shared" si="41"/>
        <v>154.63092217440001</v>
      </c>
      <c r="D1075">
        <f t="shared" si="42"/>
        <v>12924.3690778256</v>
      </c>
    </row>
    <row r="1076" spans="1:4">
      <c r="A1076">
        <v>1075</v>
      </c>
      <c r="B1076">
        <v>4806</v>
      </c>
      <c r="C1076">
        <f t="shared" si="41"/>
        <v>154.40694100000002</v>
      </c>
      <c r="D1076">
        <f t="shared" si="42"/>
        <v>4651.5930589999998</v>
      </c>
    </row>
    <row r="1077" spans="1:4">
      <c r="A1077">
        <v>1076</v>
      </c>
      <c r="B1077">
        <v>1984</v>
      </c>
      <c r="C1077">
        <f t="shared" si="41"/>
        <v>154.18253509439998</v>
      </c>
      <c r="D1077">
        <f t="shared" si="42"/>
        <v>1829.8174649056</v>
      </c>
    </row>
    <row r="1078" spans="1:4">
      <c r="A1078">
        <v>1077</v>
      </c>
      <c r="B1078">
        <v>1095</v>
      </c>
      <c r="C1078">
        <f t="shared" si="41"/>
        <v>153.95770445760002</v>
      </c>
      <c r="D1078">
        <f t="shared" si="42"/>
        <v>941.04229554239998</v>
      </c>
    </row>
    <row r="1079" spans="1:4">
      <c r="A1079">
        <v>1078</v>
      </c>
      <c r="B1079">
        <v>796</v>
      </c>
      <c r="C1079">
        <f t="shared" si="41"/>
        <v>153.73244908960001</v>
      </c>
      <c r="D1079">
        <f t="shared" si="42"/>
        <v>642.26755091040002</v>
      </c>
    </row>
    <row r="1080" spans="1:4">
      <c r="A1080">
        <v>1079</v>
      </c>
      <c r="B1080">
        <v>614</v>
      </c>
      <c r="C1080">
        <f t="shared" si="41"/>
        <v>153.50676899040002</v>
      </c>
      <c r="D1080">
        <f t="shared" si="42"/>
        <v>460.49323100959998</v>
      </c>
    </row>
    <row r="1081" spans="1:4">
      <c r="A1081">
        <v>1080</v>
      </c>
      <c r="B1081">
        <v>544</v>
      </c>
      <c r="C1081">
        <f t="shared" si="41"/>
        <v>153.28066416000001</v>
      </c>
      <c r="D1081">
        <f t="shared" si="42"/>
        <v>390.71933583999999</v>
      </c>
    </row>
    <row r="1082" spans="1:4">
      <c r="A1082">
        <v>1081</v>
      </c>
      <c r="B1082">
        <v>443</v>
      </c>
      <c r="C1082">
        <f t="shared" si="41"/>
        <v>153.05413459840003</v>
      </c>
      <c r="D1082">
        <f t="shared" si="42"/>
        <v>289.94586540159997</v>
      </c>
    </row>
    <row r="1083" spans="1:4">
      <c r="A1083">
        <v>1082</v>
      </c>
      <c r="B1083">
        <v>384</v>
      </c>
      <c r="C1083">
        <f t="shared" si="41"/>
        <v>152.82718030560002</v>
      </c>
      <c r="D1083">
        <f t="shared" si="42"/>
        <v>231.17281969439998</v>
      </c>
    </row>
    <row r="1084" spans="1:4">
      <c r="A1084">
        <v>1083</v>
      </c>
      <c r="B1084">
        <v>355</v>
      </c>
      <c r="C1084">
        <f t="shared" si="41"/>
        <v>152.59980128160004</v>
      </c>
      <c r="D1084">
        <f t="shared" si="42"/>
        <v>202.40019871839996</v>
      </c>
    </row>
    <row r="1085" spans="1:4">
      <c r="A1085">
        <v>1084</v>
      </c>
      <c r="B1085">
        <v>355</v>
      </c>
      <c r="C1085">
        <f t="shared" si="41"/>
        <v>152.37199752639998</v>
      </c>
      <c r="D1085">
        <f t="shared" si="42"/>
        <v>202.62800247360002</v>
      </c>
    </row>
    <row r="1086" spans="1:4">
      <c r="A1086">
        <v>1085</v>
      </c>
      <c r="B1086">
        <v>359</v>
      </c>
      <c r="C1086">
        <f t="shared" si="41"/>
        <v>152.14376904</v>
      </c>
      <c r="D1086">
        <f t="shared" si="42"/>
        <v>206.85623096</v>
      </c>
    </row>
    <row r="1087" spans="1:4">
      <c r="A1087">
        <v>1086</v>
      </c>
      <c r="B1087">
        <v>368</v>
      </c>
      <c r="C1087">
        <f t="shared" si="41"/>
        <v>151.9151158224</v>
      </c>
      <c r="D1087">
        <f t="shared" si="42"/>
        <v>216.0848841776</v>
      </c>
    </row>
    <row r="1088" spans="1:4">
      <c r="A1088">
        <v>1087</v>
      </c>
      <c r="B1088">
        <v>333</v>
      </c>
      <c r="C1088">
        <f t="shared" si="41"/>
        <v>151.68603787360001</v>
      </c>
      <c r="D1088">
        <f t="shared" si="42"/>
        <v>181.31396212639999</v>
      </c>
    </row>
    <row r="1089" spans="1:7">
      <c r="A1089">
        <v>1088</v>
      </c>
      <c r="B1089">
        <v>310</v>
      </c>
      <c r="C1089">
        <f t="shared" si="41"/>
        <v>151.45653519359999</v>
      </c>
      <c r="D1089">
        <f t="shared" si="42"/>
        <v>158.54346480640001</v>
      </c>
    </row>
    <row r="1090" spans="1:7">
      <c r="A1090">
        <v>1089</v>
      </c>
      <c r="B1090">
        <v>334</v>
      </c>
      <c r="C1090">
        <f t="shared" ref="C1090:C1153" si="43" xml:space="preserve"> -0.0002123656*A1090*A1090 + 0.2323925*A1090 + 150</f>
        <v>151.22660778240001</v>
      </c>
      <c r="D1090">
        <f t="shared" ref="D1090:D1153" si="44">B1090-C1090</f>
        <v>182.77339221759999</v>
      </c>
    </row>
    <row r="1091" spans="1:7">
      <c r="A1091">
        <v>1090</v>
      </c>
      <c r="B1091">
        <v>436</v>
      </c>
      <c r="C1091">
        <f t="shared" si="43"/>
        <v>150.99625564000002</v>
      </c>
      <c r="D1091">
        <f t="shared" si="44"/>
        <v>285.00374435999998</v>
      </c>
    </row>
    <row r="1092" spans="1:7">
      <c r="A1092">
        <v>1091</v>
      </c>
      <c r="B1092">
        <v>739</v>
      </c>
      <c r="C1092">
        <f t="shared" si="43"/>
        <v>150.76547876640004</v>
      </c>
      <c r="D1092">
        <f t="shared" si="44"/>
        <v>588.23452123359993</v>
      </c>
    </row>
    <row r="1093" spans="1:7">
      <c r="A1093">
        <v>1092</v>
      </c>
      <c r="B1093">
        <v>1272</v>
      </c>
      <c r="C1093">
        <f t="shared" si="43"/>
        <v>150.53427716160002</v>
      </c>
      <c r="D1093">
        <f t="shared" si="44"/>
        <v>1121.4657228383999</v>
      </c>
    </row>
    <row r="1094" spans="1:7">
      <c r="A1094">
        <v>1093</v>
      </c>
      <c r="B1094">
        <v>1711</v>
      </c>
      <c r="C1094">
        <f t="shared" si="43"/>
        <v>150.30265082560001</v>
      </c>
      <c r="D1094">
        <f t="shared" si="44"/>
        <v>1560.6973491744</v>
      </c>
    </row>
    <row r="1095" spans="1:7">
      <c r="A1095">
        <v>1094</v>
      </c>
      <c r="B1095">
        <v>1878</v>
      </c>
      <c r="C1095">
        <f t="shared" si="43"/>
        <v>150.07059975839999</v>
      </c>
      <c r="D1095">
        <f t="shared" si="44"/>
        <v>1727.9294002416</v>
      </c>
    </row>
    <row r="1096" spans="1:7">
      <c r="A1096">
        <v>1095</v>
      </c>
      <c r="B1096">
        <v>2606</v>
      </c>
      <c r="C1096">
        <f t="shared" si="43"/>
        <v>149.83812396000002</v>
      </c>
      <c r="D1096">
        <f t="shared" si="44"/>
        <v>2456.1618760400002</v>
      </c>
    </row>
    <row r="1097" spans="1:7">
      <c r="A1097">
        <v>1096</v>
      </c>
      <c r="B1097">
        <v>6969</v>
      </c>
      <c r="C1097">
        <f t="shared" si="43"/>
        <v>149.6052234304</v>
      </c>
      <c r="D1097">
        <f t="shared" si="44"/>
        <v>6819.3947765696003</v>
      </c>
    </row>
    <row r="1098" spans="1:7">
      <c r="A1098">
        <v>1097</v>
      </c>
      <c r="B1098">
        <v>16771</v>
      </c>
      <c r="C1098">
        <f t="shared" si="43"/>
        <v>149.3718981696</v>
      </c>
      <c r="D1098">
        <f t="shared" si="44"/>
        <v>16621.6281018304</v>
      </c>
    </row>
    <row r="1099" spans="1:7" ht="17.25">
      <c r="A1099">
        <v>1098</v>
      </c>
      <c r="B1099">
        <v>22500</v>
      </c>
      <c r="C1099">
        <f t="shared" si="43"/>
        <v>149.13814817759999</v>
      </c>
      <c r="D1099">
        <f t="shared" si="44"/>
        <v>22350.861851822399</v>
      </c>
      <c r="F1099">
        <v>1098</v>
      </c>
      <c r="G1099" t="s">
        <v>29</v>
      </c>
    </row>
    <row r="1100" spans="1:7">
      <c r="A1100">
        <v>1099</v>
      </c>
      <c r="B1100">
        <v>18223</v>
      </c>
      <c r="C1100">
        <f t="shared" si="43"/>
        <v>148.90397345440005</v>
      </c>
      <c r="D1100">
        <f t="shared" si="44"/>
        <v>18074.096026545601</v>
      </c>
    </row>
    <row r="1101" spans="1:7">
      <c r="A1101">
        <v>1100</v>
      </c>
      <c r="B1101">
        <v>9339</v>
      </c>
      <c r="C1101">
        <f t="shared" si="43"/>
        <v>148.669374</v>
      </c>
      <c r="D1101">
        <f t="shared" si="44"/>
        <v>9190.3306260000008</v>
      </c>
    </row>
    <row r="1102" spans="1:7">
      <c r="A1102">
        <v>1101</v>
      </c>
      <c r="B1102">
        <v>3643</v>
      </c>
      <c r="C1102">
        <f t="shared" si="43"/>
        <v>148.43434981440004</v>
      </c>
      <c r="D1102">
        <f t="shared" si="44"/>
        <v>3494.5656501856001</v>
      </c>
    </row>
    <row r="1103" spans="1:7">
      <c r="A1103">
        <v>1102</v>
      </c>
      <c r="B1103">
        <v>1550</v>
      </c>
      <c r="C1103">
        <f t="shared" si="43"/>
        <v>148.19890089760003</v>
      </c>
      <c r="D1103">
        <f t="shared" si="44"/>
        <v>1401.8010991024</v>
      </c>
    </row>
    <row r="1104" spans="1:7">
      <c r="A1104">
        <v>1103</v>
      </c>
      <c r="B1104">
        <v>782</v>
      </c>
      <c r="C1104">
        <f t="shared" si="43"/>
        <v>147.96302724960003</v>
      </c>
      <c r="D1104">
        <f t="shared" si="44"/>
        <v>634.03697275039997</v>
      </c>
    </row>
    <row r="1105" spans="1:4">
      <c r="A1105">
        <v>1104</v>
      </c>
      <c r="B1105">
        <v>640</v>
      </c>
      <c r="C1105">
        <f t="shared" si="43"/>
        <v>147.7267288704</v>
      </c>
      <c r="D1105">
        <f t="shared" si="44"/>
        <v>492.2732711296</v>
      </c>
    </row>
    <row r="1106" spans="1:4">
      <c r="A1106">
        <v>1105</v>
      </c>
      <c r="B1106">
        <v>691</v>
      </c>
      <c r="C1106">
        <f t="shared" si="43"/>
        <v>147.49000576000003</v>
      </c>
      <c r="D1106">
        <f t="shared" si="44"/>
        <v>543.50999423999997</v>
      </c>
    </row>
    <row r="1107" spans="1:4">
      <c r="A1107">
        <v>1106</v>
      </c>
      <c r="B1107">
        <v>674</v>
      </c>
      <c r="C1107">
        <f t="shared" si="43"/>
        <v>147.25285791840003</v>
      </c>
      <c r="D1107">
        <f t="shared" si="44"/>
        <v>526.74714208160003</v>
      </c>
    </row>
    <row r="1108" spans="1:4">
      <c r="A1108">
        <v>1107</v>
      </c>
      <c r="B1108">
        <v>543</v>
      </c>
      <c r="C1108">
        <f t="shared" si="43"/>
        <v>147.01528534559998</v>
      </c>
      <c r="D1108">
        <f t="shared" si="44"/>
        <v>395.98471465440002</v>
      </c>
    </row>
    <row r="1109" spans="1:4">
      <c r="A1109">
        <v>1108</v>
      </c>
      <c r="B1109">
        <v>404</v>
      </c>
      <c r="C1109">
        <f t="shared" si="43"/>
        <v>146.7772880416</v>
      </c>
      <c r="D1109">
        <f t="shared" si="44"/>
        <v>257.2227119584</v>
      </c>
    </row>
    <row r="1110" spans="1:4">
      <c r="A1110">
        <v>1109</v>
      </c>
      <c r="B1110">
        <v>316</v>
      </c>
      <c r="C1110">
        <f t="shared" si="43"/>
        <v>146.53886600639999</v>
      </c>
      <c r="D1110">
        <f t="shared" si="44"/>
        <v>169.46113399360001</v>
      </c>
    </row>
    <row r="1111" spans="1:4">
      <c r="A1111">
        <v>1110</v>
      </c>
      <c r="B1111">
        <v>257</v>
      </c>
      <c r="C1111">
        <f t="shared" si="43"/>
        <v>146.30001923999998</v>
      </c>
      <c r="D1111">
        <f t="shared" si="44"/>
        <v>110.69998076000002</v>
      </c>
    </row>
    <row r="1112" spans="1:4">
      <c r="A1112">
        <v>1111</v>
      </c>
      <c r="B1112">
        <v>245</v>
      </c>
      <c r="C1112">
        <f t="shared" si="43"/>
        <v>146.0607477424</v>
      </c>
      <c r="D1112">
        <f t="shared" si="44"/>
        <v>98.939252257600003</v>
      </c>
    </row>
    <row r="1113" spans="1:4">
      <c r="A1113">
        <v>1112</v>
      </c>
      <c r="B1113">
        <v>220</v>
      </c>
      <c r="C1113">
        <f t="shared" si="43"/>
        <v>145.82105151360003</v>
      </c>
      <c r="D1113">
        <f t="shared" si="44"/>
        <v>74.178948486399975</v>
      </c>
    </row>
    <row r="1114" spans="1:4">
      <c r="A1114">
        <v>1113</v>
      </c>
      <c r="B1114">
        <v>232</v>
      </c>
      <c r="C1114">
        <f t="shared" si="43"/>
        <v>145.58093055360001</v>
      </c>
      <c r="D1114">
        <f t="shared" si="44"/>
        <v>86.419069446399988</v>
      </c>
    </row>
    <row r="1115" spans="1:4">
      <c r="A1115">
        <v>1114</v>
      </c>
      <c r="B1115">
        <v>250</v>
      </c>
      <c r="C1115">
        <f t="shared" si="43"/>
        <v>145.34038486240001</v>
      </c>
      <c r="D1115">
        <f t="shared" si="44"/>
        <v>104.65961513759999</v>
      </c>
    </row>
    <row r="1116" spans="1:4">
      <c r="A1116">
        <v>1115</v>
      </c>
      <c r="B1116">
        <v>247</v>
      </c>
      <c r="C1116">
        <f t="shared" si="43"/>
        <v>145.09941444000003</v>
      </c>
      <c r="D1116">
        <f t="shared" si="44"/>
        <v>101.90058555999997</v>
      </c>
    </row>
    <row r="1117" spans="1:4">
      <c r="A1117">
        <v>1116</v>
      </c>
      <c r="B1117">
        <v>214</v>
      </c>
      <c r="C1117">
        <f t="shared" si="43"/>
        <v>144.85801928640001</v>
      </c>
      <c r="D1117">
        <f t="shared" si="44"/>
        <v>69.141980713599992</v>
      </c>
    </row>
    <row r="1118" spans="1:4">
      <c r="A1118">
        <v>1117</v>
      </c>
      <c r="B1118">
        <v>202</v>
      </c>
      <c r="C1118">
        <f t="shared" si="43"/>
        <v>144.6161994016</v>
      </c>
      <c r="D1118">
        <f t="shared" si="44"/>
        <v>57.383800598400001</v>
      </c>
    </row>
    <row r="1119" spans="1:4">
      <c r="A1119">
        <v>1118</v>
      </c>
      <c r="B1119">
        <v>200</v>
      </c>
      <c r="C1119">
        <f t="shared" si="43"/>
        <v>144.37395478560006</v>
      </c>
      <c r="D1119">
        <f t="shared" si="44"/>
        <v>55.626045214399937</v>
      </c>
    </row>
    <row r="1120" spans="1:4">
      <c r="A1120">
        <v>1119</v>
      </c>
      <c r="B1120">
        <v>288</v>
      </c>
      <c r="C1120">
        <f t="shared" si="43"/>
        <v>144.13128543840003</v>
      </c>
      <c r="D1120">
        <f t="shared" si="44"/>
        <v>143.86871456159997</v>
      </c>
    </row>
    <row r="1121" spans="1:4">
      <c r="A1121">
        <v>1120</v>
      </c>
      <c r="B1121">
        <v>602</v>
      </c>
      <c r="C1121">
        <f t="shared" si="43"/>
        <v>143.88819136000006</v>
      </c>
      <c r="D1121">
        <f t="shared" si="44"/>
        <v>458.11180863999994</v>
      </c>
    </row>
    <row r="1122" spans="1:4">
      <c r="A1122">
        <v>1121</v>
      </c>
      <c r="B1122">
        <v>967</v>
      </c>
      <c r="C1122">
        <f t="shared" si="43"/>
        <v>143.6446725504</v>
      </c>
      <c r="D1122">
        <f t="shared" si="44"/>
        <v>823.35532744960005</v>
      </c>
    </row>
    <row r="1123" spans="1:4">
      <c r="A1123">
        <v>1122</v>
      </c>
      <c r="B1123">
        <v>994</v>
      </c>
      <c r="C1123">
        <f t="shared" si="43"/>
        <v>143.40072900960007</v>
      </c>
      <c r="D1123">
        <f t="shared" si="44"/>
        <v>850.59927099039987</v>
      </c>
    </row>
    <row r="1124" spans="1:4">
      <c r="A1124">
        <v>1123</v>
      </c>
      <c r="B1124">
        <v>650</v>
      </c>
      <c r="C1124">
        <f t="shared" si="43"/>
        <v>143.15636073760004</v>
      </c>
      <c r="D1124">
        <f t="shared" si="44"/>
        <v>506.84363926239996</v>
      </c>
    </row>
    <row r="1125" spans="1:4">
      <c r="A1125">
        <v>1124</v>
      </c>
      <c r="B1125">
        <v>366</v>
      </c>
      <c r="C1125">
        <f t="shared" si="43"/>
        <v>142.91156773440008</v>
      </c>
      <c r="D1125">
        <f t="shared" si="44"/>
        <v>223.08843226559992</v>
      </c>
    </row>
    <row r="1126" spans="1:4">
      <c r="A1126">
        <v>1125</v>
      </c>
      <c r="B1126">
        <v>241</v>
      </c>
      <c r="C1126">
        <f t="shared" si="43"/>
        <v>142.66634999999997</v>
      </c>
      <c r="D1126">
        <f t="shared" si="44"/>
        <v>98.333650000000034</v>
      </c>
    </row>
    <row r="1127" spans="1:4">
      <c r="A1127">
        <v>1126</v>
      </c>
      <c r="B1127">
        <v>200</v>
      </c>
      <c r="C1127">
        <f t="shared" si="43"/>
        <v>142.42070753439998</v>
      </c>
      <c r="D1127">
        <f t="shared" si="44"/>
        <v>57.57929246560002</v>
      </c>
    </row>
    <row r="1128" spans="1:4">
      <c r="A1128">
        <v>1127</v>
      </c>
      <c r="B1128">
        <v>173</v>
      </c>
      <c r="C1128">
        <f t="shared" si="43"/>
        <v>142.17464033760001</v>
      </c>
      <c r="D1128">
        <f t="shared" si="44"/>
        <v>30.82535966239999</v>
      </c>
    </row>
    <row r="1129" spans="1:4">
      <c r="A1129">
        <v>1128</v>
      </c>
      <c r="B1129">
        <v>149</v>
      </c>
      <c r="C1129">
        <f t="shared" si="43"/>
        <v>141.9281484096</v>
      </c>
      <c r="D1129">
        <f t="shared" si="44"/>
        <v>7.0718515904000014</v>
      </c>
    </row>
    <row r="1130" spans="1:4">
      <c r="A1130">
        <v>1129</v>
      </c>
      <c r="B1130">
        <v>150</v>
      </c>
      <c r="C1130">
        <f t="shared" si="43"/>
        <v>141.6812317504</v>
      </c>
      <c r="D1130">
        <f t="shared" si="44"/>
        <v>8.3187682495999979</v>
      </c>
    </row>
    <row r="1131" spans="1:4">
      <c r="A1131">
        <v>1130</v>
      </c>
      <c r="B1131">
        <v>185</v>
      </c>
      <c r="C1131">
        <f t="shared" si="43"/>
        <v>141.43389036000002</v>
      </c>
      <c r="D1131">
        <f t="shared" si="44"/>
        <v>43.566109639999979</v>
      </c>
    </row>
    <row r="1132" spans="1:4">
      <c r="A1132">
        <v>1131</v>
      </c>
      <c r="B1132">
        <v>221</v>
      </c>
      <c r="C1132">
        <f t="shared" si="43"/>
        <v>141.1861242384</v>
      </c>
      <c r="D1132">
        <f t="shared" si="44"/>
        <v>79.813875761600002</v>
      </c>
    </row>
    <row r="1133" spans="1:4">
      <c r="A1133">
        <v>1132</v>
      </c>
      <c r="B1133">
        <v>211</v>
      </c>
      <c r="C1133">
        <f t="shared" si="43"/>
        <v>140.93793338560005</v>
      </c>
      <c r="D1133">
        <f t="shared" si="44"/>
        <v>70.062066614399953</v>
      </c>
    </row>
    <row r="1134" spans="1:4">
      <c r="A1134">
        <v>1133</v>
      </c>
      <c r="B1134">
        <v>187</v>
      </c>
      <c r="C1134">
        <f t="shared" si="43"/>
        <v>140.6893178016</v>
      </c>
      <c r="D1134">
        <f t="shared" si="44"/>
        <v>46.310682198400002</v>
      </c>
    </row>
    <row r="1135" spans="1:4">
      <c r="A1135">
        <v>1134</v>
      </c>
      <c r="B1135">
        <v>159</v>
      </c>
      <c r="C1135">
        <f t="shared" si="43"/>
        <v>140.44027748640002</v>
      </c>
      <c r="D1135">
        <f t="shared" si="44"/>
        <v>18.559722513599979</v>
      </c>
    </row>
    <row r="1136" spans="1:4">
      <c r="A1136">
        <v>1135</v>
      </c>
      <c r="B1136">
        <v>161</v>
      </c>
      <c r="C1136">
        <f t="shared" si="43"/>
        <v>140.19081244</v>
      </c>
      <c r="D1136">
        <f t="shared" si="44"/>
        <v>20.809187559999998</v>
      </c>
    </row>
    <row r="1137" spans="1:4">
      <c r="A1137">
        <v>1136</v>
      </c>
      <c r="B1137">
        <v>146</v>
      </c>
      <c r="C1137">
        <f t="shared" si="43"/>
        <v>139.94092266240006</v>
      </c>
      <c r="D1137">
        <f t="shared" si="44"/>
        <v>6.0590773375999447</v>
      </c>
    </row>
    <row r="1138" spans="1:4">
      <c r="A1138">
        <v>1137</v>
      </c>
      <c r="B1138">
        <v>155</v>
      </c>
      <c r="C1138">
        <f t="shared" si="43"/>
        <v>139.69060815360001</v>
      </c>
      <c r="D1138">
        <f t="shared" si="44"/>
        <v>15.30939184639999</v>
      </c>
    </row>
    <row r="1139" spans="1:4">
      <c r="A1139">
        <v>1138</v>
      </c>
      <c r="B1139">
        <v>163</v>
      </c>
      <c r="C1139">
        <f t="shared" si="43"/>
        <v>139.43986891360004</v>
      </c>
      <c r="D1139">
        <f t="shared" si="44"/>
        <v>23.560131086399963</v>
      </c>
    </row>
    <row r="1140" spans="1:4">
      <c r="A1140">
        <v>1139</v>
      </c>
      <c r="B1140">
        <v>161</v>
      </c>
      <c r="C1140">
        <f t="shared" si="43"/>
        <v>139.18870494240002</v>
      </c>
      <c r="D1140">
        <f t="shared" si="44"/>
        <v>21.811295057599978</v>
      </c>
    </row>
    <row r="1141" spans="1:4">
      <c r="A1141">
        <v>1140</v>
      </c>
      <c r="B1141">
        <v>133</v>
      </c>
      <c r="C1141">
        <f t="shared" si="43"/>
        <v>138.93711624000002</v>
      </c>
      <c r="D1141">
        <f t="shared" si="44"/>
        <v>-5.937116240000023</v>
      </c>
    </row>
    <row r="1142" spans="1:4">
      <c r="A1142">
        <v>1141</v>
      </c>
      <c r="B1142">
        <v>131</v>
      </c>
      <c r="C1142">
        <f t="shared" si="43"/>
        <v>138.68510280640004</v>
      </c>
      <c r="D1142">
        <f t="shared" si="44"/>
        <v>-7.6851028064000388</v>
      </c>
    </row>
    <row r="1143" spans="1:4">
      <c r="A1143">
        <v>1142</v>
      </c>
      <c r="B1143">
        <v>135</v>
      </c>
      <c r="C1143">
        <f t="shared" si="43"/>
        <v>138.43266464160007</v>
      </c>
      <c r="D1143">
        <f t="shared" si="44"/>
        <v>-3.4326646416000699</v>
      </c>
    </row>
    <row r="1144" spans="1:4">
      <c r="A1144">
        <v>1143</v>
      </c>
      <c r="B1144">
        <v>132</v>
      </c>
      <c r="C1144">
        <f t="shared" si="43"/>
        <v>138.1798017456</v>
      </c>
      <c r="D1144">
        <f t="shared" si="44"/>
        <v>-6.1798017456000025</v>
      </c>
    </row>
    <row r="1145" spans="1:4">
      <c r="A1145">
        <v>1144</v>
      </c>
      <c r="B1145">
        <v>155</v>
      </c>
      <c r="C1145">
        <f t="shared" si="43"/>
        <v>137.92651411840001</v>
      </c>
      <c r="D1145">
        <f t="shared" si="44"/>
        <v>17.073485881599993</v>
      </c>
    </row>
    <row r="1146" spans="1:4">
      <c r="A1146">
        <v>1145</v>
      </c>
      <c r="B1146">
        <v>172</v>
      </c>
      <c r="C1146">
        <f t="shared" si="43"/>
        <v>137.67280175999997</v>
      </c>
      <c r="D1146">
        <f t="shared" si="44"/>
        <v>34.32719824000003</v>
      </c>
    </row>
    <row r="1147" spans="1:4">
      <c r="A1147">
        <v>1146</v>
      </c>
      <c r="B1147">
        <v>191</v>
      </c>
      <c r="C1147">
        <f t="shared" si="43"/>
        <v>137.41866467040001</v>
      </c>
      <c r="D1147">
        <f t="shared" si="44"/>
        <v>53.581335329599995</v>
      </c>
    </row>
    <row r="1148" spans="1:4">
      <c r="A1148">
        <v>1147</v>
      </c>
      <c r="B1148">
        <v>282</v>
      </c>
      <c r="C1148">
        <f t="shared" si="43"/>
        <v>137.1641028496</v>
      </c>
      <c r="D1148">
        <f t="shared" si="44"/>
        <v>144.8358971504</v>
      </c>
    </row>
    <row r="1149" spans="1:4">
      <c r="A1149">
        <v>1148</v>
      </c>
      <c r="B1149">
        <v>529</v>
      </c>
      <c r="C1149">
        <f t="shared" si="43"/>
        <v>136.90911629760001</v>
      </c>
      <c r="D1149">
        <f t="shared" si="44"/>
        <v>392.09088370239999</v>
      </c>
    </row>
    <row r="1150" spans="1:4">
      <c r="A1150">
        <v>1149</v>
      </c>
      <c r="B1150">
        <v>737</v>
      </c>
      <c r="C1150">
        <f t="shared" si="43"/>
        <v>136.65370501439997</v>
      </c>
      <c r="D1150">
        <f t="shared" si="44"/>
        <v>600.34629498560003</v>
      </c>
    </row>
    <row r="1151" spans="1:4">
      <c r="A1151">
        <v>1150</v>
      </c>
      <c r="B1151">
        <v>667</v>
      </c>
      <c r="C1151">
        <f t="shared" si="43"/>
        <v>136.39786900000001</v>
      </c>
      <c r="D1151">
        <f t="shared" si="44"/>
        <v>530.60213099999999</v>
      </c>
    </row>
    <row r="1152" spans="1:4">
      <c r="A1152">
        <v>1151</v>
      </c>
      <c r="B1152">
        <v>425</v>
      </c>
      <c r="C1152">
        <f t="shared" si="43"/>
        <v>136.14160825440001</v>
      </c>
      <c r="D1152">
        <f t="shared" si="44"/>
        <v>288.85839174559999</v>
      </c>
    </row>
    <row r="1153" spans="1:7">
      <c r="A1153">
        <v>1152</v>
      </c>
      <c r="B1153">
        <v>276</v>
      </c>
      <c r="C1153">
        <f t="shared" si="43"/>
        <v>135.88492277760002</v>
      </c>
      <c r="D1153">
        <f t="shared" si="44"/>
        <v>140.11507722239998</v>
      </c>
    </row>
    <row r="1154" spans="1:7">
      <c r="A1154">
        <v>1153</v>
      </c>
      <c r="B1154">
        <v>226</v>
      </c>
      <c r="C1154">
        <f t="shared" ref="C1154:C1217" si="45" xml:space="preserve"> -0.0002123656*A1154*A1154 + 0.2323925*A1154 + 150</f>
        <v>135.6278125696</v>
      </c>
      <c r="D1154">
        <f t="shared" ref="D1154:D1217" si="46">B1154-C1154</f>
        <v>90.372187430400004</v>
      </c>
    </row>
    <row r="1155" spans="1:7">
      <c r="A1155">
        <v>1154</v>
      </c>
      <c r="B1155">
        <v>218</v>
      </c>
      <c r="C1155">
        <f t="shared" si="45"/>
        <v>135.37027763040004</v>
      </c>
      <c r="D1155">
        <f t="shared" si="46"/>
        <v>82.629722369599961</v>
      </c>
    </row>
    <row r="1156" spans="1:7">
      <c r="A1156">
        <v>1155</v>
      </c>
      <c r="B1156">
        <v>284</v>
      </c>
      <c r="C1156">
        <f t="shared" si="45"/>
        <v>135.11231796000004</v>
      </c>
      <c r="D1156">
        <f t="shared" si="46"/>
        <v>148.88768203999996</v>
      </c>
    </row>
    <row r="1157" spans="1:7">
      <c r="A1157">
        <v>1156</v>
      </c>
      <c r="B1157">
        <v>602</v>
      </c>
      <c r="C1157">
        <f t="shared" si="45"/>
        <v>134.85393355840006</v>
      </c>
      <c r="D1157">
        <f t="shared" si="46"/>
        <v>467.14606644159994</v>
      </c>
    </row>
    <row r="1158" spans="1:7">
      <c r="A1158">
        <v>1157</v>
      </c>
      <c r="B1158">
        <v>1244</v>
      </c>
      <c r="C1158">
        <f t="shared" si="45"/>
        <v>134.59512442560003</v>
      </c>
      <c r="D1158">
        <f t="shared" si="46"/>
        <v>1109.4048755744</v>
      </c>
    </row>
    <row r="1159" spans="1:7" ht="17.25">
      <c r="A1159">
        <v>1158</v>
      </c>
      <c r="B1159">
        <v>1558</v>
      </c>
      <c r="C1159">
        <f t="shared" si="45"/>
        <v>134.33589056160002</v>
      </c>
      <c r="D1159">
        <f t="shared" si="46"/>
        <v>1423.6641094383999</v>
      </c>
      <c r="F1159">
        <v>1158</v>
      </c>
      <c r="G1159" t="s">
        <v>30</v>
      </c>
    </row>
    <row r="1160" spans="1:7">
      <c r="A1160">
        <v>1159</v>
      </c>
      <c r="B1160">
        <v>1194</v>
      </c>
      <c r="C1160">
        <f t="shared" si="45"/>
        <v>134.07623196640003</v>
      </c>
      <c r="D1160">
        <f t="shared" si="46"/>
        <v>1059.9237680336</v>
      </c>
    </row>
    <row r="1161" spans="1:7">
      <c r="A1161">
        <v>1160</v>
      </c>
      <c r="B1161">
        <v>635</v>
      </c>
      <c r="C1161">
        <f t="shared" si="45"/>
        <v>133.81614864000005</v>
      </c>
      <c r="D1161">
        <f t="shared" si="46"/>
        <v>501.18385135999995</v>
      </c>
    </row>
    <row r="1162" spans="1:7">
      <c r="A1162">
        <v>1161</v>
      </c>
      <c r="B1162">
        <v>325</v>
      </c>
      <c r="C1162">
        <f t="shared" si="45"/>
        <v>133.55564058240003</v>
      </c>
      <c r="D1162">
        <f t="shared" si="46"/>
        <v>191.44435941759997</v>
      </c>
    </row>
    <row r="1163" spans="1:7">
      <c r="A1163">
        <v>1162</v>
      </c>
      <c r="B1163">
        <v>210</v>
      </c>
      <c r="C1163">
        <f t="shared" si="45"/>
        <v>133.29470779359997</v>
      </c>
      <c r="D1163">
        <f t="shared" si="46"/>
        <v>76.705292206400031</v>
      </c>
    </row>
    <row r="1164" spans="1:7">
      <c r="A1164">
        <v>1163</v>
      </c>
      <c r="B1164">
        <v>155</v>
      </c>
      <c r="C1164">
        <f t="shared" si="45"/>
        <v>133.03335027359998</v>
      </c>
      <c r="D1164">
        <f t="shared" si="46"/>
        <v>21.966649726400021</v>
      </c>
    </row>
    <row r="1165" spans="1:7">
      <c r="A1165">
        <v>1164</v>
      </c>
      <c r="B1165">
        <v>155</v>
      </c>
      <c r="C1165">
        <f t="shared" si="45"/>
        <v>132.7715680224</v>
      </c>
      <c r="D1165">
        <f t="shared" si="46"/>
        <v>22.228431977599996</v>
      </c>
    </row>
    <row r="1166" spans="1:7">
      <c r="A1166">
        <v>1165</v>
      </c>
      <c r="B1166">
        <v>180</v>
      </c>
      <c r="C1166">
        <f t="shared" si="45"/>
        <v>132.50936103999999</v>
      </c>
      <c r="D1166">
        <f t="shared" si="46"/>
        <v>47.490638960000013</v>
      </c>
    </row>
    <row r="1167" spans="1:7">
      <c r="A1167">
        <v>1166</v>
      </c>
      <c r="B1167">
        <v>230</v>
      </c>
      <c r="C1167">
        <f t="shared" si="45"/>
        <v>132.24672932639999</v>
      </c>
      <c r="D1167">
        <f t="shared" si="46"/>
        <v>97.753270673600014</v>
      </c>
    </row>
    <row r="1168" spans="1:7">
      <c r="A1168">
        <v>1167</v>
      </c>
      <c r="B1168">
        <v>235</v>
      </c>
      <c r="C1168">
        <f t="shared" si="45"/>
        <v>131.9836728816</v>
      </c>
      <c r="D1168">
        <f t="shared" si="46"/>
        <v>103.0163271184</v>
      </c>
    </row>
    <row r="1169" spans="1:4">
      <c r="A1169">
        <v>1168</v>
      </c>
      <c r="B1169">
        <v>201</v>
      </c>
      <c r="C1169">
        <f t="shared" si="45"/>
        <v>131.72019170560003</v>
      </c>
      <c r="D1169">
        <f t="shared" si="46"/>
        <v>69.27980829439997</v>
      </c>
    </row>
    <row r="1170" spans="1:4">
      <c r="A1170">
        <v>1169</v>
      </c>
      <c r="B1170">
        <v>185</v>
      </c>
      <c r="C1170">
        <f t="shared" si="45"/>
        <v>131.45628579840002</v>
      </c>
      <c r="D1170">
        <f t="shared" si="46"/>
        <v>53.543714201599983</v>
      </c>
    </row>
    <row r="1171" spans="1:4">
      <c r="A1171">
        <v>1170</v>
      </c>
      <c r="B1171">
        <v>218</v>
      </c>
      <c r="C1171">
        <f t="shared" si="45"/>
        <v>131.19195516000002</v>
      </c>
      <c r="D1171">
        <f t="shared" si="46"/>
        <v>86.80804483999998</v>
      </c>
    </row>
    <row r="1172" spans="1:4">
      <c r="A1172">
        <v>1171</v>
      </c>
      <c r="B1172">
        <v>277</v>
      </c>
      <c r="C1172">
        <f t="shared" si="45"/>
        <v>130.92719979039998</v>
      </c>
      <c r="D1172">
        <f t="shared" si="46"/>
        <v>146.07280020960002</v>
      </c>
    </row>
    <row r="1173" spans="1:4">
      <c r="A1173">
        <v>1172</v>
      </c>
      <c r="B1173">
        <v>287</v>
      </c>
      <c r="C1173">
        <f t="shared" si="45"/>
        <v>130.66201968960002</v>
      </c>
      <c r="D1173">
        <f t="shared" si="46"/>
        <v>156.33798031039998</v>
      </c>
    </row>
    <row r="1174" spans="1:4">
      <c r="A1174">
        <v>1173</v>
      </c>
      <c r="B1174">
        <v>269</v>
      </c>
      <c r="C1174">
        <f t="shared" si="45"/>
        <v>130.39641485760001</v>
      </c>
      <c r="D1174">
        <f t="shared" si="46"/>
        <v>138.60358514239999</v>
      </c>
    </row>
    <row r="1175" spans="1:4">
      <c r="A1175">
        <v>1174</v>
      </c>
      <c r="B1175">
        <v>274</v>
      </c>
      <c r="C1175">
        <f t="shared" si="45"/>
        <v>130.13038529440001</v>
      </c>
      <c r="D1175">
        <f t="shared" si="46"/>
        <v>143.86961470559999</v>
      </c>
    </row>
    <row r="1176" spans="1:4">
      <c r="A1176">
        <v>1175</v>
      </c>
      <c r="B1176">
        <v>305</v>
      </c>
      <c r="C1176">
        <f t="shared" si="45"/>
        <v>129.86393100000004</v>
      </c>
      <c r="D1176">
        <f t="shared" si="46"/>
        <v>175.13606899999996</v>
      </c>
    </row>
    <row r="1177" spans="1:4">
      <c r="A1177">
        <v>1176</v>
      </c>
      <c r="B1177">
        <v>302</v>
      </c>
      <c r="C1177">
        <f t="shared" si="45"/>
        <v>129.59705197440002</v>
      </c>
      <c r="D1177">
        <f t="shared" si="46"/>
        <v>172.40294802559998</v>
      </c>
    </row>
    <row r="1178" spans="1:4">
      <c r="A1178">
        <v>1177</v>
      </c>
      <c r="B1178">
        <v>250</v>
      </c>
      <c r="C1178">
        <f t="shared" si="45"/>
        <v>129.32974821760001</v>
      </c>
      <c r="D1178">
        <f t="shared" si="46"/>
        <v>120.67025178239999</v>
      </c>
    </row>
    <row r="1179" spans="1:4">
      <c r="A1179">
        <v>1178</v>
      </c>
      <c r="B1179">
        <v>192</v>
      </c>
      <c r="C1179">
        <f t="shared" si="45"/>
        <v>129.06201972960002</v>
      </c>
      <c r="D1179">
        <f t="shared" si="46"/>
        <v>62.937980270399976</v>
      </c>
    </row>
    <row r="1180" spans="1:4">
      <c r="A1180">
        <v>1179</v>
      </c>
      <c r="B1180">
        <v>207</v>
      </c>
      <c r="C1180">
        <f t="shared" si="45"/>
        <v>128.79386651040005</v>
      </c>
      <c r="D1180">
        <f t="shared" si="46"/>
        <v>78.206133489599949</v>
      </c>
    </row>
    <row r="1181" spans="1:4">
      <c r="A1181">
        <v>1180</v>
      </c>
      <c r="B1181">
        <v>220</v>
      </c>
      <c r="C1181">
        <f t="shared" si="45"/>
        <v>128.52528855999998</v>
      </c>
      <c r="D1181">
        <f t="shared" si="46"/>
        <v>91.474711440000021</v>
      </c>
    </row>
    <row r="1182" spans="1:4">
      <c r="A1182">
        <v>1181</v>
      </c>
      <c r="B1182">
        <v>215</v>
      </c>
      <c r="C1182">
        <f t="shared" si="45"/>
        <v>128.25628587839998</v>
      </c>
      <c r="D1182">
        <f t="shared" si="46"/>
        <v>86.743714121600021</v>
      </c>
    </row>
    <row r="1183" spans="1:4">
      <c r="A1183">
        <v>1182</v>
      </c>
      <c r="B1183">
        <v>187</v>
      </c>
      <c r="C1183">
        <f t="shared" si="45"/>
        <v>127.98685846559999</v>
      </c>
      <c r="D1183">
        <f t="shared" si="46"/>
        <v>59.013141534400006</v>
      </c>
    </row>
    <row r="1184" spans="1:4">
      <c r="A1184">
        <v>1183</v>
      </c>
      <c r="B1184">
        <v>162</v>
      </c>
      <c r="C1184">
        <f t="shared" si="45"/>
        <v>127.71700632160002</v>
      </c>
      <c r="D1184">
        <f t="shared" si="46"/>
        <v>34.282993678399976</v>
      </c>
    </row>
    <row r="1185" spans="1:4">
      <c r="A1185">
        <v>1184</v>
      </c>
      <c r="B1185">
        <v>157</v>
      </c>
      <c r="C1185">
        <f t="shared" si="45"/>
        <v>127.44672944639996</v>
      </c>
      <c r="D1185">
        <f t="shared" si="46"/>
        <v>29.553270553600044</v>
      </c>
    </row>
    <row r="1186" spans="1:4">
      <c r="A1186">
        <v>1185</v>
      </c>
      <c r="B1186">
        <v>157</v>
      </c>
      <c r="C1186">
        <f t="shared" si="45"/>
        <v>127.17602783999996</v>
      </c>
      <c r="D1186">
        <f t="shared" si="46"/>
        <v>29.823972160000039</v>
      </c>
    </row>
    <row r="1187" spans="1:4">
      <c r="A1187">
        <v>1186</v>
      </c>
      <c r="B1187">
        <v>166</v>
      </c>
      <c r="C1187">
        <f t="shared" si="45"/>
        <v>126.90490150239998</v>
      </c>
      <c r="D1187">
        <f t="shared" si="46"/>
        <v>39.09509849760002</v>
      </c>
    </row>
    <row r="1188" spans="1:4">
      <c r="A1188">
        <v>1187</v>
      </c>
      <c r="B1188">
        <v>166</v>
      </c>
      <c r="C1188">
        <f t="shared" si="45"/>
        <v>126.63335043360001</v>
      </c>
      <c r="D1188">
        <f t="shared" si="46"/>
        <v>39.366649566399985</v>
      </c>
    </row>
    <row r="1189" spans="1:4">
      <c r="A1189">
        <v>1188</v>
      </c>
      <c r="B1189">
        <v>159</v>
      </c>
      <c r="C1189">
        <f t="shared" si="45"/>
        <v>126.36137463360001</v>
      </c>
      <c r="D1189">
        <f t="shared" si="46"/>
        <v>32.638625366399992</v>
      </c>
    </row>
    <row r="1190" spans="1:4">
      <c r="A1190">
        <v>1189</v>
      </c>
      <c r="B1190">
        <v>159</v>
      </c>
      <c r="C1190">
        <f t="shared" si="45"/>
        <v>126.08897410240002</v>
      </c>
      <c r="D1190">
        <f t="shared" si="46"/>
        <v>32.911025897599984</v>
      </c>
    </row>
    <row r="1191" spans="1:4">
      <c r="A1191">
        <v>1190</v>
      </c>
      <c r="B1191">
        <v>154</v>
      </c>
      <c r="C1191">
        <f t="shared" si="45"/>
        <v>125.81614884000004</v>
      </c>
      <c r="D1191">
        <f t="shared" si="46"/>
        <v>28.183851159999961</v>
      </c>
    </row>
    <row r="1192" spans="1:4">
      <c r="A1192">
        <v>1191</v>
      </c>
      <c r="B1192">
        <v>170</v>
      </c>
      <c r="C1192">
        <f t="shared" si="45"/>
        <v>125.54289884640002</v>
      </c>
      <c r="D1192">
        <f t="shared" si="46"/>
        <v>44.457101153599979</v>
      </c>
    </row>
    <row r="1193" spans="1:4">
      <c r="A1193">
        <v>1192</v>
      </c>
      <c r="B1193">
        <v>241</v>
      </c>
      <c r="C1193">
        <f t="shared" si="45"/>
        <v>125.26922412160002</v>
      </c>
      <c r="D1193">
        <f t="shared" si="46"/>
        <v>115.73077587839998</v>
      </c>
    </row>
    <row r="1194" spans="1:4">
      <c r="A1194">
        <v>1193</v>
      </c>
      <c r="B1194">
        <v>318</v>
      </c>
      <c r="C1194">
        <f t="shared" si="45"/>
        <v>124.99512466560003</v>
      </c>
      <c r="D1194">
        <f t="shared" si="46"/>
        <v>193.00487533439997</v>
      </c>
    </row>
    <row r="1195" spans="1:4">
      <c r="A1195">
        <v>1194</v>
      </c>
      <c r="B1195">
        <v>323</v>
      </c>
      <c r="C1195">
        <f t="shared" si="45"/>
        <v>124.72060047840006</v>
      </c>
      <c r="D1195">
        <f t="shared" si="46"/>
        <v>198.27939952159994</v>
      </c>
    </row>
    <row r="1196" spans="1:4">
      <c r="A1196">
        <v>1195</v>
      </c>
      <c r="B1196">
        <v>250</v>
      </c>
      <c r="C1196">
        <f t="shared" si="45"/>
        <v>124.44565156000004</v>
      </c>
      <c r="D1196">
        <f t="shared" si="46"/>
        <v>125.55434843999996</v>
      </c>
    </row>
    <row r="1197" spans="1:4">
      <c r="A1197">
        <v>1196</v>
      </c>
      <c r="B1197">
        <v>209</v>
      </c>
      <c r="C1197">
        <f t="shared" si="45"/>
        <v>124.17027791040005</v>
      </c>
      <c r="D1197">
        <f t="shared" si="46"/>
        <v>84.829722089599954</v>
      </c>
    </row>
    <row r="1198" spans="1:4">
      <c r="A1198">
        <v>1197</v>
      </c>
      <c r="B1198">
        <v>191</v>
      </c>
      <c r="C1198">
        <f t="shared" si="45"/>
        <v>123.89447952960001</v>
      </c>
      <c r="D1198">
        <f t="shared" si="46"/>
        <v>67.105520470399995</v>
      </c>
    </row>
    <row r="1199" spans="1:4">
      <c r="A1199">
        <v>1198</v>
      </c>
      <c r="B1199">
        <v>177</v>
      </c>
      <c r="C1199">
        <f t="shared" si="45"/>
        <v>123.61825641759998</v>
      </c>
      <c r="D1199">
        <f t="shared" si="46"/>
        <v>53.38174358240002</v>
      </c>
    </row>
    <row r="1200" spans="1:4">
      <c r="A1200">
        <v>1199</v>
      </c>
      <c r="B1200">
        <v>157</v>
      </c>
      <c r="C1200">
        <f t="shared" si="45"/>
        <v>123.34160857440003</v>
      </c>
      <c r="D1200">
        <f t="shared" si="46"/>
        <v>33.658391425599973</v>
      </c>
    </row>
    <row r="1201" spans="1:4">
      <c r="A1201">
        <v>1200</v>
      </c>
      <c r="B1201">
        <v>166</v>
      </c>
      <c r="C1201">
        <f t="shared" si="45"/>
        <v>123.06453600000003</v>
      </c>
      <c r="D1201">
        <f t="shared" si="46"/>
        <v>42.935463999999968</v>
      </c>
    </row>
    <row r="1202" spans="1:4">
      <c r="A1202">
        <v>1201</v>
      </c>
      <c r="B1202">
        <v>249</v>
      </c>
      <c r="C1202">
        <f t="shared" si="45"/>
        <v>122.7870386944</v>
      </c>
      <c r="D1202">
        <f t="shared" si="46"/>
        <v>126.2129613056</v>
      </c>
    </row>
    <row r="1203" spans="1:4">
      <c r="A1203">
        <v>1202</v>
      </c>
      <c r="B1203">
        <v>373</v>
      </c>
      <c r="C1203">
        <f t="shared" si="45"/>
        <v>122.50911665759998</v>
      </c>
      <c r="D1203">
        <f t="shared" si="46"/>
        <v>250.49088334240002</v>
      </c>
    </row>
    <row r="1204" spans="1:4">
      <c r="A1204">
        <v>1203</v>
      </c>
      <c r="B1204">
        <v>425</v>
      </c>
      <c r="C1204">
        <f t="shared" si="45"/>
        <v>122.23076988960003</v>
      </c>
      <c r="D1204">
        <f t="shared" si="46"/>
        <v>302.76923011039997</v>
      </c>
    </row>
    <row r="1205" spans="1:4">
      <c r="A1205">
        <v>1204</v>
      </c>
      <c r="B1205">
        <v>374</v>
      </c>
      <c r="C1205">
        <f t="shared" si="45"/>
        <v>121.95199839040004</v>
      </c>
      <c r="D1205">
        <f t="shared" si="46"/>
        <v>252.04800160959996</v>
      </c>
    </row>
    <row r="1206" spans="1:4">
      <c r="A1206">
        <v>1205</v>
      </c>
      <c r="B1206">
        <v>322</v>
      </c>
      <c r="C1206">
        <f t="shared" si="45"/>
        <v>121.67280216</v>
      </c>
      <c r="D1206">
        <f t="shared" si="46"/>
        <v>200.32719784</v>
      </c>
    </row>
    <row r="1207" spans="1:4">
      <c r="A1207">
        <v>1206</v>
      </c>
      <c r="B1207">
        <v>302</v>
      </c>
      <c r="C1207">
        <f t="shared" si="45"/>
        <v>121.39318119839999</v>
      </c>
      <c r="D1207">
        <f t="shared" si="46"/>
        <v>180.60681880160001</v>
      </c>
    </row>
    <row r="1208" spans="1:4">
      <c r="A1208">
        <v>1207</v>
      </c>
      <c r="B1208">
        <v>324</v>
      </c>
      <c r="C1208">
        <f t="shared" si="45"/>
        <v>121.11313550560004</v>
      </c>
      <c r="D1208">
        <f t="shared" si="46"/>
        <v>202.88686449439996</v>
      </c>
    </row>
    <row r="1209" spans="1:4">
      <c r="A1209">
        <v>1208</v>
      </c>
      <c r="B1209">
        <v>298</v>
      </c>
      <c r="C1209">
        <f t="shared" si="45"/>
        <v>120.83266508160006</v>
      </c>
      <c r="D1209">
        <f t="shared" si="46"/>
        <v>177.16733491839994</v>
      </c>
    </row>
    <row r="1210" spans="1:4">
      <c r="A1210">
        <v>1209</v>
      </c>
      <c r="B1210">
        <v>267</v>
      </c>
      <c r="C1210">
        <f t="shared" si="45"/>
        <v>120.55176992640003</v>
      </c>
      <c r="D1210">
        <f t="shared" si="46"/>
        <v>146.44823007359997</v>
      </c>
    </row>
    <row r="1211" spans="1:4">
      <c r="A1211">
        <v>1210</v>
      </c>
      <c r="B1211">
        <v>252</v>
      </c>
      <c r="C1211">
        <f t="shared" si="45"/>
        <v>120.27045004000001</v>
      </c>
      <c r="D1211">
        <f t="shared" si="46"/>
        <v>131.72954995999999</v>
      </c>
    </row>
    <row r="1212" spans="1:4">
      <c r="A1212">
        <v>1211</v>
      </c>
      <c r="B1212">
        <v>306</v>
      </c>
      <c r="C1212">
        <f t="shared" si="45"/>
        <v>119.98870542240002</v>
      </c>
      <c r="D1212">
        <f t="shared" si="46"/>
        <v>186.01129457759998</v>
      </c>
    </row>
    <row r="1213" spans="1:4">
      <c r="A1213">
        <v>1212</v>
      </c>
      <c r="B1213">
        <v>512</v>
      </c>
      <c r="C1213">
        <f t="shared" si="45"/>
        <v>119.70653607360003</v>
      </c>
      <c r="D1213">
        <f t="shared" si="46"/>
        <v>392.29346392639997</v>
      </c>
    </row>
    <row r="1214" spans="1:4">
      <c r="A1214">
        <v>1213</v>
      </c>
      <c r="B1214">
        <v>1120</v>
      </c>
      <c r="C1214">
        <f t="shared" si="45"/>
        <v>119.42394199360001</v>
      </c>
      <c r="D1214">
        <f t="shared" si="46"/>
        <v>1000.5760580064</v>
      </c>
    </row>
    <row r="1215" spans="1:4">
      <c r="A1215">
        <v>1214</v>
      </c>
      <c r="B1215">
        <v>3599</v>
      </c>
      <c r="C1215">
        <f t="shared" si="45"/>
        <v>119.14092318240006</v>
      </c>
      <c r="D1215">
        <f t="shared" si="46"/>
        <v>3479.8590768176</v>
      </c>
    </row>
    <row r="1216" spans="1:4">
      <c r="A1216">
        <v>1215</v>
      </c>
      <c r="B1216">
        <v>8679</v>
      </c>
      <c r="C1216">
        <f t="shared" si="45"/>
        <v>118.85747964000007</v>
      </c>
      <c r="D1216">
        <f t="shared" si="46"/>
        <v>8560.1425203599993</v>
      </c>
    </row>
    <row r="1217" spans="1:7" ht="17.25">
      <c r="A1217">
        <v>1216</v>
      </c>
      <c r="B1217">
        <v>11474</v>
      </c>
      <c r="C1217">
        <f t="shared" si="45"/>
        <v>118.57361136640009</v>
      </c>
      <c r="D1217">
        <f t="shared" si="46"/>
        <v>11355.426388633599</v>
      </c>
      <c r="F1217">
        <v>1216</v>
      </c>
      <c r="G1217" t="s">
        <v>31</v>
      </c>
    </row>
    <row r="1218" spans="1:7">
      <c r="A1218">
        <v>1217</v>
      </c>
      <c r="B1218">
        <v>8880</v>
      </c>
      <c r="C1218">
        <f t="shared" ref="C1218:C1281" si="47" xml:space="preserve"> -0.0002123656*A1218*A1218 + 0.2323925*A1218 + 150</f>
        <v>118.28931836159995</v>
      </c>
      <c r="D1218">
        <f t="shared" ref="D1218:D1281" si="48">B1218-C1218</f>
        <v>8761.7106816384003</v>
      </c>
    </row>
    <row r="1219" spans="1:7">
      <c r="A1219">
        <v>1218</v>
      </c>
      <c r="B1219">
        <v>4575</v>
      </c>
      <c r="C1219">
        <f t="shared" si="47"/>
        <v>118.00460062560001</v>
      </c>
      <c r="D1219">
        <f t="shared" si="48"/>
        <v>4456.9953993744002</v>
      </c>
    </row>
    <row r="1220" spans="1:7">
      <c r="A1220">
        <v>1219</v>
      </c>
      <c r="B1220">
        <v>2200</v>
      </c>
      <c r="C1220">
        <f t="shared" si="47"/>
        <v>117.71945815840002</v>
      </c>
      <c r="D1220">
        <f t="shared" si="48"/>
        <v>2082.2805418416001</v>
      </c>
    </row>
    <row r="1221" spans="1:7">
      <c r="A1221">
        <v>1220</v>
      </c>
      <c r="B1221">
        <v>1893</v>
      </c>
      <c r="C1221">
        <f t="shared" si="47"/>
        <v>117.43389096000004</v>
      </c>
      <c r="D1221">
        <f t="shared" si="48"/>
        <v>1775.5661090399999</v>
      </c>
    </row>
    <row r="1222" spans="1:7">
      <c r="A1222">
        <v>1221</v>
      </c>
      <c r="B1222">
        <v>2683</v>
      </c>
      <c r="C1222">
        <f t="shared" si="47"/>
        <v>117.14789903039997</v>
      </c>
      <c r="D1222">
        <f t="shared" si="48"/>
        <v>2565.8521009696001</v>
      </c>
    </row>
    <row r="1223" spans="1:7">
      <c r="A1223">
        <v>1222</v>
      </c>
      <c r="B1223">
        <v>3194</v>
      </c>
      <c r="C1223">
        <f t="shared" si="47"/>
        <v>116.86148236960003</v>
      </c>
      <c r="D1223">
        <f t="shared" si="48"/>
        <v>3077.1385176304002</v>
      </c>
    </row>
    <row r="1224" spans="1:7">
      <c r="A1224">
        <v>1223</v>
      </c>
      <c r="B1224">
        <v>2540</v>
      </c>
      <c r="C1224">
        <f t="shared" si="47"/>
        <v>116.57464097760004</v>
      </c>
      <c r="D1224">
        <f t="shared" si="48"/>
        <v>2423.4253590223998</v>
      </c>
    </row>
    <row r="1225" spans="1:7">
      <c r="A1225">
        <v>1224</v>
      </c>
      <c r="B1225">
        <v>1401</v>
      </c>
      <c r="C1225">
        <f t="shared" si="47"/>
        <v>116.28737485440001</v>
      </c>
      <c r="D1225">
        <f t="shared" si="48"/>
        <v>1284.7126251456</v>
      </c>
    </row>
    <row r="1226" spans="1:7">
      <c r="A1226">
        <v>1225</v>
      </c>
      <c r="B1226">
        <v>755</v>
      </c>
      <c r="C1226">
        <f t="shared" si="47"/>
        <v>115.999684</v>
      </c>
      <c r="D1226">
        <f t="shared" si="48"/>
        <v>639.000316</v>
      </c>
    </row>
    <row r="1227" spans="1:7">
      <c r="A1227">
        <v>1226</v>
      </c>
      <c r="B1227">
        <v>523</v>
      </c>
      <c r="C1227">
        <f t="shared" si="47"/>
        <v>115.71156841440001</v>
      </c>
      <c r="D1227">
        <f t="shared" si="48"/>
        <v>407.28843158559999</v>
      </c>
    </row>
    <row r="1228" spans="1:7">
      <c r="A1228">
        <v>1227</v>
      </c>
      <c r="B1228">
        <v>421</v>
      </c>
      <c r="C1228">
        <f t="shared" si="47"/>
        <v>115.42302809760002</v>
      </c>
      <c r="D1228">
        <f t="shared" si="48"/>
        <v>305.57697190239998</v>
      </c>
    </row>
    <row r="1229" spans="1:7">
      <c r="A1229">
        <v>1228</v>
      </c>
      <c r="B1229">
        <v>362</v>
      </c>
      <c r="C1229">
        <f t="shared" si="47"/>
        <v>115.13406304960006</v>
      </c>
      <c r="D1229">
        <f t="shared" si="48"/>
        <v>246.86593695039994</v>
      </c>
    </row>
    <row r="1230" spans="1:7">
      <c r="A1230">
        <v>1229</v>
      </c>
      <c r="B1230">
        <v>328</v>
      </c>
      <c r="C1230">
        <f t="shared" si="47"/>
        <v>114.84467327039999</v>
      </c>
      <c r="D1230">
        <f t="shared" si="48"/>
        <v>213.15532672960001</v>
      </c>
    </row>
    <row r="1231" spans="1:7">
      <c r="A1231">
        <v>1230</v>
      </c>
      <c r="B1231">
        <v>294</v>
      </c>
      <c r="C1231">
        <f t="shared" si="47"/>
        <v>114.55485876</v>
      </c>
      <c r="D1231">
        <f t="shared" si="48"/>
        <v>179.44514124</v>
      </c>
    </row>
    <row r="1232" spans="1:7">
      <c r="A1232">
        <v>1231</v>
      </c>
      <c r="B1232">
        <v>273</v>
      </c>
      <c r="C1232">
        <f t="shared" si="47"/>
        <v>114.26461951840002</v>
      </c>
      <c r="D1232">
        <f t="shared" si="48"/>
        <v>158.73538048159998</v>
      </c>
    </row>
    <row r="1233" spans="1:4">
      <c r="A1233">
        <v>1232</v>
      </c>
      <c r="B1233">
        <v>262</v>
      </c>
      <c r="C1233">
        <f t="shared" si="47"/>
        <v>113.97395554560006</v>
      </c>
      <c r="D1233">
        <f t="shared" si="48"/>
        <v>148.02604445439994</v>
      </c>
    </row>
    <row r="1234" spans="1:4">
      <c r="A1234">
        <v>1233</v>
      </c>
      <c r="B1234">
        <v>252</v>
      </c>
      <c r="C1234">
        <f t="shared" si="47"/>
        <v>113.6828668416</v>
      </c>
      <c r="D1234">
        <f t="shared" si="48"/>
        <v>138.3171331584</v>
      </c>
    </row>
    <row r="1235" spans="1:4">
      <c r="A1235">
        <v>1234</v>
      </c>
      <c r="B1235">
        <v>249</v>
      </c>
      <c r="C1235">
        <f t="shared" si="47"/>
        <v>113.39135340640001</v>
      </c>
      <c r="D1235">
        <f t="shared" si="48"/>
        <v>135.60864659359999</v>
      </c>
    </row>
    <row r="1236" spans="1:4">
      <c r="A1236">
        <v>1235</v>
      </c>
      <c r="B1236">
        <v>249</v>
      </c>
      <c r="C1236">
        <f t="shared" si="47"/>
        <v>113.09941523999998</v>
      </c>
      <c r="D1236">
        <f t="shared" si="48"/>
        <v>135.90058476000002</v>
      </c>
    </row>
    <row r="1237" spans="1:4">
      <c r="A1237">
        <v>1236</v>
      </c>
      <c r="B1237">
        <v>258</v>
      </c>
      <c r="C1237">
        <f t="shared" si="47"/>
        <v>112.80705234240003</v>
      </c>
      <c r="D1237">
        <f t="shared" si="48"/>
        <v>145.19294765759997</v>
      </c>
    </row>
    <row r="1238" spans="1:4">
      <c r="A1238">
        <v>1237</v>
      </c>
      <c r="B1238">
        <v>246</v>
      </c>
      <c r="C1238">
        <f t="shared" si="47"/>
        <v>112.51426471359997</v>
      </c>
      <c r="D1238">
        <f t="shared" si="48"/>
        <v>133.48573528640003</v>
      </c>
    </row>
    <row r="1239" spans="1:4">
      <c r="A1239">
        <v>1238</v>
      </c>
      <c r="B1239">
        <v>228</v>
      </c>
      <c r="C1239">
        <f t="shared" si="47"/>
        <v>112.22105235359999</v>
      </c>
      <c r="D1239">
        <f t="shared" si="48"/>
        <v>115.77894764640001</v>
      </c>
    </row>
    <row r="1240" spans="1:4">
      <c r="A1240">
        <v>1239</v>
      </c>
      <c r="B1240">
        <v>196</v>
      </c>
      <c r="C1240">
        <f t="shared" si="47"/>
        <v>111.92741526240002</v>
      </c>
      <c r="D1240">
        <f t="shared" si="48"/>
        <v>84.072584737599982</v>
      </c>
    </row>
    <row r="1241" spans="1:4">
      <c r="A1241">
        <v>1240</v>
      </c>
      <c r="B1241">
        <v>164</v>
      </c>
      <c r="C1241">
        <f t="shared" si="47"/>
        <v>111.63335344000001</v>
      </c>
      <c r="D1241">
        <f t="shared" si="48"/>
        <v>52.366646559999992</v>
      </c>
    </row>
    <row r="1242" spans="1:4">
      <c r="A1242">
        <v>1241</v>
      </c>
      <c r="B1242">
        <v>162</v>
      </c>
      <c r="C1242">
        <f t="shared" si="47"/>
        <v>111.33886688639996</v>
      </c>
      <c r="D1242">
        <f t="shared" si="48"/>
        <v>50.661133113600044</v>
      </c>
    </row>
    <row r="1243" spans="1:4">
      <c r="A1243">
        <v>1242</v>
      </c>
      <c r="B1243">
        <v>162</v>
      </c>
      <c r="C1243">
        <f t="shared" si="47"/>
        <v>111.04395560159998</v>
      </c>
      <c r="D1243">
        <f t="shared" si="48"/>
        <v>50.956044398400024</v>
      </c>
    </row>
    <row r="1244" spans="1:4">
      <c r="A1244">
        <v>1243</v>
      </c>
      <c r="B1244">
        <v>142</v>
      </c>
      <c r="C1244">
        <f t="shared" si="47"/>
        <v>110.74861958560001</v>
      </c>
      <c r="D1244">
        <f t="shared" si="48"/>
        <v>31.251380414399989</v>
      </c>
    </row>
    <row r="1245" spans="1:4">
      <c r="A1245">
        <v>1244</v>
      </c>
      <c r="B1245">
        <v>157</v>
      </c>
      <c r="C1245">
        <f t="shared" si="47"/>
        <v>110.45285883840006</v>
      </c>
      <c r="D1245">
        <f t="shared" si="48"/>
        <v>46.547141161599939</v>
      </c>
    </row>
    <row r="1246" spans="1:4">
      <c r="A1246">
        <v>1245</v>
      </c>
      <c r="B1246">
        <v>148</v>
      </c>
      <c r="C1246">
        <f t="shared" si="47"/>
        <v>110.15667336000001</v>
      </c>
      <c r="D1246">
        <f t="shared" si="48"/>
        <v>37.843326639999987</v>
      </c>
    </row>
    <row r="1247" spans="1:4">
      <c r="A1247">
        <v>1246</v>
      </c>
      <c r="B1247">
        <v>144</v>
      </c>
      <c r="C1247">
        <f t="shared" si="47"/>
        <v>109.86006315040004</v>
      </c>
      <c r="D1247">
        <f t="shared" si="48"/>
        <v>34.139936849599962</v>
      </c>
    </row>
    <row r="1248" spans="1:4">
      <c r="A1248">
        <v>1247</v>
      </c>
      <c r="B1248">
        <v>139</v>
      </c>
      <c r="C1248">
        <f t="shared" si="47"/>
        <v>109.56302820960002</v>
      </c>
      <c r="D1248">
        <f t="shared" si="48"/>
        <v>29.43697179039998</v>
      </c>
    </row>
    <row r="1249" spans="1:4">
      <c r="A1249">
        <v>1248</v>
      </c>
      <c r="B1249">
        <v>134</v>
      </c>
      <c r="C1249">
        <f t="shared" si="47"/>
        <v>109.26556853760007</v>
      </c>
      <c r="D1249">
        <f t="shared" si="48"/>
        <v>24.734431462399925</v>
      </c>
    </row>
    <row r="1250" spans="1:4">
      <c r="A1250">
        <v>1249</v>
      </c>
      <c r="B1250">
        <v>139</v>
      </c>
      <c r="C1250">
        <f t="shared" si="47"/>
        <v>108.96768413440003</v>
      </c>
      <c r="D1250">
        <f t="shared" si="48"/>
        <v>30.032315865599969</v>
      </c>
    </row>
    <row r="1251" spans="1:4">
      <c r="A1251">
        <v>1250</v>
      </c>
      <c r="B1251">
        <v>159</v>
      </c>
      <c r="C1251">
        <f t="shared" si="47"/>
        <v>108.669375</v>
      </c>
      <c r="D1251">
        <f t="shared" si="48"/>
        <v>50.330624999999998</v>
      </c>
    </row>
    <row r="1252" spans="1:4">
      <c r="A1252">
        <v>1251</v>
      </c>
      <c r="B1252">
        <v>160</v>
      </c>
      <c r="C1252">
        <f t="shared" si="47"/>
        <v>108.37064113440005</v>
      </c>
      <c r="D1252">
        <f t="shared" si="48"/>
        <v>51.629358865599954</v>
      </c>
    </row>
    <row r="1253" spans="1:4">
      <c r="A1253">
        <v>1252</v>
      </c>
      <c r="B1253">
        <v>172</v>
      </c>
      <c r="C1253">
        <f t="shared" si="47"/>
        <v>108.07148253760005</v>
      </c>
      <c r="D1253">
        <f t="shared" si="48"/>
        <v>63.928517462399952</v>
      </c>
    </row>
    <row r="1254" spans="1:4">
      <c r="A1254">
        <v>1253</v>
      </c>
      <c r="B1254">
        <v>184</v>
      </c>
      <c r="C1254">
        <f t="shared" si="47"/>
        <v>107.77189920959995</v>
      </c>
      <c r="D1254">
        <f t="shared" si="48"/>
        <v>76.228100790400049</v>
      </c>
    </row>
    <row r="1255" spans="1:4">
      <c r="A1255">
        <v>1254</v>
      </c>
      <c r="B1255">
        <v>209</v>
      </c>
      <c r="C1255">
        <f t="shared" si="47"/>
        <v>107.47189115039998</v>
      </c>
      <c r="D1255">
        <f t="shared" si="48"/>
        <v>101.52810884960002</v>
      </c>
    </row>
    <row r="1256" spans="1:4">
      <c r="A1256">
        <v>1255</v>
      </c>
      <c r="B1256">
        <v>214</v>
      </c>
      <c r="C1256">
        <f t="shared" si="47"/>
        <v>107.17145835999997</v>
      </c>
      <c r="D1256">
        <f t="shared" si="48"/>
        <v>106.82854164000003</v>
      </c>
    </row>
    <row r="1257" spans="1:4">
      <c r="A1257">
        <v>1256</v>
      </c>
      <c r="B1257">
        <v>182</v>
      </c>
      <c r="C1257">
        <f t="shared" si="47"/>
        <v>106.87060083840004</v>
      </c>
      <c r="D1257">
        <f t="shared" si="48"/>
        <v>75.129399161599963</v>
      </c>
    </row>
    <row r="1258" spans="1:4">
      <c r="A1258">
        <v>1257</v>
      </c>
      <c r="B1258">
        <v>142</v>
      </c>
      <c r="C1258">
        <f t="shared" si="47"/>
        <v>106.56931858559994</v>
      </c>
      <c r="D1258">
        <f t="shared" si="48"/>
        <v>35.430681414400055</v>
      </c>
    </row>
    <row r="1259" spans="1:4">
      <c r="A1259">
        <v>1258</v>
      </c>
      <c r="B1259">
        <v>132</v>
      </c>
      <c r="C1259">
        <f t="shared" si="47"/>
        <v>106.26761160159998</v>
      </c>
      <c r="D1259">
        <f t="shared" si="48"/>
        <v>25.732388398400019</v>
      </c>
    </row>
    <row r="1260" spans="1:4">
      <c r="A1260">
        <v>1259</v>
      </c>
      <c r="B1260">
        <v>126</v>
      </c>
      <c r="C1260">
        <f t="shared" si="47"/>
        <v>105.96547988640003</v>
      </c>
      <c r="D1260">
        <f t="shared" si="48"/>
        <v>20.034520113599967</v>
      </c>
    </row>
    <row r="1261" spans="1:4">
      <c r="A1261">
        <v>1260</v>
      </c>
      <c r="B1261">
        <v>138</v>
      </c>
      <c r="C1261">
        <f t="shared" si="47"/>
        <v>105.66292344000004</v>
      </c>
      <c r="D1261">
        <f t="shared" si="48"/>
        <v>32.337076559999957</v>
      </c>
    </row>
    <row r="1262" spans="1:4">
      <c r="A1262">
        <v>1261</v>
      </c>
      <c r="B1262">
        <v>154</v>
      </c>
      <c r="C1262">
        <f t="shared" si="47"/>
        <v>105.35994226239995</v>
      </c>
      <c r="D1262">
        <f t="shared" si="48"/>
        <v>48.640057737600046</v>
      </c>
    </row>
    <row r="1263" spans="1:4">
      <c r="A1263">
        <v>1262</v>
      </c>
      <c r="B1263">
        <v>179</v>
      </c>
      <c r="C1263">
        <f t="shared" si="47"/>
        <v>105.05653635359999</v>
      </c>
      <c r="D1263">
        <f t="shared" si="48"/>
        <v>73.943463646400005</v>
      </c>
    </row>
    <row r="1264" spans="1:4">
      <c r="A1264">
        <v>1263</v>
      </c>
      <c r="B1264">
        <v>204</v>
      </c>
      <c r="C1264">
        <f t="shared" si="47"/>
        <v>104.75270571360005</v>
      </c>
      <c r="D1264">
        <f t="shared" si="48"/>
        <v>99.247294286399949</v>
      </c>
    </row>
    <row r="1265" spans="1:4">
      <c r="A1265">
        <v>1264</v>
      </c>
      <c r="B1265">
        <v>206</v>
      </c>
      <c r="C1265">
        <f t="shared" si="47"/>
        <v>104.44845034240006</v>
      </c>
      <c r="D1265">
        <f t="shared" si="48"/>
        <v>101.55154965759994</v>
      </c>
    </row>
    <row r="1266" spans="1:4">
      <c r="A1266">
        <v>1265</v>
      </c>
      <c r="B1266">
        <v>201</v>
      </c>
      <c r="C1266">
        <f t="shared" si="47"/>
        <v>104.14377023999998</v>
      </c>
      <c r="D1266">
        <f t="shared" si="48"/>
        <v>96.856229760000019</v>
      </c>
    </row>
    <row r="1267" spans="1:4">
      <c r="A1267">
        <v>1266</v>
      </c>
      <c r="B1267">
        <v>202</v>
      </c>
      <c r="C1267">
        <f t="shared" si="47"/>
        <v>103.83866540640003</v>
      </c>
      <c r="D1267">
        <f t="shared" si="48"/>
        <v>98.161334593599975</v>
      </c>
    </row>
    <row r="1268" spans="1:4">
      <c r="A1268">
        <v>1267</v>
      </c>
      <c r="B1268">
        <v>193</v>
      </c>
      <c r="C1268">
        <f t="shared" si="47"/>
        <v>103.53313584160003</v>
      </c>
      <c r="D1268">
        <f t="shared" si="48"/>
        <v>89.466864158399972</v>
      </c>
    </row>
    <row r="1269" spans="1:4">
      <c r="A1269">
        <v>1268</v>
      </c>
      <c r="B1269">
        <v>194</v>
      </c>
      <c r="C1269">
        <f t="shared" si="47"/>
        <v>103.22718154560005</v>
      </c>
      <c r="D1269">
        <f t="shared" si="48"/>
        <v>90.772818454399953</v>
      </c>
    </row>
    <row r="1270" spans="1:4">
      <c r="A1270">
        <v>1269</v>
      </c>
      <c r="B1270">
        <v>183</v>
      </c>
      <c r="C1270">
        <f t="shared" si="47"/>
        <v>102.92080251840002</v>
      </c>
      <c r="D1270">
        <f t="shared" si="48"/>
        <v>80.079197481599977</v>
      </c>
    </row>
    <row r="1271" spans="1:4">
      <c r="A1271">
        <v>1270</v>
      </c>
      <c r="B1271">
        <v>182</v>
      </c>
      <c r="C1271">
        <f t="shared" si="47"/>
        <v>102.61399876000002</v>
      </c>
      <c r="D1271">
        <f t="shared" si="48"/>
        <v>79.386001239999985</v>
      </c>
    </row>
    <row r="1272" spans="1:4">
      <c r="A1272">
        <v>1271</v>
      </c>
      <c r="B1272">
        <v>187</v>
      </c>
      <c r="C1272">
        <f t="shared" si="47"/>
        <v>102.30677027039997</v>
      </c>
      <c r="D1272">
        <f t="shared" si="48"/>
        <v>84.693229729600034</v>
      </c>
    </row>
    <row r="1273" spans="1:4">
      <c r="A1273">
        <v>1272</v>
      </c>
      <c r="B1273">
        <v>187</v>
      </c>
      <c r="C1273">
        <f t="shared" si="47"/>
        <v>101.99911704959999</v>
      </c>
      <c r="D1273">
        <f t="shared" si="48"/>
        <v>85.000882950400012</v>
      </c>
    </row>
    <row r="1274" spans="1:4">
      <c r="A1274">
        <v>1273</v>
      </c>
      <c r="B1274">
        <v>194</v>
      </c>
      <c r="C1274">
        <f t="shared" si="47"/>
        <v>101.69103909759997</v>
      </c>
      <c r="D1274">
        <f t="shared" si="48"/>
        <v>92.308960902400031</v>
      </c>
    </row>
    <row r="1275" spans="1:4">
      <c r="A1275">
        <v>1274</v>
      </c>
      <c r="B1275">
        <v>209</v>
      </c>
      <c r="C1275">
        <f t="shared" si="47"/>
        <v>101.38253641439996</v>
      </c>
      <c r="D1275">
        <f t="shared" si="48"/>
        <v>107.61746358560004</v>
      </c>
    </row>
    <row r="1276" spans="1:4">
      <c r="A1276">
        <v>1275</v>
      </c>
      <c r="B1276">
        <v>217</v>
      </c>
      <c r="C1276">
        <f t="shared" si="47"/>
        <v>101.07360899999998</v>
      </c>
      <c r="D1276">
        <f t="shared" si="48"/>
        <v>115.92639100000002</v>
      </c>
    </row>
    <row r="1277" spans="1:4">
      <c r="A1277">
        <v>1276</v>
      </c>
      <c r="B1277">
        <v>211</v>
      </c>
      <c r="C1277">
        <f t="shared" si="47"/>
        <v>100.7642568544</v>
      </c>
      <c r="D1277">
        <f t="shared" si="48"/>
        <v>110.2357431456</v>
      </c>
    </row>
    <row r="1278" spans="1:4">
      <c r="A1278">
        <v>1277</v>
      </c>
      <c r="B1278">
        <v>205</v>
      </c>
      <c r="C1278">
        <f t="shared" si="47"/>
        <v>100.45447997759999</v>
      </c>
      <c r="D1278">
        <f t="shared" si="48"/>
        <v>104.54552002240001</v>
      </c>
    </row>
    <row r="1279" spans="1:4">
      <c r="A1279">
        <v>1278</v>
      </c>
      <c r="B1279">
        <v>203</v>
      </c>
      <c r="C1279">
        <f t="shared" si="47"/>
        <v>100.14427836959999</v>
      </c>
      <c r="D1279">
        <f t="shared" si="48"/>
        <v>102.85572163040001</v>
      </c>
    </row>
    <row r="1280" spans="1:4">
      <c r="A1280">
        <v>1279</v>
      </c>
      <c r="B1280">
        <v>208</v>
      </c>
      <c r="C1280">
        <f t="shared" si="47"/>
        <v>99.833652030400003</v>
      </c>
      <c r="D1280">
        <f t="shared" si="48"/>
        <v>108.1663479696</v>
      </c>
    </row>
    <row r="1281" spans="1:4">
      <c r="A1281">
        <v>1280</v>
      </c>
      <c r="B1281">
        <v>213</v>
      </c>
      <c r="C1281">
        <f t="shared" si="47"/>
        <v>99.522600960000034</v>
      </c>
      <c r="D1281">
        <f t="shared" si="48"/>
        <v>113.47739903999997</v>
      </c>
    </row>
    <row r="1282" spans="1:4">
      <c r="A1282">
        <v>1281</v>
      </c>
      <c r="B1282">
        <v>235</v>
      </c>
      <c r="C1282">
        <f t="shared" ref="C1282:C1345" si="49" xml:space="preserve"> -0.0002123656*A1282*A1282 + 0.2323925*A1282 + 150</f>
        <v>99.21112515840008</v>
      </c>
      <c r="D1282">
        <f t="shared" ref="D1282:D1345" si="50">B1282-C1282</f>
        <v>135.78887484159992</v>
      </c>
    </row>
    <row r="1283" spans="1:4">
      <c r="A1283">
        <v>1282</v>
      </c>
      <c r="B1283">
        <v>238</v>
      </c>
      <c r="C1283">
        <f t="shared" si="49"/>
        <v>98.899224625600027</v>
      </c>
      <c r="D1283">
        <f t="shared" si="50"/>
        <v>139.10077537439997</v>
      </c>
    </row>
    <row r="1284" spans="1:4">
      <c r="A1284">
        <v>1283</v>
      </c>
      <c r="B1284">
        <v>266</v>
      </c>
      <c r="C1284">
        <f t="shared" si="49"/>
        <v>98.586899361600047</v>
      </c>
      <c r="D1284">
        <f t="shared" si="50"/>
        <v>167.41310063839995</v>
      </c>
    </row>
    <row r="1285" spans="1:4">
      <c r="A1285">
        <v>1284</v>
      </c>
      <c r="B1285">
        <v>303</v>
      </c>
      <c r="C1285">
        <f t="shared" si="49"/>
        <v>98.274149366400025</v>
      </c>
      <c r="D1285">
        <f t="shared" si="50"/>
        <v>204.72585063359998</v>
      </c>
    </row>
    <row r="1286" spans="1:4">
      <c r="A1286">
        <v>1285</v>
      </c>
      <c r="B1286">
        <v>304</v>
      </c>
      <c r="C1286">
        <f t="shared" si="49"/>
        <v>97.960974640000074</v>
      </c>
      <c r="D1286">
        <f t="shared" si="50"/>
        <v>206.03902535999993</v>
      </c>
    </row>
    <row r="1287" spans="1:4">
      <c r="A1287">
        <v>1286</v>
      </c>
      <c r="B1287">
        <v>256</v>
      </c>
      <c r="C1287">
        <f t="shared" si="49"/>
        <v>97.647375182400026</v>
      </c>
      <c r="D1287">
        <f t="shared" si="50"/>
        <v>158.35262481759997</v>
      </c>
    </row>
    <row r="1288" spans="1:4">
      <c r="A1288">
        <v>1287</v>
      </c>
      <c r="B1288">
        <v>208</v>
      </c>
      <c r="C1288">
        <f t="shared" si="49"/>
        <v>97.33335099360005</v>
      </c>
      <c r="D1288">
        <f t="shared" si="50"/>
        <v>110.66664900639995</v>
      </c>
    </row>
    <row r="1289" spans="1:4">
      <c r="A1289">
        <v>1288</v>
      </c>
      <c r="B1289">
        <v>186</v>
      </c>
      <c r="C1289">
        <f t="shared" si="49"/>
        <v>97.018902073600032</v>
      </c>
      <c r="D1289">
        <f t="shared" si="50"/>
        <v>88.981097926399968</v>
      </c>
    </row>
    <row r="1290" spans="1:4">
      <c r="A1290">
        <v>1289</v>
      </c>
      <c r="B1290">
        <v>196</v>
      </c>
      <c r="C1290">
        <f t="shared" si="49"/>
        <v>96.704028422400086</v>
      </c>
      <c r="D1290">
        <f t="shared" si="50"/>
        <v>99.295971577599914</v>
      </c>
    </row>
    <row r="1291" spans="1:4">
      <c r="A1291">
        <v>1290</v>
      </c>
      <c r="B1291">
        <v>186</v>
      </c>
      <c r="C1291">
        <f t="shared" si="49"/>
        <v>96.388730039999984</v>
      </c>
      <c r="D1291">
        <f t="shared" si="50"/>
        <v>89.611269960000016</v>
      </c>
    </row>
    <row r="1292" spans="1:4">
      <c r="A1292">
        <v>1291</v>
      </c>
      <c r="B1292">
        <v>179</v>
      </c>
      <c r="C1292">
        <f t="shared" si="49"/>
        <v>96.073006926400012</v>
      </c>
      <c r="D1292">
        <f t="shared" si="50"/>
        <v>82.926993073599988</v>
      </c>
    </row>
    <row r="1293" spans="1:4">
      <c r="A1293">
        <v>1292</v>
      </c>
      <c r="B1293">
        <v>188</v>
      </c>
      <c r="C1293">
        <f t="shared" si="49"/>
        <v>95.756859081599998</v>
      </c>
      <c r="D1293">
        <f t="shared" si="50"/>
        <v>92.243140918400002</v>
      </c>
    </row>
    <row r="1294" spans="1:4">
      <c r="A1294">
        <v>1293</v>
      </c>
      <c r="B1294">
        <v>178</v>
      </c>
      <c r="C1294">
        <f t="shared" si="49"/>
        <v>95.440286505600056</v>
      </c>
      <c r="D1294">
        <f t="shared" si="50"/>
        <v>82.559713494399944</v>
      </c>
    </row>
    <row r="1295" spans="1:4">
      <c r="A1295">
        <v>1294</v>
      </c>
      <c r="B1295">
        <v>175</v>
      </c>
      <c r="C1295">
        <f t="shared" si="49"/>
        <v>95.123289198399959</v>
      </c>
      <c r="D1295">
        <f t="shared" si="50"/>
        <v>79.876710801600041</v>
      </c>
    </row>
    <row r="1296" spans="1:4">
      <c r="A1296">
        <v>1295</v>
      </c>
      <c r="B1296">
        <v>158</v>
      </c>
      <c r="C1296">
        <f t="shared" si="49"/>
        <v>94.805867159999991</v>
      </c>
      <c r="D1296">
        <f t="shared" si="50"/>
        <v>63.194132840000009</v>
      </c>
    </row>
    <row r="1297" spans="1:7">
      <c r="A1297">
        <v>1296</v>
      </c>
      <c r="B1297">
        <v>166</v>
      </c>
      <c r="C1297">
        <f t="shared" si="49"/>
        <v>94.488020390400038</v>
      </c>
      <c r="D1297">
        <f t="shared" si="50"/>
        <v>71.511979609599962</v>
      </c>
    </row>
    <row r="1298" spans="1:7">
      <c r="A1298">
        <v>1297</v>
      </c>
      <c r="B1298">
        <v>183</v>
      </c>
      <c r="C1298">
        <f t="shared" si="49"/>
        <v>94.169748889600044</v>
      </c>
      <c r="D1298">
        <f t="shared" si="50"/>
        <v>88.830251110399956</v>
      </c>
    </row>
    <row r="1299" spans="1:7">
      <c r="A1299">
        <v>1298</v>
      </c>
      <c r="B1299">
        <v>169</v>
      </c>
      <c r="C1299">
        <f t="shared" si="49"/>
        <v>93.851052657600007</v>
      </c>
      <c r="D1299">
        <f t="shared" si="50"/>
        <v>75.148947342399993</v>
      </c>
    </row>
    <row r="1300" spans="1:7">
      <c r="A1300">
        <v>1299</v>
      </c>
      <c r="B1300">
        <v>157</v>
      </c>
      <c r="C1300">
        <f t="shared" si="49"/>
        <v>93.531931694399987</v>
      </c>
      <c r="D1300">
        <f t="shared" si="50"/>
        <v>63.468068305600013</v>
      </c>
    </row>
    <row r="1301" spans="1:7">
      <c r="A1301">
        <v>1300</v>
      </c>
      <c r="B1301">
        <v>173</v>
      </c>
      <c r="C1301">
        <f t="shared" si="49"/>
        <v>93.212386000000038</v>
      </c>
      <c r="D1301">
        <f t="shared" si="50"/>
        <v>79.787613999999962</v>
      </c>
    </row>
    <row r="1302" spans="1:7">
      <c r="A1302">
        <v>1301</v>
      </c>
      <c r="B1302">
        <v>167</v>
      </c>
      <c r="C1302">
        <f t="shared" si="49"/>
        <v>92.892415574400047</v>
      </c>
      <c r="D1302">
        <f t="shared" si="50"/>
        <v>74.107584425599953</v>
      </c>
    </row>
    <row r="1303" spans="1:7">
      <c r="A1303">
        <v>1302</v>
      </c>
      <c r="B1303">
        <v>170</v>
      </c>
      <c r="C1303">
        <f t="shared" si="49"/>
        <v>92.572020417600015</v>
      </c>
      <c r="D1303">
        <f t="shared" si="50"/>
        <v>77.427979582399985</v>
      </c>
    </row>
    <row r="1304" spans="1:7">
      <c r="A1304">
        <v>1303</v>
      </c>
      <c r="B1304">
        <v>168</v>
      </c>
      <c r="C1304">
        <f t="shared" si="49"/>
        <v>92.251200529599998</v>
      </c>
      <c r="D1304">
        <f t="shared" si="50"/>
        <v>75.748799470400002</v>
      </c>
    </row>
    <row r="1305" spans="1:7">
      <c r="A1305">
        <v>1304</v>
      </c>
      <c r="B1305">
        <v>177</v>
      </c>
      <c r="C1305">
        <f t="shared" si="49"/>
        <v>91.929955910400054</v>
      </c>
      <c r="D1305">
        <f t="shared" si="50"/>
        <v>85.070044089599946</v>
      </c>
    </row>
    <row r="1306" spans="1:7">
      <c r="A1306">
        <v>1305</v>
      </c>
      <c r="B1306">
        <v>249</v>
      </c>
      <c r="C1306">
        <f t="shared" si="49"/>
        <v>91.608286560000067</v>
      </c>
      <c r="D1306">
        <f t="shared" si="50"/>
        <v>157.39171343999993</v>
      </c>
    </row>
    <row r="1307" spans="1:7">
      <c r="A1307">
        <v>1306</v>
      </c>
      <c r="B1307">
        <v>533</v>
      </c>
      <c r="C1307">
        <f t="shared" si="49"/>
        <v>91.286192478400039</v>
      </c>
      <c r="D1307">
        <f t="shared" si="50"/>
        <v>441.71380752159996</v>
      </c>
    </row>
    <row r="1308" spans="1:7">
      <c r="A1308">
        <v>1307</v>
      </c>
      <c r="B1308">
        <v>1308</v>
      </c>
      <c r="C1308">
        <f t="shared" si="49"/>
        <v>90.963673665600027</v>
      </c>
      <c r="D1308">
        <f t="shared" si="50"/>
        <v>1217.0363263344</v>
      </c>
    </row>
    <row r="1309" spans="1:7" ht="17.25">
      <c r="A1309">
        <v>1308</v>
      </c>
      <c r="B1309">
        <v>1888</v>
      </c>
      <c r="C1309">
        <f t="shared" si="49"/>
        <v>90.640730121600029</v>
      </c>
      <c r="D1309">
        <f t="shared" si="50"/>
        <v>1797.3592698784</v>
      </c>
      <c r="F1309">
        <v>1308</v>
      </c>
      <c r="G1309" t="s">
        <v>32</v>
      </c>
    </row>
    <row r="1310" spans="1:7">
      <c r="A1310">
        <v>1309</v>
      </c>
      <c r="B1310">
        <v>1617</v>
      </c>
      <c r="C1310">
        <f t="shared" si="49"/>
        <v>90.317361846400047</v>
      </c>
      <c r="D1310">
        <f t="shared" si="50"/>
        <v>1526.6826381536</v>
      </c>
    </row>
    <row r="1311" spans="1:7">
      <c r="A1311">
        <v>1310</v>
      </c>
      <c r="B1311">
        <v>866</v>
      </c>
      <c r="C1311">
        <f t="shared" si="49"/>
        <v>89.993568839999966</v>
      </c>
      <c r="D1311">
        <f t="shared" si="50"/>
        <v>776.00643116000003</v>
      </c>
    </row>
    <row r="1312" spans="1:7">
      <c r="A1312">
        <v>1311</v>
      </c>
      <c r="B1312">
        <v>401</v>
      </c>
      <c r="C1312">
        <f t="shared" si="49"/>
        <v>89.669351102400014</v>
      </c>
      <c r="D1312">
        <f t="shared" si="50"/>
        <v>311.33064889759999</v>
      </c>
    </row>
    <row r="1313" spans="1:4">
      <c r="A1313">
        <v>1312</v>
      </c>
      <c r="B1313">
        <v>252</v>
      </c>
      <c r="C1313">
        <f t="shared" si="49"/>
        <v>89.344708633600021</v>
      </c>
      <c r="D1313">
        <f t="shared" si="50"/>
        <v>162.65529136639998</v>
      </c>
    </row>
    <row r="1314" spans="1:4">
      <c r="A1314">
        <v>1313</v>
      </c>
      <c r="B1314">
        <v>193</v>
      </c>
      <c r="C1314">
        <f t="shared" si="49"/>
        <v>89.019641433600043</v>
      </c>
      <c r="D1314">
        <f t="shared" si="50"/>
        <v>103.98035856639996</v>
      </c>
    </row>
    <row r="1315" spans="1:4">
      <c r="A1315">
        <v>1314</v>
      </c>
      <c r="B1315">
        <v>183</v>
      </c>
      <c r="C1315">
        <f t="shared" si="49"/>
        <v>88.694149502399966</v>
      </c>
      <c r="D1315">
        <f t="shared" si="50"/>
        <v>94.305850497600034</v>
      </c>
    </row>
    <row r="1316" spans="1:4">
      <c r="A1316">
        <v>1315</v>
      </c>
      <c r="B1316">
        <v>202</v>
      </c>
      <c r="C1316">
        <f t="shared" si="49"/>
        <v>88.368232840000019</v>
      </c>
      <c r="D1316">
        <f t="shared" si="50"/>
        <v>113.63176715999998</v>
      </c>
    </row>
    <row r="1317" spans="1:4">
      <c r="A1317">
        <v>1316</v>
      </c>
      <c r="B1317">
        <v>296</v>
      </c>
      <c r="C1317">
        <f t="shared" si="49"/>
        <v>88.04189144640003</v>
      </c>
      <c r="D1317">
        <f t="shared" si="50"/>
        <v>207.95810855359997</v>
      </c>
    </row>
    <row r="1318" spans="1:4">
      <c r="A1318">
        <v>1317</v>
      </c>
      <c r="B1318">
        <v>537</v>
      </c>
      <c r="C1318">
        <f t="shared" si="49"/>
        <v>87.715125321600055</v>
      </c>
      <c r="D1318">
        <f t="shared" si="50"/>
        <v>449.28487467839994</v>
      </c>
    </row>
    <row r="1319" spans="1:4">
      <c r="A1319">
        <v>1318</v>
      </c>
      <c r="B1319">
        <v>887</v>
      </c>
      <c r="C1319">
        <f t="shared" si="49"/>
        <v>87.387934465599983</v>
      </c>
      <c r="D1319">
        <f t="shared" si="50"/>
        <v>799.61206553440002</v>
      </c>
    </row>
    <row r="1320" spans="1:4">
      <c r="A1320">
        <v>1319</v>
      </c>
      <c r="B1320">
        <v>956</v>
      </c>
      <c r="C1320">
        <f t="shared" si="49"/>
        <v>87.060318878400039</v>
      </c>
      <c r="D1320">
        <f t="shared" si="50"/>
        <v>868.93968112159996</v>
      </c>
    </row>
    <row r="1321" spans="1:4">
      <c r="A1321">
        <v>1320</v>
      </c>
      <c r="B1321">
        <v>663</v>
      </c>
      <c r="C1321">
        <f t="shared" si="49"/>
        <v>86.732278560000054</v>
      </c>
      <c r="D1321">
        <f t="shared" si="50"/>
        <v>576.26772143999995</v>
      </c>
    </row>
    <row r="1322" spans="1:4">
      <c r="A1322">
        <v>1321</v>
      </c>
      <c r="B1322">
        <v>345</v>
      </c>
      <c r="C1322">
        <f t="shared" si="49"/>
        <v>86.403813510400084</v>
      </c>
      <c r="D1322">
        <f t="shared" si="50"/>
        <v>258.59618648959992</v>
      </c>
    </row>
    <row r="1323" spans="1:4">
      <c r="A1323">
        <v>1322</v>
      </c>
      <c r="B1323">
        <v>193</v>
      </c>
      <c r="C1323">
        <f t="shared" si="49"/>
        <v>86.074923729600016</v>
      </c>
      <c r="D1323">
        <f t="shared" si="50"/>
        <v>106.92507627039998</v>
      </c>
    </row>
    <row r="1324" spans="1:4">
      <c r="A1324">
        <v>1323</v>
      </c>
      <c r="B1324">
        <v>174</v>
      </c>
      <c r="C1324">
        <f t="shared" si="49"/>
        <v>85.74560921760002</v>
      </c>
      <c r="D1324">
        <f t="shared" si="50"/>
        <v>88.25439078239998</v>
      </c>
    </row>
    <row r="1325" spans="1:4">
      <c r="A1325">
        <v>1324</v>
      </c>
      <c r="B1325">
        <v>174</v>
      </c>
      <c r="C1325">
        <f t="shared" si="49"/>
        <v>85.415869974400039</v>
      </c>
      <c r="D1325">
        <f t="shared" si="50"/>
        <v>88.584130025599961</v>
      </c>
    </row>
    <row r="1326" spans="1:4">
      <c r="A1326">
        <v>1325</v>
      </c>
      <c r="B1326">
        <v>163</v>
      </c>
      <c r="C1326">
        <f t="shared" si="49"/>
        <v>85.085706000000073</v>
      </c>
      <c r="D1326">
        <f t="shared" si="50"/>
        <v>77.914293999999927</v>
      </c>
    </row>
    <row r="1327" spans="1:4">
      <c r="A1327">
        <v>1326</v>
      </c>
      <c r="B1327">
        <v>182</v>
      </c>
      <c r="C1327">
        <f t="shared" si="49"/>
        <v>84.755117294399952</v>
      </c>
      <c r="D1327">
        <f t="shared" si="50"/>
        <v>97.244882705600048</v>
      </c>
    </row>
    <row r="1328" spans="1:4">
      <c r="A1328">
        <v>1327</v>
      </c>
      <c r="B1328">
        <v>208</v>
      </c>
      <c r="C1328">
        <f t="shared" si="49"/>
        <v>84.42410385759996</v>
      </c>
      <c r="D1328">
        <f t="shared" si="50"/>
        <v>123.57589614240004</v>
      </c>
    </row>
    <row r="1329" spans="1:4">
      <c r="A1329">
        <v>1328</v>
      </c>
      <c r="B1329">
        <v>207</v>
      </c>
      <c r="C1329">
        <f t="shared" si="49"/>
        <v>84.092665689599983</v>
      </c>
      <c r="D1329">
        <f t="shared" si="50"/>
        <v>122.90733431040002</v>
      </c>
    </row>
    <row r="1330" spans="1:4">
      <c r="A1330">
        <v>1329</v>
      </c>
      <c r="B1330">
        <v>179</v>
      </c>
      <c r="C1330">
        <f t="shared" si="49"/>
        <v>83.760802790400021</v>
      </c>
      <c r="D1330">
        <f t="shared" si="50"/>
        <v>95.239197209599979</v>
      </c>
    </row>
    <row r="1331" spans="1:4">
      <c r="A1331">
        <v>1330</v>
      </c>
      <c r="B1331">
        <v>177</v>
      </c>
      <c r="C1331">
        <f t="shared" si="49"/>
        <v>83.428515159999961</v>
      </c>
      <c r="D1331">
        <f t="shared" si="50"/>
        <v>93.571484840000039</v>
      </c>
    </row>
    <row r="1332" spans="1:4">
      <c r="A1332">
        <v>1331</v>
      </c>
      <c r="B1332">
        <v>171</v>
      </c>
      <c r="C1332">
        <f t="shared" si="49"/>
        <v>83.095802798399973</v>
      </c>
      <c r="D1332">
        <f t="shared" si="50"/>
        <v>87.904197201600027</v>
      </c>
    </row>
    <row r="1333" spans="1:4">
      <c r="A1333">
        <v>1332</v>
      </c>
      <c r="B1333">
        <v>156</v>
      </c>
      <c r="C1333">
        <f t="shared" si="49"/>
        <v>82.7626657056</v>
      </c>
      <c r="D1333">
        <f t="shared" si="50"/>
        <v>73.2373342944</v>
      </c>
    </row>
    <row r="1334" spans="1:4">
      <c r="A1334">
        <v>1333</v>
      </c>
      <c r="B1334">
        <v>130</v>
      </c>
      <c r="C1334">
        <f t="shared" si="49"/>
        <v>82.429103881600042</v>
      </c>
      <c r="D1334">
        <f t="shared" si="50"/>
        <v>47.570896118399958</v>
      </c>
    </row>
    <row r="1335" spans="1:4">
      <c r="A1335">
        <v>1334</v>
      </c>
      <c r="B1335">
        <v>140</v>
      </c>
      <c r="C1335">
        <f t="shared" si="49"/>
        <v>82.095117326399986</v>
      </c>
      <c r="D1335">
        <f t="shared" si="50"/>
        <v>57.904882673600014</v>
      </c>
    </row>
    <row r="1336" spans="1:4">
      <c r="A1336">
        <v>1335</v>
      </c>
      <c r="B1336">
        <v>155</v>
      </c>
      <c r="C1336">
        <f t="shared" si="49"/>
        <v>81.760706040000002</v>
      </c>
      <c r="D1336">
        <f t="shared" si="50"/>
        <v>73.239293959999998</v>
      </c>
    </row>
    <row r="1337" spans="1:4">
      <c r="A1337">
        <v>1336</v>
      </c>
      <c r="B1337">
        <v>148</v>
      </c>
      <c r="C1337">
        <f t="shared" si="49"/>
        <v>81.425870022400034</v>
      </c>
      <c r="D1337">
        <f t="shared" si="50"/>
        <v>66.574129977599966</v>
      </c>
    </row>
    <row r="1338" spans="1:4">
      <c r="A1338">
        <v>1337</v>
      </c>
      <c r="B1338">
        <v>117</v>
      </c>
      <c r="C1338">
        <f t="shared" si="49"/>
        <v>81.090609273600023</v>
      </c>
      <c r="D1338">
        <f t="shared" si="50"/>
        <v>35.909390726399977</v>
      </c>
    </row>
    <row r="1339" spans="1:4">
      <c r="A1339">
        <v>1338</v>
      </c>
      <c r="B1339">
        <v>128</v>
      </c>
      <c r="C1339">
        <f t="shared" si="49"/>
        <v>80.754923793599971</v>
      </c>
      <c r="D1339">
        <f t="shared" si="50"/>
        <v>47.245076206400029</v>
      </c>
    </row>
    <row r="1340" spans="1:4">
      <c r="A1340">
        <v>1339</v>
      </c>
      <c r="B1340">
        <v>161</v>
      </c>
      <c r="C1340">
        <f t="shared" si="49"/>
        <v>80.418813582399991</v>
      </c>
      <c r="D1340">
        <f t="shared" si="50"/>
        <v>80.581186417600009</v>
      </c>
    </row>
    <row r="1341" spans="1:4">
      <c r="A1341">
        <v>1340</v>
      </c>
      <c r="B1341">
        <v>157</v>
      </c>
      <c r="C1341">
        <f t="shared" si="49"/>
        <v>80.082278640000027</v>
      </c>
      <c r="D1341">
        <f t="shared" si="50"/>
        <v>76.917721359999973</v>
      </c>
    </row>
    <row r="1342" spans="1:4">
      <c r="A1342">
        <v>1341</v>
      </c>
      <c r="B1342">
        <v>126</v>
      </c>
      <c r="C1342">
        <f t="shared" si="49"/>
        <v>79.745318966400077</v>
      </c>
      <c r="D1342">
        <f t="shared" si="50"/>
        <v>46.254681033599923</v>
      </c>
    </row>
    <row r="1343" spans="1:4">
      <c r="A1343">
        <v>1342</v>
      </c>
      <c r="B1343">
        <v>122</v>
      </c>
      <c r="C1343">
        <f t="shared" si="49"/>
        <v>79.40793456160003</v>
      </c>
      <c r="D1343">
        <f t="shared" si="50"/>
        <v>42.59206543839997</v>
      </c>
    </row>
    <row r="1344" spans="1:4">
      <c r="A1344">
        <v>1343</v>
      </c>
      <c r="B1344">
        <v>155</v>
      </c>
      <c r="C1344">
        <f t="shared" si="49"/>
        <v>79.070125425600054</v>
      </c>
      <c r="D1344">
        <f t="shared" si="50"/>
        <v>75.929874574399946</v>
      </c>
    </row>
    <row r="1345" spans="1:4">
      <c r="A1345">
        <v>1344</v>
      </c>
      <c r="B1345">
        <v>184</v>
      </c>
      <c r="C1345">
        <f t="shared" si="49"/>
        <v>78.73189155839998</v>
      </c>
      <c r="D1345">
        <f t="shared" si="50"/>
        <v>105.26810844160002</v>
      </c>
    </row>
    <row r="1346" spans="1:4">
      <c r="A1346">
        <v>1345</v>
      </c>
      <c r="B1346">
        <v>182</v>
      </c>
      <c r="C1346">
        <f t="shared" ref="C1346:C1409" si="51" xml:space="preserve"> -0.0002123656*A1346*A1346 + 0.2323925*A1346 + 150</f>
        <v>78.393232960000034</v>
      </c>
      <c r="D1346">
        <f t="shared" ref="D1346:D1409" si="52">B1346-C1346</f>
        <v>103.60676703999997</v>
      </c>
    </row>
    <row r="1347" spans="1:4">
      <c r="A1347">
        <v>1346</v>
      </c>
      <c r="B1347">
        <v>279</v>
      </c>
      <c r="C1347">
        <f t="shared" si="51"/>
        <v>78.054149630399991</v>
      </c>
      <c r="D1347">
        <f t="shared" si="52"/>
        <v>200.94585036960001</v>
      </c>
    </row>
    <row r="1348" spans="1:4">
      <c r="A1348">
        <v>1347</v>
      </c>
      <c r="B1348">
        <v>537</v>
      </c>
      <c r="C1348">
        <f t="shared" si="51"/>
        <v>77.714641569599962</v>
      </c>
      <c r="D1348">
        <f t="shared" si="52"/>
        <v>459.28535843040004</v>
      </c>
    </row>
    <row r="1349" spans="1:4">
      <c r="A1349">
        <v>1348</v>
      </c>
      <c r="B1349">
        <v>682</v>
      </c>
      <c r="C1349">
        <f t="shared" si="51"/>
        <v>77.374708777600006</v>
      </c>
      <c r="D1349">
        <f t="shared" si="52"/>
        <v>604.62529122239994</v>
      </c>
    </row>
    <row r="1350" spans="1:4">
      <c r="A1350">
        <v>1349</v>
      </c>
      <c r="B1350">
        <v>538</v>
      </c>
      <c r="C1350">
        <f t="shared" si="51"/>
        <v>77.034351254400008</v>
      </c>
      <c r="D1350">
        <f t="shared" si="52"/>
        <v>460.96564874559999</v>
      </c>
    </row>
    <row r="1351" spans="1:4">
      <c r="A1351">
        <v>1350</v>
      </c>
      <c r="B1351">
        <v>330</v>
      </c>
      <c r="C1351">
        <f t="shared" si="51"/>
        <v>76.693568999999968</v>
      </c>
      <c r="D1351">
        <f t="shared" si="52"/>
        <v>253.30643100000003</v>
      </c>
    </row>
    <row r="1352" spans="1:4">
      <c r="A1352">
        <v>1351</v>
      </c>
      <c r="B1352">
        <v>313</v>
      </c>
      <c r="C1352">
        <f t="shared" si="51"/>
        <v>76.352362014400001</v>
      </c>
      <c r="D1352">
        <f t="shared" si="52"/>
        <v>236.6476379856</v>
      </c>
    </row>
    <row r="1353" spans="1:4">
      <c r="A1353">
        <v>1352</v>
      </c>
      <c r="B1353">
        <v>513</v>
      </c>
      <c r="C1353">
        <f t="shared" si="51"/>
        <v>76.010730297599991</v>
      </c>
      <c r="D1353">
        <f t="shared" si="52"/>
        <v>436.98926970240001</v>
      </c>
    </row>
    <row r="1354" spans="1:4">
      <c r="A1354">
        <v>1353</v>
      </c>
      <c r="B1354">
        <v>626</v>
      </c>
      <c r="C1354">
        <f t="shared" si="51"/>
        <v>75.668673849600054</v>
      </c>
      <c r="D1354">
        <f t="shared" si="52"/>
        <v>550.33132615039995</v>
      </c>
    </row>
    <row r="1355" spans="1:4">
      <c r="A1355">
        <v>1354</v>
      </c>
      <c r="B1355">
        <v>479</v>
      </c>
      <c r="C1355">
        <f t="shared" si="51"/>
        <v>75.326192670399962</v>
      </c>
      <c r="D1355">
        <f t="shared" si="52"/>
        <v>403.67380732960004</v>
      </c>
    </row>
    <row r="1356" spans="1:4">
      <c r="A1356">
        <v>1355</v>
      </c>
      <c r="B1356">
        <v>297</v>
      </c>
      <c r="C1356">
        <f t="shared" si="51"/>
        <v>74.983286759999999</v>
      </c>
      <c r="D1356">
        <f t="shared" si="52"/>
        <v>222.01671324</v>
      </c>
    </row>
    <row r="1357" spans="1:4">
      <c r="A1357">
        <v>1356</v>
      </c>
      <c r="B1357">
        <v>196</v>
      </c>
      <c r="C1357">
        <f t="shared" si="51"/>
        <v>74.63995611840005</v>
      </c>
      <c r="D1357">
        <f t="shared" si="52"/>
        <v>121.36004388159995</v>
      </c>
    </row>
    <row r="1358" spans="1:4">
      <c r="A1358">
        <v>1357</v>
      </c>
      <c r="B1358">
        <v>221</v>
      </c>
      <c r="C1358">
        <f t="shared" si="51"/>
        <v>74.296200745600061</v>
      </c>
      <c r="D1358">
        <f t="shared" si="52"/>
        <v>146.70379925439994</v>
      </c>
    </row>
    <row r="1359" spans="1:4">
      <c r="A1359">
        <v>1358</v>
      </c>
      <c r="B1359">
        <v>437</v>
      </c>
      <c r="C1359">
        <f t="shared" si="51"/>
        <v>73.952020641599972</v>
      </c>
      <c r="D1359">
        <f t="shared" si="52"/>
        <v>363.04797935840003</v>
      </c>
    </row>
    <row r="1360" spans="1:4">
      <c r="A1360">
        <v>1359</v>
      </c>
      <c r="B1360">
        <v>859</v>
      </c>
      <c r="C1360">
        <f t="shared" si="51"/>
        <v>73.607415806400013</v>
      </c>
      <c r="D1360">
        <f t="shared" si="52"/>
        <v>785.39258419359999</v>
      </c>
    </row>
    <row r="1361" spans="1:4">
      <c r="A1361">
        <v>1360</v>
      </c>
      <c r="B1361">
        <v>1068</v>
      </c>
      <c r="C1361">
        <f t="shared" si="51"/>
        <v>73.262386240000069</v>
      </c>
      <c r="D1361">
        <f t="shared" si="52"/>
        <v>994.73761375999993</v>
      </c>
    </row>
    <row r="1362" spans="1:4">
      <c r="A1362">
        <v>1361</v>
      </c>
      <c r="B1362">
        <v>827</v>
      </c>
      <c r="C1362">
        <f t="shared" si="51"/>
        <v>72.916931942400083</v>
      </c>
      <c r="D1362">
        <f t="shared" si="52"/>
        <v>754.08306805759992</v>
      </c>
    </row>
    <row r="1363" spans="1:4">
      <c r="A1363">
        <v>1362</v>
      </c>
      <c r="B1363">
        <v>437</v>
      </c>
      <c r="C1363">
        <f t="shared" si="51"/>
        <v>72.571052913599999</v>
      </c>
      <c r="D1363">
        <f t="shared" si="52"/>
        <v>364.4289470864</v>
      </c>
    </row>
    <row r="1364" spans="1:4">
      <c r="A1364">
        <v>1363</v>
      </c>
      <c r="B1364">
        <v>222</v>
      </c>
      <c r="C1364">
        <f t="shared" si="51"/>
        <v>72.224749153599987</v>
      </c>
      <c r="D1364">
        <f t="shared" si="52"/>
        <v>149.77525084640001</v>
      </c>
    </row>
    <row r="1365" spans="1:4">
      <c r="A1365">
        <v>1364</v>
      </c>
      <c r="B1365">
        <v>142</v>
      </c>
      <c r="C1365">
        <f t="shared" si="51"/>
        <v>71.87802066239999</v>
      </c>
      <c r="D1365">
        <f t="shared" si="52"/>
        <v>70.12197933760001</v>
      </c>
    </row>
    <row r="1366" spans="1:4">
      <c r="A1366">
        <v>1365</v>
      </c>
      <c r="B1366">
        <v>123</v>
      </c>
      <c r="C1366">
        <f t="shared" si="51"/>
        <v>71.530867440000009</v>
      </c>
      <c r="D1366">
        <f t="shared" si="52"/>
        <v>51.469132559999991</v>
      </c>
    </row>
    <row r="1367" spans="1:4">
      <c r="A1367">
        <v>1366</v>
      </c>
      <c r="B1367">
        <v>129</v>
      </c>
      <c r="C1367">
        <f t="shared" si="51"/>
        <v>71.183289486400042</v>
      </c>
      <c r="D1367">
        <f t="shared" si="52"/>
        <v>57.816710513599958</v>
      </c>
    </row>
    <row r="1368" spans="1:4">
      <c r="A1368">
        <v>1367</v>
      </c>
      <c r="B1368">
        <v>139</v>
      </c>
      <c r="C1368">
        <f t="shared" si="51"/>
        <v>70.835286801599977</v>
      </c>
      <c r="D1368">
        <f t="shared" si="52"/>
        <v>68.164713198400023</v>
      </c>
    </row>
    <row r="1369" spans="1:4">
      <c r="A1369">
        <v>1368</v>
      </c>
      <c r="B1369">
        <v>124</v>
      </c>
      <c r="C1369">
        <f t="shared" si="51"/>
        <v>70.486859385599985</v>
      </c>
      <c r="D1369">
        <f t="shared" si="52"/>
        <v>53.513140614400015</v>
      </c>
    </row>
    <row r="1370" spans="1:4">
      <c r="A1370">
        <v>1369</v>
      </c>
      <c r="B1370">
        <v>109</v>
      </c>
      <c r="C1370">
        <f t="shared" si="51"/>
        <v>70.138007238400007</v>
      </c>
      <c r="D1370">
        <f t="shared" si="52"/>
        <v>38.861992761599993</v>
      </c>
    </row>
    <row r="1371" spans="1:4">
      <c r="A1371">
        <v>1370</v>
      </c>
      <c r="B1371">
        <v>98</v>
      </c>
      <c r="C1371">
        <f t="shared" si="51"/>
        <v>69.788730360000045</v>
      </c>
      <c r="D1371">
        <f t="shared" si="52"/>
        <v>28.211269639999955</v>
      </c>
    </row>
    <row r="1372" spans="1:4">
      <c r="A1372">
        <v>1371</v>
      </c>
      <c r="B1372">
        <v>124</v>
      </c>
      <c r="C1372">
        <f t="shared" si="51"/>
        <v>69.439028750399984</v>
      </c>
      <c r="D1372">
        <f t="shared" si="52"/>
        <v>54.560971249600016</v>
      </c>
    </row>
    <row r="1373" spans="1:4">
      <c r="A1373">
        <v>1372</v>
      </c>
      <c r="B1373">
        <v>148</v>
      </c>
      <c r="C1373">
        <f t="shared" si="51"/>
        <v>69.088902409599996</v>
      </c>
      <c r="D1373">
        <f t="shared" si="52"/>
        <v>78.911097590400004</v>
      </c>
    </row>
    <row r="1374" spans="1:4">
      <c r="A1374">
        <v>1373</v>
      </c>
      <c r="B1374">
        <v>129</v>
      </c>
      <c r="C1374">
        <f t="shared" si="51"/>
        <v>68.738351337600022</v>
      </c>
      <c r="D1374">
        <f t="shared" si="52"/>
        <v>60.261648662399978</v>
      </c>
    </row>
    <row r="1375" spans="1:4">
      <c r="A1375">
        <v>1374</v>
      </c>
      <c r="B1375">
        <v>120</v>
      </c>
      <c r="C1375">
        <f t="shared" si="51"/>
        <v>68.387375534400064</v>
      </c>
      <c r="D1375">
        <f t="shared" si="52"/>
        <v>51.612624465599936</v>
      </c>
    </row>
    <row r="1376" spans="1:4">
      <c r="A1376">
        <v>1375</v>
      </c>
      <c r="B1376">
        <v>162</v>
      </c>
      <c r="C1376">
        <f t="shared" si="51"/>
        <v>68.035975000000008</v>
      </c>
      <c r="D1376">
        <f t="shared" si="52"/>
        <v>93.964024999999992</v>
      </c>
    </row>
    <row r="1377" spans="1:7">
      <c r="A1377">
        <v>1376</v>
      </c>
      <c r="B1377">
        <v>287</v>
      </c>
      <c r="C1377">
        <f t="shared" si="51"/>
        <v>67.684149734400023</v>
      </c>
      <c r="D1377">
        <f t="shared" si="52"/>
        <v>219.31585026559998</v>
      </c>
    </row>
    <row r="1378" spans="1:7">
      <c r="A1378">
        <v>1377</v>
      </c>
      <c r="B1378">
        <v>732</v>
      </c>
      <c r="C1378">
        <f t="shared" si="51"/>
        <v>67.331899737600054</v>
      </c>
      <c r="D1378">
        <f t="shared" si="52"/>
        <v>664.6681002624</v>
      </c>
    </row>
    <row r="1379" spans="1:7">
      <c r="A1379">
        <v>1378</v>
      </c>
      <c r="B1379">
        <v>2026</v>
      </c>
      <c r="C1379">
        <f t="shared" si="51"/>
        <v>66.9792250096001</v>
      </c>
      <c r="D1379">
        <f t="shared" si="52"/>
        <v>1959.0207749903998</v>
      </c>
    </row>
    <row r="1380" spans="1:7" ht="17.25">
      <c r="A1380">
        <v>1379</v>
      </c>
      <c r="B1380">
        <v>2901</v>
      </c>
      <c r="C1380">
        <f t="shared" si="51"/>
        <v>66.626125550400047</v>
      </c>
      <c r="D1380">
        <f t="shared" si="52"/>
        <v>2834.3738744496</v>
      </c>
      <c r="F1380">
        <v>1379</v>
      </c>
      <c r="G1380" t="s">
        <v>33</v>
      </c>
    </row>
    <row r="1381" spans="1:7">
      <c r="A1381">
        <v>1380</v>
      </c>
      <c r="B1381">
        <v>2471</v>
      </c>
      <c r="C1381">
        <f t="shared" si="51"/>
        <v>66.272601360000067</v>
      </c>
      <c r="D1381">
        <f t="shared" si="52"/>
        <v>2404.72739864</v>
      </c>
    </row>
    <row r="1382" spans="1:7">
      <c r="A1382">
        <v>1381</v>
      </c>
      <c r="B1382">
        <v>1258</v>
      </c>
      <c r="C1382">
        <f t="shared" si="51"/>
        <v>65.918652438399988</v>
      </c>
      <c r="D1382">
        <f t="shared" si="52"/>
        <v>1192.0813475616001</v>
      </c>
    </row>
    <row r="1383" spans="1:7">
      <c r="A1383">
        <v>1382</v>
      </c>
      <c r="B1383">
        <v>522</v>
      </c>
      <c r="C1383">
        <f t="shared" si="51"/>
        <v>65.564278785600038</v>
      </c>
      <c r="D1383">
        <f t="shared" si="52"/>
        <v>456.43572121439996</v>
      </c>
    </row>
    <row r="1384" spans="1:7">
      <c r="A1384">
        <v>1383</v>
      </c>
      <c r="B1384">
        <v>316</v>
      </c>
      <c r="C1384">
        <f t="shared" si="51"/>
        <v>65.20948040159999</v>
      </c>
      <c r="D1384">
        <f t="shared" si="52"/>
        <v>250.79051959840001</v>
      </c>
    </row>
    <row r="1385" spans="1:7">
      <c r="A1385">
        <v>1384</v>
      </c>
      <c r="B1385">
        <v>261</v>
      </c>
      <c r="C1385">
        <f t="shared" si="51"/>
        <v>64.854257286400014</v>
      </c>
      <c r="D1385">
        <f t="shared" si="52"/>
        <v>196.14574271359999</v>
      </c>
    </row>
    <row r="1386" spans="1:7">
      <c r="A1386">
        <v>1385</v>
      </c>
      <c r="B1386">
        <v>200</v>
      </c>
      <c r="C1386">
        <f t="shared" si="51"/>
        <v>64.498609439999996</v>
      </c>
      <c r="D1386">
        <f t="shared" si="52"/>
        <v>135.50139056</v>
      </c>
    </row>
    <row r="1387" spans="1:7">
      <c r="A1387">
        <v>1386</v>
      </c>
      <c r="B1387">
        <v>155</v>
      </c>
      <c r="C1387">
        <f t="shared" si="51"/>
        <v>64.14253686240005</v>
      </c>
      <c r="D1387">
        <f t="shared" si="52"/>
        <v>90.85746313759995</v>
      </c>
    </row>
    <row r="1388" spans="1:7">
      <c r="A1388">
        <v>1387</v>
      </c>
      <c r="B1388">
        <v>155</v>
      </c>
      <c r="C1388">
        <f t="shared" si="51"/>
        <v>63.786039553600006</v>
      </c>
      <c r="D1388">
        <f t="shared" si="52"/>
        <v>91.213960446399994</v>
      </c>
    </row>
    <row r="1389" spans="1:7">
      <c r="A1389">
        <v>1388</v>
      </c>
      <c r="B1389">
        <v>297</v>
      </c>
      <c r="C1389">
        <f t="shared" si="51"/>
        <v>63.429117513600033</v>
      </c>
      <c r="D1389">
        <f t="shared" si="52"/>
        <v>233.57088248639997</v>
      </c>
    </row>
    <row r="1390" spans="1:7">
      <c r="A1390">
        <v>1389</v>
      </c>
      <c r="B1390">
        <v>647</v>
      </c>
      <c r="C1390">
        <f t="shared" si="51"/>
        <v>63.07177074240002</v>
      </c>
      <c r="D1390">
        <f t="shared" si="52"/>
        <v>583.92822925759992</v>
      </c>
    </row>
    <row r="1391" spans="1:7">
      <c r="A1391">
        <v>1390</v>
      </c>
      <c r="B1391">
        <v>868</v>
      </c>
      <c r="C1391">
        <f t="shared" si="51"/>
        <v>62.713999240000078</v>
      </c>
      <c r="D1391">
        <f t="shared" si="52"/>
        <v>805.28600075999998</v>
      </c>
    </row>
    <row r="1392" spans="1:7">
      <c r="A1392">
        <v>1391</v>
      </c>
      <c r="B1392">
        <v>759</v>
      </c>
      <c r="C1392">
        <f t="shared" si="51"/>
        <v>62.355803006399981</v>
      </c>
      <c r="D1392">
        <f t="shared" si="52"/>
        <v>696.64419699359996</v>
      </c>
    </row>
    <row r="1393" spans="1:4">
      <c r="A1393">
        <v>1392</v>
      </c>
      <c r="B1393">
        <v>440</v>
      </c>
      <c r="C1393">
        <f t="shared" si="51"/>
        <v>61.997182041600013</v>
      </c>
      <c r="D1393">
        <f t="shared" si="52"/>
        <v>378.00281795839999</v>
      </c>
    </row>
    <row r="1394" spans="1:4">
      <c r="A1394">
        <v>1393</v>
      </c>
      <c r="B1394">
        <v>208</v>
      </c>
      <c r="C1394">
        <f t="shared" si="51"/>
        <v>61.63813634560006</v>
      </c>
      <c r="D1394">
        <f t="shared" si="52"/>
        <v>146.36186365439994</v>
      </c>
    </row>
    <row r="1395" spans="1:4">
      <c r="A1395">
        <v>1394</v>
      </c>
      <c r="B1395">
        <v>127</v>
      </c>
      <c r="C1395">
        <f t="shared" si="51"/>
        <v>61.278665918400065</v>
      </c>
      <c r="D1395">
        <f t="shared" si="52"/>
        <v>65.721334081599935</v>
      </c>
    </row>
    <row r="1396" spans="1:4">
      <c r="A1396">
        <v>1395</v>
      </c>
      <c r="B1396">
        <v>96</v>
      </c>
      <c r="C1396">
        <f t="shared" si="51"/>
        <v>60.918770760000029</v>
      </c>
      <c r="D1396">
        <f t="shared" si="52"/>
        <v>35.081229239999971</v>
      </c>
    </row>
    <row r="1397" spans="1:4">
      <c r="A1397">
        <v>1396</v>
      </c>
      <c r="B1397">
        <v>81</v>
      </c>
      <c r="C1397">
        <f t="shared" si="51"/>
        <v>60.558450870400009</v>
      </c>
      <c r="D1397">
        <f t="shared" si="52"/>
        <v>20.441549129599991</v>
      </c>
    </row>
    <row r="1398" spans="1:4">
      <c r="A1398">
        <v>1397</v>
      </c>
      <c r="B1398">
        <v>66</v>
      </c>
      <c r="C1398">
        <f t="shared" si="51"/>
        <v>60.19770624960006</v>
      </c>
      <c r="D1398">
        <f t="shared" si="52"/>
        <v>5.8022937503999401</v>
      </c>
    </row>
    <row r="1399" spans="1:4">
      <c r="A1399">
        <v>1398</v>
      </c>
      <c r="B1399">
        <v>56</v>
      </c>
      <c r="C1399">
        <f t="shared" si="51"/>
        <v>59.83653689760007</v>
      </c>
      <c r="D1399">
        <f t="shared" si="52"/>
        <v>-3.8365368976000696</v>
      </c>
    </row>
    <row r="1400" spans="1:4">
      <c r="A1400">
        <v>1399</v>
      </c>
      <c r="B1400">
        <v>61</v>
      </c>
      <c r="C1400">
        <f t="shared" si="51"/>
        <v>59.474942814399981</v>
      </c>
      <c r="D1400">
        <f t="shared" si="52"/>
        <v>1.5250571856000192</v>
      </c>
    </row>
    <row r="1401" spans="1:4">
      <c r="A1401">
        <v>1400</v>
      </c>
      <c r="B1401">
        <v>61</v>
      </c>
      <c r="C1401">
        <f t="shared" si="51"/>
        <v>59.112923999999964</v>
      </c>
      <c r="D1401">
        <f t="shared" si="52"/>
        <v>1.8870760000000359</v>
      </c>
    </row>
    <row r="1402" spans="1:4">
      <c r="A1402">
        <v>1401</v>
      </c>
      <c r="B1402">
        <v>78</v>
      </c>
      <c r="C1402">
        <f t="shared" si="51"/>
        <v>58.750480454400019</v>
      </c>
      <c r="D1402">
        <f t="shared" si="52"/>
        <v>19.249519545599981</v>
      </c>
    </row>
    <row r="1403" spans="1:4">
      <c r="A1403">
        <v>1402</v>
      </c>
      <c r="B1403">
        <v>86</v>
      </c>
      <c r="C1403">
        <f t="shared" si="51"/>
        <v>58.387612177600033</v>
      </c>
      <c r="D1403">
        <f t="shared" si="52"/>
        <v>27.612387822399967</v>
      </c>
    </row>
    <row r="1404" spans="1:4">
      <c r="A1404">
        <v>1403</v>
      </c>
      <c r="B1404">
        <v>77</v>
      </c>
      <c r="C1404">
        <f t="shared" si="51"/>
        <v>58.024319169599949</v>
      </c>
      <c r="D1404">
        <f t="shared" si="52"/>
        <v>18.975680830400051</v>
      </c>
    </row>
    <row r="1405" spans="1:4">
      <c r="A1405">
        <v>1404</v>
      </c>
      <c r="B1405">
        <v>91</v>
      </c>
      <c r="C1405">
        <f t="shared" si="51"/>
        <v>57.660601430399993</v>
      </c>
      <c r="D1405">
        <f t="shared" si="52"/>
        <v>33.339398569600007</v>
      </c>
    </row>
    <row r="1406" spans="1:4">
      <c r="A1406">
        <v>1405</v>
      </c>
      <c r="B1406">
        <v>79</v>
      </c>
      <c r="C1406">
        <f t="shared" si="51"/>
        <v>57.296458959999995</v>
      </c>
      <c r="D1406">
        <f t="shared" si="52"/>
        <v>21.703541040000005</v>
      </c>
    </row>
    <row r="1407" spans="1:4">
      <c r="A1407">
        <v>1406</v>
      </c>
      <c r="B1407">
        <v>79</v>
      </c>
      <c r="C1407">
        <f t="shared" si="51"/>
        <v>56.93189175840007</v>
      </c>
      <c r="D1407">
        <f t="shared" si="52"/>
        <v>22.06810824159993</v>
      </c>
    </row>
    <row r="1408" spans="1:4">
      <c r="A1408">
        <v>1407</v>
      </c>
      <c r="B1408">
        <v>66</v>
      </c>
      <c r="C1408">
        <f t="shared" si="51"/>
        <v>56.56689982559999</v>
      </c>
      <c r="D1408">
        <f t="shared" si="52"/>
        <v>9.4331001744000105</v>
      </c>
    </row>
    <row r="1409" spans="1:4">
      <c r="A1409">
        <v>1408</v>
      </c>
      <c r="B1409">
        <v>59</v>
      </c>
      <c r="C1409">
        <f t="shared" si="51"/>
        <v>56.201483161600038</v>
      </c>
      <c r="D1409">
        <f t="shared" si="52"/>
        <v>2.7985168383999621</v>
      </c>
    </row>
    <row r="1410" spans="1:4">
      <c r="A1410">
        <v>1409</v>
      </c>
      <c r="B1410">
        <v>41</v>
      </c>
      <c r="C1410">
        <f t="shared" ref="C1410:C1473" si="53" xml:space="preserve"> -0.0002123656*A1410*A1410 + 0.2323925*A1410 + 150</f>
        <v>55.835641766400045</v>
      </c>
      <c r="D1410">
        <f t="shared" ref="D1410:D1473" si="54">B1410-C1410</f>
        <v>-14.835641766400045</v>
      </c>
    </row>
    <row r="1411" spans="1:4">
      <c r="A1411">
        <v>1410</v>
      </c>
      <c r="B1411">
        <v>39</v>
      </c>
      <c r="C1411">
        <f t="shared" si="53"/>
        <v>55.469375640000067</v>
      </c>
      <c r="D1411">
        <f t="shared" si="54"/>
        <v>-16.469375640000067</v>
      </c>
    </row>
    <row r="1412" spans="1:4">
      <c r="A1412">
        <v>1411</v>
      </c>
      <c r="B1412">
        <v>49</v>
      </c>
      <c r="C1412">
        <f t="shared" si="53"/>
        <v>55.10268478239999</v>
      </c>
      <c r="D1412">
        <f t="shared" si="54"/>
        <v>-6.1026847823999901</v>
      </c>
    </row>
    <row r="1413" spans="1:4">
      <c r="A1413">
        <v>1412</v>
      </c>
      <c r="B1413">
        <v>51</v>
      </c>
      <c r="C1413">
        <f t="shared" si="53"/>
        <v>54.735569193600043</v>
      </c>
      <c r="D1413">
        <f t="shared" si="54"/>
        <v>-3.7355691936000426</v>
      </c>
    </row>
    <row r="1414" spans="1:4">
      <c r="A1414">
        <v>1413</v>
      </c>
      <c r="B1414">
        <v>64</v>
      </c>
      <c r="C1414">
        <f t="shared" si="53"/>
        <v>54.368028873600053</v>
      </c>
      <c r="D1414">
        <f t="shared" si="54"/>
        <v>9.6319711263999466</v>
      </c>
    </row>
    <row r="1415" spans="1:4">
      <c r="A1415">
        <v>1414</v>
      </c>
      <c r="B1415">
        <v>58</v>
      </c>
      <c r="C1415">
        <f t="shared" si="53"/>
        <v>54.00006382240008</v>
      </c>
      <c r="D1415">
        <f t="shared" si="54"/>
        <v>3.9999361775999205</v>
      </c>
    </row>
    <row r="1416" spans="1:4">
      <c r="A1416">
        <v>1415</v>
      </c>
      <c r="B1416">
        <v>63</v>
      </c>
      <c r="C1416">
        <f t="shared" si="53"/>
        <v>53.631674040000007</v>
      </c>
      <c r="D1416">
        <f t="shared" si="54"/>
        <v>9.3683259599999928</v>
      </c>
    </row>
    <row r="1417" spans="1:4">
      <c r="A1417">
        <v>1416</v>
      </c>
      <c r="B1417">
        <v>51</v>
      </c>
      <c r="C1417">
        <f t="shared" si="53"/>
        <v>53.262859526400007</v>
      </c>
      <c r="D1417">
        <f t="shared" si="54"/>
        <v>-2.2628595264000069</v>
      </c>
    </row>
    <row r="1418" spans="1:4">
      <c r="A1418">
        <v>1417</v>
      </c>
      <c r="B1418">
        <v>53</v>
      </c>
      <c r="C1418">
        <f t="shared" si="53"/>
        <v>52.893620281600079</v>
      </c>
      <c r="D1418">
        <f t="shared" si="54"/>
        <v>0.10637971839992133</v>
      </c>
    </row>
    <row r="1419" spans="1:4">
      <c r="A1419">
        <v>1418</v>
      </c>
      <c r="B1419">
        <v>64</v>
      </c>
      <c r="C1419">
        <f t="shared" si="53"/>
        <v>52.523956305599995</v>
      </c>
      <c r="D1419">
        <f t="shared" si="54"/>
        <v>11.476043694400005</v>
      </c>
    </row>
    <row r="1420" spans="1:4">
      <c r="A1420">
        <v>1419</v>
      </c>
      <c r="B1420">
        <v>74</v>
      </c>
      <c r="C1420">
        <f t="shared" si="53"/>
        <v>52.153867598399984</v>
      </c>
      <c r="D1420">
        <f t="shared" si="54"/>
        <v>21.846132401600016</v>
      </c>
    </row>
    <row r="1421" spans="1:4">
      <c r="A1421">
        <v>1420</v>
      </c>
      <c r="B1421">
        <v>102</v>
      </c>
      <c r="C1421">
        <f t="shared" si="53"/>
        <v>51.783354159999988</v>
      </c>
      <c r="D1421">
        <f t="shared" si="54"/>
        <v>50.216645840000012</v>
      </c>
    </row>
    <row r="1422" spans="1:4">
      <c r="A1422">
        <v>1421</v>
      </c>
      <c r="B1422">
        <v>111</v>
      </c>
      <c r="C1422">
        <f t="shared" si="53"/>
        <v>51.412415990400007</v>
      </c>
      <c r="D1422">
        <f t="shared" si="54"/>
        <v>59.587584009599993</v>
      </c>
    </row>
    <row r="1423" spans="1:4">
      <c r="A1423">
        <v>1422</v>
      </c>
      <c r="B1423">
        <v>94</v>
      </c>
      <c r="C1423">
        <f t="shared" si="53"/>
        <v>51.041053089600041</v>
      </c>
      <c r="D1423">
        <f t="shared" si="54"/>
        <v>42.958946910399959</v>
      </c>
    </row>
    <row r="1424" spans="1:4">
      <c r="A1424">
        <v>1423</v>
      </c>
      <c r="B1424">
        <v>66</v>
      </c>
      <c r="C1424">
        <f t="shared" si="53"/>
        <v>50.669265457599977</v>
      </c>
      <c r="D1424">
        <f t="shared" si="54"/>
        <v>15.330734542400023</v>
      </c>
    </row>
    <row r="1425" spans="1:4">
      <c r="A1425">
        <v>1424</v>
      </c>
      <c r="B1425">
        <v>55</v>
      </c>
      <c r="C1425">
        <f t="shared" si="53"/>
        <v>50.297053094399985</v>
      </c>
      <c r="D1425">
        <f t="shared" si="54"/>
        <v>4.7029469056000153</v>
      </c>
    </row>
    <row r="1426" spans="1:4">
      <c r="A1426">
        <v>1425</v>
      </c>
      <c r="B1426">
        <v>49</v>
      </c>
      <c r="C1426">
        <f t="shared" si="53"/>
        <v>49.924416000000008</v>
      </c>
      <c r="D1426">
        <f t="shared" si="54"/>
        <v>-0.9244160000000079</v>
      </c>
    </row>
    <row r="1427" spans="1:4">
      <c r="A1427">
        <v>1426</v>
      </c>
      <c r="B1427">
        <v>47</v>
      </c>
      <c r="C1427">
        <f t="shared" si="53"/>
        <v>49.551354174400046</v>
      </c>
      <c r="D1427">
        <f t="shared" si="54"/>
        <v>-2.5513541744000463</v>
      </c>
    </row>
    <row r="1428" spans="1:4">
      <c r="A1428">
        <v>1427</v>
      </c>
      <c r="B1428">
        <v>53</v>
      </c>
      <c r="C1428">
        <f t="shared" si="53"/>
        <v>49.177867617599986</v>
      </c>
      <c r="D1428">
        <f t="shared" si="54"/>
        <v>3.8221323824000137</v>
      </c>
    </row>
    <row r="1429" spans="1:4">
      <c r="A1429">
        <v>1428</v>
      </c>
      <c r="B1429">
        <v>64</v>
      </c>
      <c r="C1429">
        <f t="shared" si="53"/>
        <v>48.803956329599998</v>
      </c>
      <c r="D1429">
        <f t="shared" si="54"/>
        <v>15.196043670400002</v>
      </c>
    </row>
    <row r="1430" spans="1:4">
      <c r="A1430">
        <v>1429</v>
      </c>
      <c r="B1430">
        <v>72</v>
      </c>
      <c r="C1430">
        <f t="shared" si="53"/>
        <v>48.429620310400026</v>
      </c>
      <c r="D1430">
        <f t="shared" si="54"/>
        <v>23.570379689599974</v>
      </c>
    </row>
    <row r="1431" spans="1:4">
      <c r="A1431">
        <v>1430</v>
      </c>
      <c r="B1431">
        <v>79</v>
      </c>
      <c r="C1431">
        <f t="shared" si="53"/>
        <v>48.054859560000068</v>
      </c>
      <c r="D1431">
        <f t="shared" si="54"/>
        <v>30.945140439999932</v>
      </c>
    </row>
    <row r="1432" spans="1:4">
      <c r="A1432">
        <v>1431</v>
      </c>
      <c r="B1432">
        <v>57</v>
      </c>
      <c r="C1432">
        <f t="shared" si="53"/>
        <v>47.679674078400012</v>
      </c>
      <c r="D1432">
        <f t="shared" si="54"/>
        <v>9.3203259215999879</v>
      </c>
    </row>
    <row r="1433" spans="1:4">
      <c r="A1433">
        <v>1432</v>
      </c>
      <c r="B1433">
        <v>46</v>
      </c>
      <c r="C1433">
        <f t="shared" si="53"/>
        <v>47.304063865600028</v>
      </c>
      <c r="D1433">
        <f t="shared" si="54"/>
        <v>-1.3040638656000283</v>
      </c>
    </row>
    <row r="1434" spans="1:4">
      <c r="A1434">
        <v>1433</v>
      </c>
      <c r="B1434">
        <v>40</v>
      </c>
      <c r="C1434">
        <f t="shared" si="53"/>
        <v>46.92802892160006</v>
      </c>
      <c r="D1434">
        <f t="shared" si="54"/>
        <v>-6.9280289216000597</v>
      </c>
    </row>
    <row r="1435" spans="1:4">
      <c r="A1435">
        <v>1434</v>
      </c>
      <c r="B1435">
        <v>56</v>
      </c>
      <c r="C1435">
        <f t="shared" si="53"/>
        <v>46.551569246400049</v>
      </c>
      <c r="D1435">
        <f t="shared" si="54"/>
        <v>9.4484307535999505</v>
      </c>
    </row>
    <row r="1436" spans="1:4">
      <c r="A1436">
        <v>1435</v>
      </c>
      <c r="B1436">
        <v>75</v>
      </c>
      <c r="C1436">
        <f t="shared" si="53"/>
        <v>46.174684839999998</v>
      </c>
      <c r="D1436">
        <f t="shared" si="54"/>
        <v>28.825315160000002</v>
      </c>
    </row>
    <row r="1437" spans="1:4">
      <c r="A1437">
        <v>1436</v>
      </c>
      <c r="B1437">
        <v>91</v>
      </c>
      <c r="C1437">
        <f t="shared" si="53"/>
        <v>45.797375702399961</v>
      </c>
      <c r="D1437">
        <f t="shared" si="54"/>
        <v>45.202624297600039</v>
      </c>
    </row>
    <row r="1438" spans="1:4">
      <c r="A1438">
        <v>1437</v>
      </c>
      <c r="B1438">
        <v>76</v>
      </c>
      <c r="C1438">
        <f t="shared" si="53"/>
        <v>45.419641833599997</v>
      </c>
      <c r="D1438">
        <f t="shared" si="54"/>
        <v>30.580358166400003</v>
      </c>
    </row>
    <row r="1439" spans="1:4">
      <c r="A1439">
        <v>1438</v>
      </c>
      <c r="B1439">
        <v>58</v>
      </c>
      <c r="C1439">
        <f t="shared" si="53"/>
        <v>45.041483233600047</v>
      </c>
      <c r="D1439">
        <f t="shared" si="54"/>
        <v>12.958516766399953</v>
      </c>
    </row>
    <row r="1440" spans="1:4">
      <c r="A1440">
        <v>1439</v>
      </c>
      <c r="B1440">
        <v>43</v>
      </c>
      <c r="C1440">
        <f t="shared" si="53"/>
        <v>44.662899902399943</v>
      </c>
      <c r="D1440">
        <f t="shared" si="54"/>
        <v>-1.6628999023999427</v>
      </c>
    </row>
    <row r="1441" spans="1:4">
      <c r="A1441">
        <v>1440</v>
      </c>
      <c r="B1441">
        <v>47</v>
      </c>
      <c r="C1441">
        <f t="shared" si="53"/>
        <v>44.283891839999967</v>
      </c>
      <c r="D1441">
        <f t="shared" si="54"/>
        <v>2.716108160000033</v>
      </c>
    </row>
    <row r="1442" spans="1:4">
      <c r="A1442">
        <v>1441</v>
      </c>
      <c r="B1442">
        <v>62</v>
      </c>
      <c r="C1442">
        <f t="shared" si="53"/>
        <v>43.904459046400007</v>
      </c>
      <c r="D1442">
        <f t="shared" si="54"/>
        <v>18.095540953599993</v>
      </c>
    </row>
    <row r="1443" spans="1:4">
      <c r="A1443">
        <v>1442</v>
      </c>
      <c r="B1443">
        <v>72</v>
      </c>
      <c r="C1443">
        <f t="shared" si="53"/>
        <v>43.524601521600061</v>
      </c>
      <c r="D1443">
        <f t="shared" si="54"/>
        <v>28.475398478399939</v>
      </c>
    </row>
    <row r="1444" spans="1:4">
      <c r="A1444">
        <v>1443</v>
      </c>
      <c r="B1444">
        <v>64</v>
      </c>
      <c r="C1444">
        <f t="shared" si="53"/>
        <v>43.144319265599961</v>
      </c>
      <c r="D1444">
        <f t="shared" si="54"/>
        <v>20.855680734400039</v>
      </c>
    </row>
    <row r="1445" spans="1:4">
      <c r="A1445">
        <v>1444</v>
      </c>
      <c r="B1445">
        <v>45</v>
      </c>
      <c r="C1445">
        <f t="shared" si="53"/>
        <v>42.763612278399989</v>
      </c>
      <c r="D1445">
        <f t="shared" si="54"/>
        <v>2.2363877216000105</v>
      </c>
    </row>
    <row r="1446" spans="1:4">
      <c r="A1446">
        <v>1445</v>
      </c>
      <c r="B1446">
        <v>49</v>
      </c>
      <c r="C1446">
        <f t="shared" si="53"/>
        <v>42.382480560000033</v>
      </c>
      <c r="D1446">
        <f t="shared" si="54"/>
        <v>6.6175194399999668</v>
      </c>
    </row>
    <row r="1447" spans="1:4">
      <c r="A1447">
        <v>1446</v>
      </c>
      <c r="B1447">
        <v>54</v>
      </c>
      <c r="C1447">
        <f t="shared" si="53"/>
        <v>42.000924110400035</v>
      </c>
      <c r="D1447">
        <f t="shared" si="54"/>
        <v>11.999075889599965</v>
      </c>
    </row>
    <row r="1448" spans="1:4">
      <c r="A1448">
        <v>1447</v>
      </c>
      <c r="B1448">
        <v>63</v>
      </c>
      <c r="C1448">
        <f t="shared" si="53"/>
        <v>41.618942929599996</v>
      </c>
      <c r="D1448">
        <f t="shared" si="54"/>
        <v>21.381057070400004</v>
      </c>
    </row>
    <row r="1449" spans="1:4">
      <c r="A1449">
        <v>1448</v>
      </c>
      <c r="B1449">
        <v>75</v>
      </c>
      <c r="C1449">
        <f t="shared" si="53"/>
        <v>41.236537017600028</v>
      </c>
      <c r="D1449">
        <f t="shared" si="54"/>
        <v>33.763462982399972</v>
      </c>
    </row>
    <row r="1450" spans="1:4">
      <c r="A1450">
        <v>1449</v>
      </c>
      <c r="B1450">
        <v>69</v>
      </c>
      <c r="C1450">
        <f t="shared" si="53"/>
        <v>40.853706374400019</v>
      </c>
      <c r="D1450">
        <f t="shared" si="54"/>
        <v>28.146293625599981</v>
      </c>
    </row>
    <row r="1451" spans="1:4">
      <c r="A1451">
        <v>1450</v>
      </c>
      <c r="B1451">
        <v>53</v>
      </c>
      <c r="C1451">
        <f t="shared" si="53"/>
        <v>40.470451000000082</v>
      </c>
      <c r="D1451">
        <f t="shared" si="54"/>
        <v>12.529548999999918</v>
      </c>
    </row>
    <row r="1452" spans="1:4">
      <c r="A1452">
        <v>1451</v>
      </c>
      <c r="B1452">
        <v>26</v>
      </c>
      <c r="C1452">
        <f t="shared" si="53"/>
        <v>40.086770894400104</v>
      </c>
      <c r="D1452">
        <f t="shared" si="54"/>
        <v>-14.086770894400104</v>
      </c>
    </row>
    <row r="1453" spans="1:4">
      <c r="A1453">
        <v>1452</v>
      </c>
      <c r="B1453">
        <v>26</v>
      </c>
      <c r="C1453">
        <f t="shared" si="53"/>
        <v>39.702666057600027</v>
      </c>
      <c r="D1453">
        <f t="shared" si="54"/>
        <v>-13.702666057600027</v>
      </c>
    </row>
    <row r="1454" spans="1:4">
      <c r="A1454">
        <v>1453</v>
      </c>
      <c r="B1454">
        <v>26</v>
      </c>
      <c r="C1454">
        <f t="shared" si="53"/>
        <v>39.318136489600022</v>
      </c>
      <c r="D1454">
        <f t="shared" si="54"/>
        <v>-13.318136489600022</v>
      </c>
    </row>
    <row r="1455" spans="1:4">
      <c r="A1455">
        <v>1454</v>
      </c>
      <c r="B1455">
        <v>33</v>
      </c>
      <c r="C1455">
        <f t="shared" si="53"/>
        <v>38.933182190400032</v>
      </c>
      <c r="D1455">
        <f t="shared" si="54"/>
        <v>-5.9331821904000321</v>
      </c>
    </row>
    <row r="1456" spans="1:4">
      <c r="A1456">
        <v>1455</v>
      </c>
      <c r="B1456">
        <v>40</v>
      </c>
      <c r="C1456">
        <f t="shared" si="53"/>
        <v>38.547803160000058</v>
      </c>
      <c r="D1456">
        <f t="shared" si="54"/>
        <v>1.4521968399999423</v>
      </c>
    </row>
    <row r="1457" spans="1:4">
      <c r="A1457">
        <v>1456</v>
      </c>
      <c r="B1457">
        <v>52</v>
      </c>
      <c r="C1457">
        <f t="shared" si="53"/>
        <v>38.161999398399985</v>
      </c>
      <c r="D1457">
        <f t="shared" si="54"/>
        <v>13.838000601600015</v>
      </c>
    </row>
    <row r="1458" spans="1:4">
      <c r="A1458">
        <v>1457</v>
      </c>
      <c r="B1458">
        <v>35</v>
      </c>
      <c r="C1458">
        <f t="shared" si="53"/>
        <v>37.775770905599984</v>
      </c>
      <c r="D1458">
        <f t="shared" si="54"/>
        <v>-2.775770905599984</v>
      </c>
    </row>
    <row r="1459" spans="1:4">
      <c r="A1459">
        <v>1458</v>
      </c>
      <c r="B1459">
        <v>19</v>
      </c>
      <c r="C1459">
        <f t="shared" si="53"/>
        <v>37.389117681599998</v>
      </c>
      <c r="D1459">
        <f t="shared" si="54"/>
        <v>-18.389117681599998</v>
      </c>
    </row>
    <row r="1460" spans="1:4">
      <c r="A1460">
        <v>1459</v>
      </c>
      <c r="B1460">
        <v>17</v>
      </c>
      <c r="C1460">
        <f t="shared" si="53"/>
        <v>37.002039726400028</v>
      </c>
      <c r="D1460">
        <f t="shared" si="54"/>
        <v>-20.002039726400028</v>
      </c>
    </row>
    <row r="1461" spans="1:4">
      <c r="A1461">
        <v>1460</v>
      </c>
      <c r="B1461">
        <v>29</v>
      </c>
      <c r="C1461">
        <f t="shared" si="53"/>
        <v>36.614537040000016</v>
      </c>
      <c r="D1461">
        <f t="shared" si="54"/>
        <v>-7.6145370400000161</v>
      </c>
    </row>
    <row r="1462" spans="1:4">
      <c r="A1462">
        <v>1461</v>
      </c>
      <c r="B1462">
        <v>29</v>
      </c>
      <c r="C1462">
        <f t="shared" si="53"/>
        <v>36.226609622400019</v>
      </c>
      <c r="D1462">
        <f t="shared" si="54"/>
        <v>-7.2266096224000194</v>
      </c>
    </row>
    <row r="1463" spans="1:4">
      <c r="A1463">
        <v>1462</v>
      </c>
      <c r="B1463">
        <v>41</v>
      </c>
      <c r="C1463">
        <f t="shared" si="53"/>
        <v>35.838257473600038</v>
      </c>
      <c r="D1463">
        <f t="shared" si="54"/>
        <v>5.1617425263999621</v>
      </c>
    </row>
    <row r="1464" spans="1:4">
      <c r="A1464">
        <v>1463</v>
      </c>
      <c r="B1464">
        <v>50</v>
      </c>
      <c r="C1464">
        <f t="shared" si="53"/>
        <v>35.449480593600072</v>
      </c>
      <c r="D1464">
        <f t="shared" si="54"/>
        <v>14.550519406399928</v>
      </c>
    </row>
    <row r="1465" spans="1:4">
      <c r="A1465">
        <v>1464</v>
      </c>
      <c r="B1465">
        <v>35</v>
      </c>
      <c r="C1465">
        <f t="shared" si="53"/>
        <v>35.060278982400007</v>
      </c>
      <c r="D1465">
        <f t="shared" si="54"/>
        <v>-6.0278982400006953E-2</v>
      </c>
    </row>
    <row r="1466" spans="1:4">
      <c r="A1466">
        <v>1465</v>
      </c>
      <c r="B1466">
        <v>23</v>
      </c>
      <c r="C1466">
        <f t="shared" si="53"/>
        <v>34.670652640000014</v>
      </c>
      <c r="D1466">
        <f t="shared" si="54"/>
        <v>-11.670652640000014</v>
      </c>
    </row>
    <row r="1467" spans="1:4">
      <c r="A1467">
        <v>1466</v>
      </c>
      <c r="B1467">
        <v>26</v>
      </c>
      <c r="C1467">
        <f t="shared" si="53"/>
        <v>34.280601566400037</v>
      </c>
      <c r="D1467">
        <f t="shared" si="54"/>
        <v>-8.280601566400037</v>
      </c>
    </row>
    <row r="1468" spans="1:4">
      <c r="A1468">
        <v>1467</v>
      </c>
      <c r="B1468">
        <v>30</v>
      </c>
      <c r="C1468">
        <f t="shared" si="53"/>
        <v>33.890125761600075</v>
      </c>
      <c r="D1468">
        <f t="shared" si="54"/>
        <v>-3.8901257616000748</v>
      </c>
    </row>
    <row r="1469" spans="1:4">
      <c r="A1469">
        <v>1468</v>
      </c>
      <c r="B1469">
        <v>52</v>
      </c>
      <c r="C1469">
        <f t="shared" si="53"/>
        <v>33.499225225600014</v>
      </c>
      <c r="D1469">
        <f t="shared" si="54"/>
        <v>18.500774774399986</v>
      </c>
    </row>
    <row r="1470" spans="1:4">
      <c r="A1470">
        <v>1469</v>
      </c>
      <c r="B1470">
        <v>57</v>
      </c>
      <c r="C1470">
        <f t="shared" si="53"/>
        <v>33.107899958400026</v>
      </c>
      <c r="D1470">
        <f t="shared" si="54"/>
        <v>23.892100041599974</v>
      </c>
    </row>
    <row r="1471" spans="1:4">
      <c r="A1471">
        <v>1470</v>
      </c>
      <c r="B1471">
        <v>56</v>
      </c>
      <c r="C1471">
        <f t="shared" si="53"/>
        <v>32.716149960000052</v>
      </c>
      <c r="D1471">
        <f t="shared" si="54"/>
        <v>23.283850039999948</v>
      </c>
    </row>
    <row r="1472" spans="1:4">
      <c r="A1472">
        <v>1471</v>
      </c>
      <c r="B1472">
        <v>47</v>
      </c>
      <c r="C1472">
        <f t="shared" si="53"/>
        <v>32.323975230400094</v>
      </c>
      <c r="D1472">
        <f t="shared" si="54"/>
        <v>14.676024769599906</v>
      </c>
    </row>
    <row r="1473" spans="1:4">
      <c r="A1473">
        <v>1472</v>
      </c>
      <c r="B1473">
        <v>43</v>
      </c>
      <c r="C1473">
        <f t="shared" si="53"/>
        <v>31.931375769600038</v>
      </c>
      <c r="D1473">
        <f t="shared" si="54"/>
        <v>11.068624230399962</v>
      </c>
    </row>
    <row r="1474" spans="1:4">
      <c r="A1474">
        <v>1473</v>
      </c>
      <c r="B1474">
        <v>34</v>
      </c>
      <c r="C1474">
        <f t="shared" ref="C1474:C1530" si="55" xml:space="preserve"> -0.0002123656*A1474*A1474 + 0.2323925*A1474 + 150</f>
        <v>31.538351577599997</v>
      </c>
      <c r="D1474">
        <f t="shared" ref="D1474:D1530" si="56">B1474-C1474</f>
        <v>2.4616484224000033</v>
      </c>
    </row>
    <row r="1475" spans="1:4">
      <c r="A1475">
        <v>1474</v>
      </c>
      <c r="B1475">
        <v>29</v>
      </c>
      <c r="C1475">
        <f t="shared" si="55"/>
        <v>31.144902654400028</v>
      </c>
      <c r="D1475">
        <f t="shared" si="56"/>
        <v>-2.1449026544000276</v>
      </c>
    </row>
    <row r="1476" spans="1:4">
      <c r="A1476">
        <v>1475</v>
      </c>
      <c r="B1476">
        <v>19</v>
      </c>
      <c r="C1476">
        <f t="shared" si="55"/>
        <v>30.751029000000017</v>
      </c>
      <c r="D1476">
        <f t="shared" si="56"/>
        <v>-11.751029000000017</v>
      </c>
    </row>
    <row r="1477" spans="1:4">
      <c r="A1477">
        <v>1476</v>
      </c>
      <c r="B1477">
        <v>26</v>
      </c>
      <c r="C1477">
        <f t="shared" si="55"/>
        <v>30.356730614399964</v>
      </c>
      <c r="D1477">
        <f t="shared" si="56"/>
        <v>-4.3567306143999645</v>
      </c>
    </row>
    <row r="1478" spans="1:4">
      <c r="A1478">
        <v>1477</v>
      </c>
      <c r="B1478">
        <v>34</v>
      </c>
      <c r="C1478">
        <f t="shared" si="55"/>
        <v>29.962007497599984</v>
      </c>
      <c r="D1478">
        <f t="shared" si="56"/>
        <v>4.0379925024000158</v>
      </c>
    </row>
    <row r="1479" spans="1:4">
      <c r="A1479">
        <v>1478</v>
      </c>
      <c r="B1479">
        <v>48</v>
      </c>
      <c r="C1479">
        <f t="shared" si="55"/>
        <v>29.566859649600019</v>
      </c>
      <c r="D1479">
        <f t="shared" si="56"/>
        <v>18.433140350399981</v>
      </c>
    </row>
    <row r="1480" spans="1:4">
      <c r="A1480">
        <v>1479</v>
      </c>
      <c r="B1480">
        <v>43</v>
      </c>
      <c r="C1480">
        <f t="shared" si="55"/>
        <v>29.171287070400069</v>
      </c>
      <c r="D1480">
        <f t="shared" si="56"/>
        <v>13.828712929599931</v>
      </c>
    </row>
    <row r="1481" spans="1:4">
      <c r="A1481">
        <v>1480</v>
      </c>
      <c r="B1481">
        <v>45</v>
      </c>
      <c r="C1481">
        <f t="shared" si="55"/>
        <v>28.775289759999964</v>
      </c>
      <c r="D1481">
        <f t="shared" si="56"/>
        <v>16.224710240000036</v>
      </c>
    </row>
    <row r="1482" spans="1:4">
      <c r="A1482">
        <v>1481</v>
      </c>
      <c r="B1482">
        <v>31</v>
      </c>
      <c r="C1482">
        <f t="shared" si="55"/>
        <v>28.378867718399988</v>
      </c>
      <c r="D1482">
        <f t="shared" si="56"/>
        <v>2.621132281600012</v>
      </c>
    </row>
    <row r="1483" spans="1:4">
      <c r="A1483">
        <v>1482</v>
      </c>
      <c r="B1483">
        <v>30</v>
      </c>
      <c r="C1483">
        <f t="shared" si="55"/>
        <v>27.982020945600027</v>
      </c>
      <c r="D1483">
        <f t="shared" si="56"/>
        <v>2.0179790543999729</v>
      </c>
    </row>
    <row r="1484" spans="1:4">
      <c r="A1484">
        <v>1483</v>
      </c>
      <c r="B1484">
        <v>27</v>
      </c>
      <c r="C1484">
        <f t="shared" si="55"/>
        <v>27.584749441600081</v>
      </c>
      <c r="D1484">
        <f t="shared" si="56"/>
        <v>-0.58474944160008135</v>
      </c>
    </row>
    <row r="1485" spans="1:4">
      <c r="A1485">
        <v>1484</v>
      </c>
      <c r="B1485">
        <v>35</v>
      </c>
      <c r="C1485">
        <f t="shared" si="55"/>
        <v>27.18705320639998</v>
      </c>
      <c r="D1485">
        <f t="shared" si="56"/>
        <v>7.8129467936000196</v>
      </c>
    </row>
    <row r="1486" spans="1:4">
      <c r="A1486">
        <v>1485</v>
      </c>
      <c r="B1486">
        <v>47</v>
      </c>
      <c r="C1486">
        <f t="shared" si="55"/>
        <v>26.788932240000008</v>
      </c>
      <c r="D1486">
        <f t="shared" si="56"/>
        <v>20.211067759999992</v>
      </c>
    </row>
    <row r="1487" spans="1:4">
      <c r="A1487">
        <v>1486</v>
      </c>
      <c r="B1487">
        <v>33</v>
      </c>
      <c r="C1487">
        <f t="shared" si="55"/>
        <v>26.390386542400051</v>
      </c>
      <c r="D1487">
        <f t="shared" si="56"/>
        <v>6.6096134575999486</v>
      </c>
    </row>
    <row r="1488" spans="1:4">
      <c r="A1488">
        <v>1487</v>
      </c>
      <c r="B1488">
        <v>26</v>
      </c>
      <c r="C1488">
        <f t="shared" si="55"/>
        <v>25.991416113600053</v>
      </c>
      <c r="D1488">
        <f t="shared" si="56"/>
        <v>8.583886399947005E-3</v>
      </c>
    </row>
    <row r="1489" spans="1:4">
      <c r="A1489">
        <v>1488</v>
      </c>
      <c r="B1489">
        <v>19</v>
      </c>
      <c r="C1489">
        <f t="shared" si="55"/>
        <v>25.592020953600013</v>
      </c>
      <c r="D1489">
        <f t="shared" si="56"/>
        <v>-6.5920209536000129</v>
      </c>
    </row>
    <row r="1490" spans="1:4">
      <c r="A1490">
        <v>1489</v>
      </c>
      <c r="B1490">
        <v>19</v>
      </c>
      <c r="C1490">
        <f t="shared" si="55"/>
        <v>25.192201062400045</v>
      </c>
      <c r="D1490">
        <f t="shared" si="56"/>
        <v>-6.192201062400045</v>
      </c>
    </row>
    <row r="1491" spans="1:4">
      <c r="A1491">
        <v>1490</v>
      </c>
      <c r="B1491">
        <v>25</v>
      </c>
      <c r="C1491">
        <f t="shared" si="55"/>
        <v>24.791956440000035</v>
      </c>
      <c r="D1491">
        <f t="shared" si="56"/>
        <v>0.2080435599999646</v>
      </c>
    </row>
    <row r="1492" spans="1:4">
      <c r="A1492">
        <v>1491</v>
      </c>
      <c r="B1492">
        <v>36</v>
      </c>
      <c r="C1492">
        <f t="shared" si="55"/>
        <v>24.391287086400041</v>
      </c>
      <c r="D1492">
        <f t="shared" si="56"/>
        <v>11.608712913599959</v>
      </c>
    </row>
    <row r="1493" spans="1:4">
      <c r="A1493">
        <v>1492</v>
      </c>
      <c r="B1493">
        <v>50</v>
      </c>
      <c r="C1493">
        <f t="shared" si="55"/>
        <v>23.990193001599948</v>
      </c>
      <c r="D1493">
        <f t="shared" si="56"/>
        <v>26.009806998400052</v>
      </c>
    </row>
    <row r="1494" spans="1:4">
      <c r="A1494">
        <v>1493</v>
      </c>
      <c r="B1494">
        <v>51</v>
      </c>
      <c r="C1494">
        <f t="shared" si="55"/>
        <v>23.588674185599984</v>
      </c>
      <c r="D1494">
        <f t="shared" si="56"/>
        <v>27.411325814400016</v>
      </c>
    </row>
    <row r="1495" spans="1:4">
      <c r="A1495">
        <v>1494</v>
      </c>
      <c r="B1495">
        <v>45</v>
      </c>
      <c r="C1495">
        <f t="shared" si="55"/>
        <v>23.186730638400036</v>
      </c>
      <c r="D1495">
        <f t="shared" si="56"/>
        <v>21.813269361599964</v>
      </c>
    </row>
    <row r="1496" spans="1:4">
      <c r="A1496">
        <v>1495</v>
      </c>
      <c r="B1496">
        <v>27</v>
      </c>
      <c r="C1496">
        <f t="shared" si="55"/>
        <v>22.784362360000046</v>
      </c>
      <c r="D1496">
        <f t="shared" si="56"/>
        <v>4.2156376399999544</v>
      </c>
    </row>
    <row r="1497" spans="1:4">
      <c r="A1497">
        <v>1496</v>
      </c>
      <c r="B1497">
        <v>37</v>
      </c>
      <c r="C1497">
        <f t="shared" si="55"/>
        <v>22.381569350399957</v>
      </c>
      <c r="D1497">
        <f t="shared" si="56"/>
        <v>14.618430649600043</v>
      </c>
    </row>
    <row r="1498" spans="1:4">
      <c r="A1498">
        <v>1497</v>
      </c>
      <c r="B1498">
        <v>27</v>
      </c>
      <c r="C1498">
        <f t="shared" si="55"/>
        <v>21.978351609599997</v>
      </c>
      <c r="D1498">
        <f t="shared" si="56"/>
        <v>5.0216483904000029</v>
      </c>
    </row>
    <row r="1499" spans="1:4">
      <c r="A1499">
        <v>1498</v>
      </c>
      <c r="B1499">
        <v>37</v>
      </c>
      <c r="C1499">
        <f t="shared" si="55"/>
        <v>21.574709137600053</v>
      </c>
      <c r="D1499">
        <f t="shared" si="56"/>
        <v>15.425290862399947</v>
      </c>
    </row>
    <row r="1500" spans="1:4">
      <c r="A1500">
        <v>1499</v>
      </c>
      <c r="B1500">
        <v>43</v>
      </c>
      <c r="C1500">
        <f t="shared" si="55"/>
        <v>21.170641934400066</v>
      </c>
      <c r="D1500">
        <f t="shared" si="56"/>
        <v>21.829358065599934</v>
      </c>
    </row>
    <row r="1501" spans="1:4">
      <c r="A1501">
        <v>1500</v>
      </c>
      <c r="B1501">
        <v>40</v>
      </c>
      <c r="C1501">
        <f t="shared" si="55"/>
        <v>20.766149999999982</v>
      </c>
      <c r="D1501">
        <f t="shared" si="56"/>
        <v>19.233850000000018</v>
      </c>
    </row>
    <row r="1502" spans="1:4">
      <c r="A1502">
        <v>1501</v>
      </c>
      <c r="B1502">
        <v>76</v>
      </c>
      <c r="C1502">
        <f t="shared" si="55"/>
        <v>20.361233334400026</v>
      </c>
      <c r="D1502">
        <f t="shared" si="56"/>
        <v>55.638766665599974</v>
      </c>
    </row>
    <row r="1503" spans="1:4">
      <c r="A1503">
        <v>1502</v>
      </c>
      <c r="B1503">
        <v>47</v>
      </c>
      <c r="C1503">
        <f t="shared" si="55"/>
        <v>19.955891937600029</v>
      </c>
      <c r="D1503">
        <f t="shared" si="56"/>
        <v>27.044108062399971</v>
      </c>
    </row>
    <row r="1504" spans="1:4">
      <c r="A1504">
        <v>1503</v>
      </c>
      <c r="B1504">
        <v>45</v>
      </c>
      <c r="C1504">
        <f t="shared" si="55"/>
        <v>19.550125809600047</v>
      </c>
      <c r="D1504">
        <f t="shared" si="56"/>
        <v>25.449874190399953</v>
      </c>
    </row>
    <row r="1505" spans="1:7">
      <c r="A1505">
        <v>1504</v>
      </c>
      <c r="B1505">
        <v>69</v>
      </c>
      <c r="C1505">
        <f t="shared" si="55"/>
        <v>19.143934950400023</v>
      </c>
      <c r="D1505">
        <f t="shared" si="56"/>
        <v>49.856065049599977</v>
      </c>
    </row>
    <row r="1506" spans="1:7">
      <c r="A1506">
        <v>1505</v>
      </c>
      <c r="B1506">
        <v>114</v>
      </c>
      <c r="C1506">
        <f t="shared" si="55"/>
        <v>18.737319360000015</v>
      </c>
      <c r="D1506">
        <f t="shared" si="56"/>
        <v>95.262680639999985</v>
      </c>
    </row>
    <row r="1507" spans="1:7">
      <c r="A1507">
        <v>1506</v>
      </c>
      <c r="B1507">
        <v>146</v>
      </c>
      <c r="C1507">
        <f t="shared" si="55"/>
        <v>18.330279038400022</v>
      </c>
      <c r="D1507">
        <f t="shared" si="56"/>
        <v>127.66972096159998</v>
      </c>
    </row>
    <row r="1508" spans="1:7">
      <c r="A1508">
        <v>1507</v>
      </c>
      <c r="B1508">
        <v>182</v>
      </c>
      <c r="C1508">
        <f t="shared" si="55"/>
        <v>17.922813985600101</v>
      </c>
      <c r="D1508">
        <f t="shared" si="56"/>
        <v>164.0771860143999</v>
      </c>
    </row>
    <row r="1509" spans="1:7">
      <c r="A1509">
        <v>1508</v>
      </c>
      <c r="B1509">
        <v>251</v>
      </c>
      <c r="C1509">
        <f t="shared" si="55"/>
        <v>17.514924201600024</v>
      </c>
      <c r="D1509">
        <f t="shared" si="56"/>
        <v>233.48507579839998</v>
      </c>
    </row>
    <row r="1510" spans="1:7">
      <c r="A1510">
        <v>1509</v>
      </c>
      <c r="B1510">
        <v>608</v>
      </c>
      <c r="C1510">
        <f t="shared" si="55"/>
        <v>17.106609686399963</v>
      </c>
      <c r="D1510">
        <f t="shared" si="56"/>
        <v>590.89339031360009</v>
      </c>
    </row>
    <row r="1511" spans="1:7" ht="17.25">
      <c r="A1511">
        <v>1510</v>
      </c>
      <c r="B1511">
        <v>970</v>
      </c>
      <c r="C1511">
        <f t="shared" si="55"/>
        <v>16.697870440000031</v>
      </c>
      <c r="D1511">
        <f t="shared" si="56"/>
        <v>953.30212955999991</v>
      </c>
      <c r="F1511">
        <v>1510.5</v>
      </c>
      <c r="G1511" t="s">
        <v>34</v>
      </c>
    </row>
    <row r="1512" spans="1:7">
      <c r="A1512">
        <v>1511</v>
      </c>
      <c r="B1512">
        <v>996</v>
      </c>
      <c r="C1512">
        <f t="shared" si="55"/>
        <v>16.2887064624</v>
      </c>
      <c r="D1512">
        <f t="shared" si="56"/>
        <v>979.7112935376</v>
      </c>
    </row>
    <row r="1513" spans="1:7">
      <c r="A1513">
        <v>1512</v>
      </c>
      <c r="B1513">
        <v>627</v>
      </c>
      <c r="C1513">
        <f t="shared" si="55"/>
        <v>15.879117753599985</v>
      </c>
      <c r="D1513">
        <f t="shared" si="56"/>
        <v>611.12088224640001</v>
      </c>
    </row>
    <row r="1514" spans="1:7">
      <c r="A1514">
        <v>1513</v>
      </c>
      <c r="B1514">
        <v>301</v>
      </c>
      <c r="C1514">
        <f t="shared" si="55"/>
        <v>15.469104313599985</v>
      </c>
      <c r="D1514">
        <f t="shared" si="56"/>
        <v>285.53089568640002</v>
      </c>
    </row>
    <row r="1515" spans="1:7">
      <c r="A1515">
        <v>1514</v>
      </c>
      <c r="B1515">
        <v>135</v>
      </c>
      <c r="C1515">
        <f t="shared" si="55"/>
        <v>15.0586661424</v>
      </c>
      <c r="D1515">
        <f t="shared" si="56"/>
        <v>119.9413338576</v>
      </c>
    </row>
    <row r="1516" spans="1:7">
      <c r="A1516">
        <v>1515</v>
      </c>
      <c r="B1516">
        <v>96</v>
      </c>
      <c r="C1516">
        <f t="shared" si="55"/>
        <v>14.64780324000003</v>
      </c>
      <c r="D1516">
        <f t="shared" si="56"/>
        <v>81.35219675999997</v>
      </c>
    </row>
    <row r="1517" spans="1:7">
      <c r="A1517">
        <v>1516</v>
      </c>
      <c r="B1517">
        <v>73</v>
      </c>
      <c r="C1517">
        <f t="shared" si="55"/>
        <v>14.236515606399962</v>
      </c>
      <c r="D1517">
        <f t="shared" si="56"/>
        <v>58.763484393600038</v>
      </c>
    </row>
    <row r="1518" spans="1:7">
      <c r="A1518">
        <v>1517</v>
      </c>
      <c r="B1518">
        <v>58</v>
      </c>
      <c r="C1518">
        <f t="shared" si="55"/>
        <v>13.824803241600023</v>
      </c>
      <c r="D1518">
        <f t="shared" si="56"/>
        <v>44.175196758399977</v>
      </c>
    </row>
    <row r="1519" spans="1:7">
      <c r="A1519">
        <v>1518</v>
      </c>
      <c r="B1519">
        <v>67</v>
      </c>
      <c r="C1519">
        <f t="shared" si="55"/>
        <v>13.412666145600042</v>
      </c>
      <c r="D1519">
        <f t="shared" si="56"/>
        <v>53.587333854399958</v>
      </c>
    </row>
    <row r="1520" spans="1:7">
      <c r="A1520">
        <v>1519</v>
      </c>
      <c r="B1520">
        <v>79</v>
      </c>
      <c r="C1520">
        <f t="shared" si="55"/>
        <v>13.000104318400076</v>
      </c>
      <c r="D1520">
        <f t="shared" si="56"/>
        <v>65.999895681599924</v>
      </c>
    </row>
    <row r="1521" spans="1:4">
      <c r="A1521">
        <v>1520</v>
      </c>
      <c r="B1521">
        <v>134</v>
      </c>
      <c r="C1521">
        <f t="shared" si="55"/>
        <v>12.587117760000012</v>
      </c>
      <c r="D1521">
        <f t="shared" si="56"/>
        <v>121.41288223999999</v>
      </c>
    </row>
    <row r="1522" spans="1:4">
      <c r="A1522">
        <v>1521</v>
      </c>
      <c r="B1522">
        <v>206</v>
      </c>
      <c r="C1522">
        <f t="shared" si="55"/>
        <v>12.17370647040002</v>
      </c>
      <c r="D1522">
        <f t="shared" si="56"/>
        <v>193.82629352959998</v>
      </c>
    </row>
    <row r="1523" spans="1:4">
      <c r="A1523">
        <v>1522</v>
      </c>
      <c r="B1523">
        <v>238</v>
      </c>
      <c r="C1523">
        <f t="shared" si="55"/>
        <v>11.759870449600044</v>
      </c>
      <c r="D1523">
        <f t="shared" si="56"/>
        <v>226.24012955039996</v>
      </c>
    </row>
    <row r="1524" spans="1:4">
      <c r="A1524">
        <v>1523</v>
      </c>
      <c r="B1524">
        <v>245</v>
      </c>
      <c r="C1524">
        <f t="shared" si="55"/>
        <v>11.345609697600082</v>
      </c>
      <c r="D1524">
        <f t="shared" si="56"/>
        <v>233.65439030239992</v>
      </c>
    </row>
    <row r="1525" spans="1:4">
      <c r="A1525">
        <v>1524</v>
      </c>
      <c r="B1525">
        <v>301</v>
      </c>
      <c r="C1525">
        <f t="shared" si="55"/>
        <v>10.930924214400022</v>
      </c>
      <c r="D1525">
        <f t="shared" si="56"/>
        <v>290.06907578559998</v>
      </c>
    </row>
    <row r="1526" spans="1:4">
      <c r="A1526">
        <v>1525</v>
      </c>
      <c r="B1526">
        <v>354</v>
      </c>
      <c r="C1526">
        <f t="shared" si="55"/>
        <v>10.515814000000034</v>
      </c>
      <c r="D1526">
        <f t="shared" si="56"/>
        <v>343.48418599999997</v>
      </c>
    </row>
    <row r="1527" spans="1:4">
      <c r="A1527">
        <v>1526</v>
      </c>
      <c r="B1527">
        <v>348</v>
      </c>
      <c r="C1527">
        <f t="shared" si="55"/>
        <v>10.100279054400062</v>
      </c>
      <c r="D1527">
        <f t="shared" si="56"/>
        <v>337.89972094559994</v>
      </c>
    </row>
    <row r="1528" spans="1:4">
      <c r="A1528">
        <v>1527</v>
      </c>
      <c r="B1528">
        <v>273</v>
      </c>
      <c r="C1528">
        <f t="shared" si="55"/>
        <v>9.6843193775999907</v>
      </c>
      <c r="D1528">
        <f t="shared" si="56"/>
        <v>263.31568062240001</v>
      </c>
    </row>
    <row r="1529" spans="1:4">
      <c r="A1529">
        <v>1528</v>
      </c>
      <c r="B1529">
        <v>229</v>
      </c>
      <c r="C1529">
        <f t="shared" si="55"/>
        <v>9.2679349695999349</v>
      </c>
      <c r="D1529">
        <f t="shared" si="56"/>
        <v>219.73206503040007</v>
      </c>
    </row>
    <row r="1530" spans="1:4">
      <c r="A1530">
        <v>1529</v>
      </c>
      <c r="B1530">
        <v>201</v>
      </c>
      <c r="C1530">
        <f t="shared" si="55"/>
        <v>8.851125830400008</v>
      </c>
      <c r="D1530">
        <f t="shared" si="56"/>
        <v>192.14887416959999</v>
      </c>
    </row>
  </sheetData>
  <sortState xmlns:xlrd2="http://schemas.microsoft.com/office/spreadsheetml/2017/richdata2" ref="N1495:O3000">
    <sortCondition ref="N1495:N3000"/>
  </sortState>
  <mergeCells count="1">
    <mergeCell ref="R34:S34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530"/>
  <sheetViews>
    <sheetView tabSelected="1" topLeftCell="A743" workbookViewId="0">
      <selection activeCell="W752" sqref="W752"/>
    </sheetView>
  </sheetViews>
  <sheetFormatPr baseColWidth="10" defaultRowHeight="15"/>
  <cols>
    <col min="5" max="5" width="11.42578125" customWidth="1"/>
    <col min="26" max="26" width="14.28515625" bestFit="1" customWidth="1"/>
  </cols>
  <sheetData>
    <row r="1" spans="1:28">
      <c r="A1">
        <v>0</v>
      </c>
      <c r="B1">
        <v>20465</v>
      </c>
      <c r="C1">
        <f>29000-10000*(A1-720)*(A1-720)/500000</f>
        <v>18632</v>
      </c>
      <c r="D1">
        <f>B1/C1</f>
        <v>1.0983791326749679</v>
      </c>
    </row>
    <row r="2" spans="1:28">
      <c r="A2">
        <v>1</v>
      </c>
      <c r="B2">
        <v>21300</v>
      </c>
      <c r="C2">
        <f t="shared" ref="C2:C65" si="0">29000-10000*(A2-720)*(A2-720)/500000</f>
        <v>18660.78</v>
      </c>
      <c r="D2">
        <f t="shared" ref="D2:D65" si="1">B2/C2</f>
        <v>1.141431387112436</v>
      </c>
    </row>
    <row r="3" spans="1:28">
      <c r="A3">
        <v>2</v>
      </c>
      <c r="B3">
        <v>21646</v>
      </c>
      <c r="C3">
        <f t="shared" si="0"/>
        <v>18689.52</v>
      </c>
      <c r="D3">
        <f t="shared" si="1"/>
        <v>1.1581891883793698</v>
      </c>
    </row>
    <row r="4" spans="1:28">
      <c r="A4">
        <v>3</v>
      </c>
      <c r="B4">
        <v>21421</v>
      </c>
      <c r="C4">
        <f t="shared" si="0"/>
        <v>18718.22</v>
      </c>
      <c r="D4">
        <f t="shared" si="1"/>
        <v>1.144393003180858</v>
      </c>
      <c r="J4" t="s">
        <v>13</v>
      </c>
      <c r="M4" s="7" t="s">
        <v>6</v>
      </c>
      <c r="N4" s="3"/>
      <c r="P4" t="s">
        <v>35</v>
      </c>
      <c r="Q4" t="s">
        <v>36</v>
      </c>
      <c r="R4" t="s">
        <v>41</v>
      </c>
      <c r="S4" t="s">
        <v>37</v>
      </c>
      <c r="T4" t="s">
        <v>40</v>
      </c>
      <c r="V4" s="3" t="s">
        <v>39</v>
      </c>
      <c r="W4" s="7" t="s">
        <v>92</v>
      </c>
      <c r="X4" s="3" t="s">
        <v>93</v>
      </c>
      <c r="Y4" s="3"/>
    </row>
    <row r="5" spans="1:28">
      <c r="A5">
        <v>4</v>
      </c>
      <c r="B5">
        <v>20947</v>
      </c>
      <c r="C5">
        <f t="shared" si="0"/>
        <v>18746.879999999997</v>
      </c>
      <c r="D5">
        <f t="shared" si="1"/>
        <v>1.1173592619145161</v>
      </c>
    </row>
    <row r="6" spans="1:28">
      <c r="A6">
        <v>5</v>
      </c>
      <c r="B6">
        <v>20408</v>
      </c>
      <c r="C6">
        <f t="shared" si="0"/>
        <v>18775.5</v>
      </c>
      <c r="D6">
        <f t="shared" si="1"/>
        <v>1.0869484168197918</v>
      </c>
      <c r="J6">
        <v>21</v>
      </c>
      <c r="K6" s="3" t="s">
        <v>46</v>
      </c>
      <c r="L6" s="3">
        <v>1</v>
      </c>
      <c r="M6">
        <v>6493.7809999999999</v>
      </c>
      <c r="P6">
        <v>21.5</v>
      </c>
      <c r="Q6">
        <v>6.6E-3</v>
      </c>
      <c r="R6">
        <v>-8.4000000000000005E-2</v>
      </c>
      <c r="S6">
        <v>-4.2599999999999999E-2</v>
      </c>
      <c r="T6">
        <v>-1.3369</v>
      </c>
      <c r="V6">
        <f t="shared" ref="V6:V36" si="2">P6+(-2*R6-SQRT(4*R6*R6-12*Q6*S6))/(6*Q6)</f>
        <v>21.253584904218425</v>
      </c>
      <c r="W6">
        <f xml:space="preserve"> 1.39394098683175E-18*V6*V6*V6*V6*V6*V6 - 6.58044383788171E-15*V6*V6*V6*V6*V6 + 1.16354508506345E-11*V6*V6*V6*V6 - 9.29864698195214E-09*V6*V6*V6 + 3.02469198127472E-06*V6*V6 + 0.0924365570558958*V6 + 6492.49282015586</f>
        <v>6494.4587077413898</v>
      </c>
      <c r="X6">
        <f>300000*(W6/M6-1)</f>
        <v>31.3087741050877</v>
      </c>
      <c r="Z6" s="6" t="s">
        <v>12</v>
      </c>
      <c r="AA6" s="6">
        <f>AVERAGE(X6:X36)</f>
        <v>28.431174628159333</v>
      </c>
      <c r="AB6" s="6"/>
    </row>
    <row r="7" spans="1:28">
      <c r="A7">
        <v>6</v>
      </c>
      <c r="B7">
        <v>20297</v>
      </c>
      <c r="C7">
        <f t="shared" si="0"/>
        <v>18804.080000000002</v>
      </c>
      <c r="D7">
        <f t="shared" si="1"/>
        <v>1.0793934082390628</v>
      </c>
      <c r="J7">
        <v>34</v>
      </c>
      <c r="K7" s="3" t="s">
        <v>47</v>
      </c>
      <c r="L7" s="3">
        <v>1</v>
      </c>
      <c r="M7">
        <v>6494.98</v>
      </c>
      <c r="P7">
        <v>34.5</v>
      </c>
      <c r="Q7">
        <v>1E-4</v>
      </c>
      <c r="R7">
        <v>-3.5299999999999998E-2</v>
      </c>
      <c r="S7">
        <v>-1.11E-2</v>
      </c>
      <c r="T7">
        <v>-0.75609999999999999</v>
      </c>
      <c r="V7">
        <f t="shared" si="2"/>
        <v>34.342881103460279</v>
      </c>
      <c r="W7">
        <f xml:space="preserve"> 1.39394098683175E-18*V7*V7*V7*V7*V7*V7 - 6.58044383788171E-15*V7*V7*V7*V7*V7 + 1.16354508506345E-11*V7*V7*V7*V7 - 9.29864698195214E-09*V7*V7*V7 + 3.02469198127472E-06*V7*V7 + 0.0924365570558958*V7 + 6492.49282015586</f>
        <v>6495.6705644979747</v>
      </c>
      <c r="X7">
        <f>300000*(W7/M7-1)</f>
        <v>31.896841775114204</v>
      </c>
      <c r="Z7" s="6" t="s">
        <v>94</v>
      </c>
      <c r="AA7" s="6">
        <f>STDEV(X6:X36)</f>
        <v>2.0065945471917188</v>
      </c>
      <c r="AB7" s="6"/>
    </row>
    <row r="8" spans="1:28">
      <c r="A8">
        <v>7</v>
      </c>
      <c r="B8">
        <v>20463</v>
      </c>
      <c r="C8">
        <f t="shared" si="0"/>
        <v>18832.620000000003</v>
      </c>
      <c r="D8">
        <f t="shared" si="1"/>
        <v>1.0865721285726573</v>
      </c>
      <c r="J8">
        <v>54</v>
      </c>
      <c r="K8" s="3" t="s">
        <v>48</v>
      </c>
      <c r="L8" s="3">
        <v>2</v>
      </c>
      <c r="M8">
        <v>6496.8990000000003</v>
      </c>
      <c r="N8" t="s">
        <v>49</v>
      </c>
      <c r="P8">
        <v>54</v>
      </c>
      <c r="Q8">
        <v>5.0000000000000001E-4</v>
      </c>
      <c r="R8">
        <v>-3.4000000000000002E-2</v>
      </c>
      <c r="S8">
        <v>1.77E-2</v>
      </c>
      <c r="T8">
        <v>-0.59019999999999995</v>
      </c>
      <c r="V8">
        <f t="shared" si="2"/>
        <v>54.26180608290543</v>
      </c>
      <c r="W8">
        <f xml:space="preserve"> 1.39394098683175E-18*V8*V8*V8*V8*V8*V8 - 6.58044383788171E-15*V8*V8*V8*V8*V8 + 1.16354508506345E-11*V8*V8*V8*V8 - 9.29864698195214E-09*V8*V8*V8 + 3.02469198127472E-06*V8*V8 + 0.0924365570558958*V8 + 6492.49282015586</f>
        <v>6497.5161126298935</v>
      </c>
      <c r="X8">
        <f>300000*(W8/M8-1)</f>
        <v>28.49571602820955</v>
      </c>
      <c r="Z8" s="6" t="s">
        <v>95</v>
      </c>
      <c r="AA8" s="6">
        <f>AA7/SQRT(31)</f>
        <v>0.36039501969364829</v>
      </c>
      <c r="AB8" s="6"/>
    </row>
    <row r="9" spans="1:28">
      <c r="A9">
        <v>8</v>
      </c>
      <c r="B9">
        <v>20855</v>
      </c>
      <c r="C9">
        <f t="shared" si="0"/>
        <v>18861.120000000003</v>
      </c>
      <c r="D9">
        <f t="shared" si="1"/>
        <v>1.1057137646120696</v>
      </c>
      <c r="J9">
        <v>76</v>
      </c>
      <c r="K9" s="3" t="s">
        <v>47</v>
      </c>
      <c r="L9" s="3">
        <v>1</v>
      </c>
      <c r="M9">
        <v>6498.9378999999999</v>
      </c>
      <c r="P9">
        <v>76.5</v>
      </c>
      <c r="Q9">
        <v>2.3999999999999998E-3</v>
      </c>
      <c r="R9">
        <v>-5.0900000000000001E-2</v>
      </c>
      <c r="S9">
        <v>-1.3100000000000001E-2</v>
      </c>
      <c r="T9">
        <v>-0.83709999999999996</v>
      </c>
      <c r="V9">
        <f t="shared" si="2"/>
        <v>76.372466662240939</v>
      </c>
      <c r="W9">
        <f xml:space="preserve"> 1.39394098683175E-18*V9*V9*V9*V9*V9*V9 - 6.58044383788171E-15*V9*V9*V9*V9*V9 + 1.16354508506345E-11*V9*V9*V9*V9 - 9.29864698195214E-09*V9*V9*V9 + 3.02469198127472E-06*V9*V9 + 0.0924365570558958*V9 + 6492.49282015586</f>
        <v>6499.5663071480367</v>
      </c>
      <c r="X9">
        <f>300000*(W9/M9-1)</f>
        <v>29.008146763653819</v>
      </c>
      <c r="Z9" s="6"/>
      <c r="AA9" s="6"/>
      <c r="AB9" s="6"/>
    </row>
    <row r="10" spans="1:28">
      <c r="A10">
        <v>9</v>
      </c>
      <c r="B10">
        <v>21329</v>
      </c>
      <c r="C10">
        <f t="shared" si="0"/>
        <v>18889.580000000002</v>
      </c>
      <c r="D10">
        <f t="shared" si="1"/>
        <v>1.1291410396631369</v>
      </c>
      <c r="J10">
        <v>100.5</v>
      </c>
      <c r="K10" s="3" t="s">
        <v>50</v>
      </c>
      <c r="L10" s="3">
        <v>1</v>
      </c>
      <c r="M10">
        <v>6501.1850000000004</v>
      </c>
      <c r="P10">
        <v>101</v>
      </c>
      <c r="Q10">
        <v>2.8E-3</v>
      </c>
      <c r="R10">
        <v>-5.0900000000000001E-2</v>
      </c>
      <c r="S10">
        <v>2.2000000000000001E-3</v>
      </c>
      <c r="T10">
        <v>-1.6549</v>
      </c>
      <c r="V10">
        <f t="shared" si="2"/>
        <v>101.02164967732453</v>
      </c>
      <c r="W10">
        <f xml:space="preserve"> 1.39394098683175E-18*V10*V10*V10*V10*V10*V10 - 6.58044383788171E-15*V10*V10*V10*V10*V10 + 1.16354508506345E-11*V10*V10*V10*V10 - 9.29864698195214E-09*V10*V10*V10 + 3.02469198127472E-06*V10*V10 + 0.0924365570558958*V10 + 6492.49282015586</f>
        <v>6501.8533392592481</v>
      </c>
      <c r="X10">
        <f>300000*(W10/M10-1)</f>
        <v>30.840804833953683</v>
      </c>
      <c r="Z10" s="6" t="s">
        <v>96</v>
      </c>
      <c r="AA10" s="6" t="s">
        <v>98</v>
      </c>
      <c r="AB10" s="6"/>
    </row>
    <row r="11" spans="1:28">
      <c r="A11">
        <v>10</v>
      </c>
      <c r="B11">
        <v>21577</v>
      </c>
      <c r="C11">
        <f t="shared" si="0"/>
        <v>18918</v>
      </c>
      <c r="D11">
        <f t="shared" si="1"/>
        <v>1.1405539697642457</v>
      </c>
      <c r="J11">
        <v>132.5</v>
      </c>
      <c r="K11" s="3" t="s">
        <v>51</v>
      </c>
      <c r="L11" s="3">
        <v>1</v>
      </c>
      <c r="M11">
        <v>6504.1652999999997</v>
      </c>
      <c r="P11">
        <v>132.5</v>
      </c>
      <c r="Q11">
        <v>-4.0000000000000002E-4</v>
      </c>
      <c r="R11">
        <v>-9.8199999999999996E-2</v>
      </c>
      <c r="S11">
        <v>3.8899999999999997E-2</v>
      </c>
      <c r="T11">
        <v>-1.7018</v>
      </c>
      <c r="V11">
        <f t="shared" si="2"/>
        <v>132.69782605815104</v>
      </c>
      <c r="W11">
        <f xml:space="preserve"> 1.39394098683175E-18*V11*V11*V11*V11*V11*V11 - 6.58044383788171E-15*V11*V11*V11*V11*V11 + 1.16354508506345E-11*V11*V11*V11*V11 - 9.29864698195214E-09*V11*V11*V11 + 3.02469198127472E-06*V11*V11 + 0.0924365570558958*V11 + 6492.49282015586</f>
        <v>6504.7938283111553</v>
      </c>
      <c r="X11">
        <f>300000*(W11/M11-1)</f>
        <v>28.990421468355621</v>
      </c>
      <c r="Z11" s="6"/>
      <c r="AA11" s="6"/>
      <c r="AB11" s="6"/>
    </row>
    <row r="12" spans="1:28">
      <c r="A12">
        <v>11</v>
      </c>
      <c r="B12">
        <v>22068</v>
      </c>
      <c r="C12">
        <f t="shared" si="0"/>
        <v>18946.379999999997</v>
      </c>
      <c r="D12">
        <f t="shared" si="1"/>
        <v>1.1647607616864015</v>
      </c>
      <c r="J12">
        <v>175</v>
      </c>
      <c r="K12" s="3" t="s">
        <v>52</v>
      </c>
      <c r="L12" s="3">
        <v>1</v>
      </c>
      <c r="M12">
        <v>6508.1205</v>
      </c>
      <c r="P12">
        <v>175</v>
      </c>
      <c r="Q12">
        <v>2.8999999999999998E-3</v>
      </c>
      <c r="R12">
        <v>-7.8600000000000003E-2</v>
      </c>
      <c r="S12">
        <v>4.9200000000000001E-2</v>
      </c>
      <c r="T12">
        <v>-1.2937000000000001</v>
      </c>
      <c r="V12">
        <f t="shared" si="2"/>
        <v>175.31859460525266</v>
      </c>
      <c r="W12">
        <f xml:space="preserve"> 1.39394098683175E-18*V12*V12*V12*V12*V12*V12 - 6.58044383788171E-15*V12*V12*V12*V12*V12 + 1.16354508506345E-11*V12*V12*V12*V12 - 9.29864698195214E-09*V12*V12*V12 + 3.02469198127472E-06*V12*V12 + 0.0924365570558958*V12 + 6492.49282015586</f>
        <v>6508.7514716165024</v>
      </c>
      <c r="X12">
        <f>300000*(W12/M12-1)</f>
        <v>29.085430263720013</v>
      </c>
      <c r="Z12" s="6" t="s">
        <v>97</v>
      </c>
      <c r="AA12" s="6"/>
      <c r="AB12" s="6"/>
    </row>
    <row r="13" spans="1:28">
      <c r="A13">
        <v>12</v>
      </c>
      <c r="B13">
        <v>22046</v>
      </c>
      <c r="C13">
        <f t="shared" si="0"/>
        <v>18974.72</v>
      </c>
      <c r="D13">
        <f t="shared" si="1"/>
        <v>1.1618616770102537</v>
      </c>
      <c r="J13">
        <v>426.5</v>
      </c>
      <c r="K13" s="3" t="s">
        <v>51</v>
      </c>
      <c r="L13" s="3">
        <v>1</v>
      </c>
      <c r="M13">
        <v>6531.4206999999997</v>
      </c>
      <c r="P13">
        <v>427</v>
      </c>
      <c r="Q13">
        <v>1.2500000000000001E-2</v>
      </c>
      <c r="R13">
        <v>-7.1900000000000006E-2</v>
      </c>
      <c r="S13">
        <v>5.9999999999999995E-4</v>
      </c>
      <c r="T13">
        <v>-1.2755000000000001</v>
      </c>
      <c r="V13">
        <f t="shared" si="2"/>
        <v>427.00417701167243</v>
      </c>
      <c r="W13">
        <f xml:space="preserve"> 1.39394098683175E-18*V13*V13*V13*V13*V13*V13 - 6.58044383788171E-15*V13*V13*V13*V13*V13 + 1.16354508506345E-11*V13*V13*V13*V13 - 9.29864698195214E-09*V13*V13*V13 + 3.02469198127472E-06*V13*V13 + 0.0924365570558958*V13 + 6492.49282015586</f>
        <v>6532.0930106605638</v>
      </c>
      <c r="X13">
        <f>300000*(W13/M13-1)</f>
        <v>30.880448134262828</v>
      </c>
    </row>
    <row r="14" spans="1:28">
      <c r="A14">
        <v>13</v>
      </c>
      <c r="B14">
        <v>21898</v>
      </c>
      <c r="C14">
        <f t="shared" si="0"/>
        <v>19003.02</v>
      </c>
      <c r="D14">
        <f t="shared" si="1"/>
        <v>1.1523431538776467</v>
      </c>
      <c r="J14">
        <v>442.5</v>
      </c>
      <c r="K14" s="3" t="s">
        <v>53</v>
      </c>
      <c r="L14" s="3">
        <v>1</v>
      </c>
      <c r="M14">
        <v>6532.8730999999998</v>
      </c>
      <c r="P14">
        <v>442.5</v>
      </c>
      <c r="Q14">
        <v>3.0000000000000001E-3</v>
      </c>
      <c r="R14">
        <v>-7.1800000000000003E-2</v>
      </c>
      <c r="S14">
        <v>-1.47E-2</v>
      </c>
      <c r="T14">
        <v>-1.5177</v>
      </c>
      <c r="V14">
        <f t="shared" si="2"/>
        <v>442.39828078817885</v>
      </c>
      <c r="W14">
        <f xml:space="preserve"> 1.39394098683175E-18*V14*V14*V14*V14*V14*V14 - 6.58044383788171E-15*V14*V14*V14*V14*V14 + 1.16354508506345E-11*V14*V14*V14*V14 - 9.29864698195214E-09*V14*V14*V14 + 3.02469198127472E-06*V14*V14 + 0.0924365570558958*V14 + 6492.49282015586</f>
        <v>6533.5180886363969</v>
      </c>
      <c r="X14">
        <f>300000*(W14/M14-1)</f>
        <v>29.618911611684062</v>
      </c>
    </row>
    <row r="15" spans="1:28">
      <c r="A15">
        <v>14</v>
      </c>
      <c r="B15">
        <v>21512</v>
      </c>
      <c r="C15">
        <f t="shared" si="0"/>
        <v>19031.28</v>
      </c>
      <c r="D15">
        <f t="shared" si="1"/>
        <v>1.1303496138988025</v>
      </c>
      <c r="J15">
        <v>497</v>
      </c>
      <c r="K15" s="3" t="s">
        <v>50</v>
      </c>
      <c r="L15" s="3">
        <v>1</v>
      </c>
      <c r="M15">
        <v>6537.9210000000003</v>
      </c>
      <c r="P15">
        <v>497</v>
      </c>
      <c r="Q15">
        <v>-1E-4</v>
      </c>
      <c r="R15">
        <v>-0.13070000000000001</v>
      </c>
      <c r="S15">
        <v>-1.8700000000000001E-2</v>
      </c>
      <c r="T15">
        <v>-1.4424999999999999</v>
      </c>
      <c r="V15">
        <f t="shared" si="2"/>
        <v>496.92845625266892</v>
      </c>
      <c r="W15">
        <f xml:space="preserve"> 1.39394098683175E-18*V15*V15*V15*V15*V15*V15 - 6.58044383788171E-15*V15*V15*V15*V15*V15 + 1.16354508506345E-11*V15*V15*V15*V15 - 9.29864698195214E-09*V15*V15*V15 + 3.02469198127472E-06*V15*V15 + 0.0924365570558958*V15 + 6492.49282015586</f>
        <v>6538.5641458420696</v>
      </c>
      <c r="X15">
        <f>300000*(W15/M15-1)</f>
        <v>29.511484250210884</v>
      </c>
    </row>
    <row r="16" spans="1:28">
      <c r="A16">
        <v>15</v>
      </c>
      <c r="B16">
        <v>20908</v>
      </c>
      <c r="C16">
        <f t="shared" si="0"/>
        <v>19059.5</v>
      </c>
      <c r="D16">
        <f t="shared" si="1"/>
        <v>1.0969857551352344</v>
      </c>
      <c r="J16">
        <v>556</v>
      </c>
      <c r="K16" s="3" t="s">
        <v>51</v>
      </c>
      <c r="L16" s="3">
        <v>1</v>
      </c>
      <c r="M16">
        <v>6543.5037000000002</v>
      </c>
      <c r="P16">
        <v>555.5</v>
      </c>
      <c r="Q16">
        <v>5.7000000000000002E-3</v>
      </c>
      <c r="R16">
        <v>-7.5200000000000003E-2</v>
      </c>
      <c r="S16">
        <v>1.1000000000000001E-3</v>
      </c>
      <c r="T16">
        <v>-1.1872</v>
      </c>
      <c r="V16">
        <f t="shared" si="2"/>
        <v>555.50731992180499</v>
      </c>
      <c r="W16">
        <f xml:space="preserve"> 1.39394098683175E-18*V16*V16*V16*V16*V16*V16 - 6.58044383788171E-15*V16*V16*V16*V16*V16 + 1.16354508506345E-11*V16*V16*V16*V16 - 9.29864698195214E-09*V16*V16*V16 + 3.02469198127472E-06*V16*V16 + 0.0924365570558958*V16 + 6492.49282015586</f>
        <v>6543.9822548352968</v>
      </c>
      <c r="X16" s="5">
        <f>300000*(W16/M16-1)</f>
        <v>21.940302500200737</v>
      </c>
    </row>
    <row r="17" spans="1:24">
      <c r="A17">
        <v>16</v>
      </c>
      <c r="B17">
        <v>20098</v>
      </c>
      <c r="C17">
        <f t="shared" si="0"/>
        <v>19087.68</v>
      </c>
      <c r="D17">
        <f t="shared" si="1"/>
        <v>1.0529304766215695</v>
      </c>
      <c r="J17">
        <v>587</v>
      </c>
      <c r="K17" s="3" t="s">
        <v>54</v>
      </c>
      <c r="L17" s="3">
        <v>1</v>
      </c>
      <c r="M17">
        <v>6546.2529999999997</v>
      </c>
      <c r="N17" t="s">
        <v>49</v>
      </c>
      <c r="P17">
        <v>587</v>
      </c>
      <c r="Q17">
        <v>-1.4E-3</v>
      </c>
      <c r="R17">
        <v>-7.7700000000000005E-2</v>
      </c>
      <c r="S17">
        <v>-1.4800000000000001E-2</v>
      </c>
      <c r="T17">
        <v>-0.81100000000000005</v>
      </c>
      <c r="V17">
        <f t="shared" si="2"/>
        <v>586.90451549148167</v>
      </c>
      <c r="W17">
        <f xml:space="preserve"> 1.39394098683175E-18*V17*V17*V17*V17*V17*V17 - 6.58044383788171E-15*V17*V17*V17*V17*V17 + 1.16354508506345E-11*V17*V17*V17*V17 - 9.29864698195214E-09*V17*V17*V17 + 3.02469198127472E-06*V17*V17 + 0.0924365570558958*V17 + 6492.49282015586</f>
        <v>6546.8855673917396</v>
      </c>
      <c r="X17">
        <f>300000*(W17/M17-1)</f>
        <v>28.989135849477599</v>
      </c>
    </row>
    <row r="18" spans="1:24">
      <c r="A18">
        <v>17</v>
      </c>
      <c r="B18">
        <v>18905</v>
      </c>
      <c r="C18">
        <f t="shared" si="0"/>
        <v>19115.82</v>
      </c>
      <c r="D18">
        <f t="shared" si="1"/>
        <v>0.98897143831653578</v>
      </c>
      <c r="J18">
        <v>645</v>
      </c>
      <c r="K18" s="3" t="s">
        <v>47</v>
      </c>
      <c r="L18" s="3">
        <v>1</v>
      </c>
      <c r="M18">
        <v>6551.6767</v>
      </c>
      <c r="P18">
        <v>645</v>
      </c>
      <c r="Q18">
        <v>8.9999999999999998E-4</v>
      </c>
      <c r="R18">
        <v>-5.6300000000000003E-2</v>
      </c>
      <c r="S18">
        <v>1.66E-2</v>
      </c>
      <c r="T18">
        <v>-0.99180000000000001</v>
      </c>
      <c r="V18">
        <f t="shared" si="2"/>
        <v>645.14794938146167</v>
      </c>
      <c r="W18">
        <f xml:space="preserve"> 1.39394098683175E-18*V18*V18*V18*V18*V18*V18 - 6.58044383788171E-15*V18*V18*V18*V18*V18 + 1.16354508506345E-11*V18*V18*V18*V18 - 9.29864698195214E-09*V18*V18*V18 + 3.02469198127472E-06*V18*V18 + 0.0924365570558958*V18 + 6492.49282015586</f>
        <v>6552.2708550960451</v>
      </c>
      <c r="X18">
        <f>300000*(W18/M18-1)</f>
        <v>27.206246122224442</v>
      </c>
    </row>
    <row r="19" spans="1:24">
      <c r="A19">
        <v>18</v>
      </c>
      <c r="B19">
        <v>17646</v>
      </c>
      <c r="C19">
        <f t="shared" si="0"/>
        <v>19143.919999999998</v>
      </c>
      <c r="D19">
        <f t="shared" si="1"/>
        <v>0.92175479212198974</v>
      </c>
      <c r="J19">
        <v>673</v>
      </c>
      <c r="K19" s="3" t="s">
        <v>52</v>
      </c>
      <c r="L19" s="3">
        <v>1</v>
      </c>
      <c r="M19">
        <v>6554.223</v>
      </c>
      <c r="P19">
        <v>673</v>
      </c>
      <c r="Q19">
        <v>1E-3</v>
      </c>
      <c r="R19">
        <v>-8.6400000000000005E-2</v>
      </c>
      <c r="S19">
        <v>4.4000000000000003E-3</v>
      </c>
      <c r="T19">
        <v>-0.93149999999999999</v>
      </c>
      <c r="V19">
        <f t="shared" si="2"/>
        <v>673.02547422921907</v>
      </c>
      <c r="W19">
        <f xml:space="preserve"> 1.39394098683175E-18*V19*V19*V19*V19*V19*V19 - 6.58044383788171E-15*V19*V19*V19*V19*V19 + 1.16354508506345E-11*V19*V19*V19*V19 - 9.29864698195214E-09*V19*V19*V19 + 3.02469198127472E-06*V19*V19 + 0.0924365570558958*V19 + 6492.49282015586</f>
        <v>6554.8484828996379</v>
      </c>
      <c r="X19">
        <f>300000*(W19/M19-1)</f>
        <v>28.629613287689537</v>
      </c>
    </row>
    <row r="20" spans="1:24">
      <c r="A20">
        <v>19</v>
      </c>
      <c r="B20">
        <v>16185</v>
      </c>
      <c r="C20">
        <f t="shared" si="0"/>
        <v>19171.98</v>
      </c>
      <c r="D20">
        <f t="shared" si="1"/>
        <v>0.84420075547752504</v>
      </c>
      <c r="J20">
        <v>692.5</v>
      </c>
      <c r="K20" s="3" t="s">
        <v>52</v>
      </c>
      <c r="L20" s="3">
        <v>1</v>
      </c>
      <c r="M20">
        <v>6556.0618000000004</v>
      </c>
      <c r="P20">
        <v>692.5</v>
      </c>
      <c r="Q20">
        <v>-1.6000000000000001E-3</v>
      </c>
      <c r="R20">
        <v>-7.2400000000000006E-2</v>
      </c>
      <c r="S20">
        <v>3.6200000000000003E-2</v>
      </c>
      <c r="T20">
        <v>-0.69379999999999997</v>
      </c>
      <c r="V20">
        <f t="shared" si="2"/>
        <v>692.74796182105956</v>
      </c>
      <c r="W20">
        <f xml:space="preserve"> 1.39394098683175E-18*V20*V20*V20*V20*V20*V20 - 6.58044383788171E-15*V20*V20*V20*V20*V20 + 1.16354508506345E-11*V20*V20*V20*V20 - 9.29864698195214E-09*V20*V20*V20 + 3.02469198127472E-06*V20*V20 + 0.0924365570558958*V20 + 6492.49282015586</f>
        <v>6556.6721644082572</v>
      </c>
      <c r="X20">
        <f>300000*(W20/M20-1)</f>
        <v>27.929773706070193</v>
      </c>
    </row>
    <row r="21" spans="1:24">
      <c r="A21">
        <v>20</v>
      </c>
      <c r="B21">
        <v>14848</v>
      </c>
      <c r="C21">
        <f t="shared" si="0"/>
        <v>19200</v>
      </c>
      <c r="D21">
        <f t="shared" si="1"/>
        <v>0.77333333333333332</v>
      </c>
      <c r="J21">
        <v>797.5</v>
      </c>
      <c r="K21" s="3" t="s">
        <v>51</v>
      </c>
      <c r="L21" s="3">
        <v>1</v>
      </c>
      <c r="M21">
        <v>6565.8829999999998</v>
      </c>
      <c r="P21">
        <v>798</v>
      </c>
      <c r="Q21">
        <v>-1.0699999999999999E-2</v>
      </c>
      <c r="R21">
        <v>-7.8399999999999997E-2</v>
      </c>
      <c r="S21">
        <v>8.8999999999999999E-3</v>
      </c>
      <c r="T21">
        <v>-1.7854000000000001</v>
      </c>
      <c r="V21">
        <f t="shared" si="2"/>
        <v>798.05611555190796</v>
      </c>
      <c r="W21">
        <f xml:space="preserve"> 1.39394098683175E-18*V21*V21*V21*V21*V21*V21 - 6.58044383788171E-15*V21*V21*V21*V21*V21 + 1.16354508506345E-11*V21*V21*V21*V21 - 9.29864698195214E-09*V21*V21*V21 + 3.02469198127472E-06*V21*V21 + 0.0924365570558958*V21 + 6492.49282015586</f>
        <v>6566.4121362453407</v>
      </c>
      <c r="X21" s="5">
        <f>300000*(W21/M21-1)</f>
        <v>24.176622337379605</v>
      </c>
    </row>
    <row r="22" spans="1:24" ht="17.25">
      <c r="A22">
        <v>21</v>
      </c>
      <c r="B22">
        <v>14160</v>
      </c>
      <c r="C22">
        <f t="shared" si="0"/>
        <v>19227.98</v>
      </c>
      <c r="D22">
        <f t="shared" si="1"/>
        <v>0.73642681134471744</v>
      </c>
      <c r="F22">
        <v>21.5</v>
      </c>
      <c r="G22" t="s">
        <v>60</v>
      </c>
      <c r="J22">
        <v>835</v>
      </c>
      <c r="K22" s="3" t="s">
        <v>55</v>
      </c>
      <c r="L22" s="3">
        <v>1</v>
      </c>
      <c r="M22">
        <v>6569.2145</v>
      </c>
      <c r="N22" t="s">
        <v>49</v>
      </c>
      <c r="P22">
        <v>835.5</v>
      </c>
      <c r="Q22">
        <v>-2.8999999999999998E-3</v>
      </c>
      <c r="R22">
        <v>-6.2700000000000006E-2</v>
      </c>
      <c r="S22">
        <v>7.1000000000000004E-3</v>
      </c>
      <c r="T22">
        <v>-1.363</v>
      </c>
      <c r="V22">
        <f t="shared" si="2"/>
        <v>835.55639814567564</v>
      </c>
      <c r="W22">
        <f xml:space="preserve"> 1.39394098683175E-18*V22*V22*V22*V22*V22*V22 - 6.58044383788171E-15*V22*V22*V22*V22*V22 + 1.16354508506345E-11*V22*V22*V22*V22 - 9.29864698195214E-09*V22*V22*V22 + 3.02469198127472E-06*V22*V22 + 0.0924365570558958*V22 + 6492.49282015586</f>
        <v>6569.8818398262847</v>
      </c>
      <c r="X22">
        <f>300000*(W22/M22-1)</f>
        <v>30.475781828331883</v>
      </c>
    </row>
    <row r="23" spans="1:24">
      <c r="A23">
        <v>22</v>
      </c>
      <c r="B23">
        <v>14443</v>
      </c>
      <c r="C23">
        <f t="shared" si="0"/>
        <v>19255.919999999998</v>
      </c>
      <c r="D23">
        <f t="shared" si="1"/>
        <v>0.75005504800601586</v>
      </c>
      <c r="J23">
        <v>873.5</v>
      </c>
      <c r="K23" s="3" t="s">
        <v>56</v>
      </c>
      <c r="L23" s="3">
        <v>1</v>
      </c>
      <c r="M23">
        <v>6572.826</v>
      </c>
      <c r="N23" t="s">
        <v>49</v>
      </c>
      <c r="P23">
        <v>874</v>
      </c>
      <c r="Q23">
        <v>2E-3</v>
      </c>
      <c r="R23">
        <v>-6.6500000000000004E-2</v>
      </c>
      <c r="S23">
        <v>-3.04E-2</v>
      </c>
      <c r="T23">
        <v>-0.64910000000000001</v>
      </c>
      <c r="V23">
        <f t="shared" si="2"/>
        <v>873.77373809546361</v>
      </c>
      <c r="W23">
        <f xml:space="preserve"> 1.39394098683175E-18*V23*V23*V23*V23*V23*V23 - 6.58044383788171E-15*V23*V23*V23*V23*V23 + 1.16354508506345E-11*V23*V23*V23*V23 - 9.29864698195214E-09*V23*V23*V23 + 3.02469198127472E-06*V23*V23 + 0.0924365570558958*V23 + 6492.49282015586</f>
        <v>6573.4186381682348</v>
      </c>
      <c r="X23">
        <f>300000*(W23/M23-1)</f>
        <v>27.049468595463644</v>
      </c>
    </row>
    <row r="24" spans="1:24">
      <c r="A24">
        <v>23</v>
      </c>
      <c r="B24">
        <v>15237</v>
      </c>
      <c r="C24">
        <f t="shared" si="0"/>
        <v>19283.82</v>
      </c>
      <c r="D24">
        <f t="shared" si="1"/>
        <v>0.79014427639337026</v>
      </c>
      <c r="J24">
        <v>889</v>
      </c>
      <c r="K24" s="3" t="s">
        <v>47</v>
      </c>
      <c r="L24" s="3">
        <v>1</v>
      </c>
      <c r="M24">
        <v>6574.2262000000001</v>
      </c>
      <c r="P24">
        <v>889.5</v>
      </c>
      <c r="Q24">
        <v>3.8999999999999998E-3</v>
      </c>
      <c r="R24">
        <v>-8.8900000000000007E-2</v>
      </c>
      <c r="S24">
        <v>-2.7900000000000001E-2</v>
      </c>
      <c r="T24">
        <v>-0.67100000000000004</v>
      </c>
      <c r="V24">
        <f t="shared" si="2"/>
        <v>889.34466980535217</v>
      </c>
      <c r="W24">
        <f xml:space="preserve"> 1.39394098683175E-18*V24*V24*V24*V24*V24*V24 - 6.58044383788171E-15*V24*V24*V24*V24*V24 + 1.16354508506345E-11*V24*V24*V24*V24 - 9.29864698195214E-09*V24*V24*V24 + 3.02469198127472E-06*V24*V24 + 0.0924365570558958*V24 + 6492.49282015586</f>
        <v>6574.8598446636852</v>
      </c>
      <c r="X24">
        <f>300000*(W24/M24-1)</f>
        <v>28.914946538582953</v>
      </c>
    </row>
    <row r="25" spans="1:24">
      <c r="A25">
        <v>24</v>
      </c>
      <c r="B25">
        <v>16326</v>
      </c>
      <c r="C25">
        <f t="shared" si="0"/>
        <v>19311.68</v>
      </c>
      <c r="D25">
        <f t="shared" si="1"/>
        <v>0.84539511839467096</v>
      </c>
      <c r="J25">
        <v>913.5</v>
      </c>
      <c r="K25" s="3" t="s">
        <v>57</v>
      </c>
      <c r="L25" s="3">
        <v>1</v>
      </c>
      <c r="M25">
        <v>6576.56</v>
      </c>
      <c r="N25" t="s">
        <v>10</v>
      </c>
      <c r="P25">
        <v>914</v>
      </c>
      <c r="Q25">
        <v>-8.3000000000000001E-3</v>
      </c>
      <c r="R25">
        <v>-7.9000000000000001E-2</v>
      </c>
      <c r="S25">
        <v>1.26E-2</v>
      </c>
      <c r="T25">
        <v>-1.7309000000000001</v>
      </c>
      <c r="V25">
        <f t="shared" si="2"/>
        <v>914.07876902823273</v>
      </c>
      <c r="W25">
        <f xml:space="preserve"> 1.39394098683175E-18*V25*V25*V25*V25*V25*V25 - 6.58044383788171E-15*V25*V25*V25*V25*V25 + 1.16354508506345E-11*V25*V25*V25*V25 - 9.29864698195214E-09*V25*V25*V25 + 3.02469198127472E-06*V25*V25 + 0.0924365570558958*V25 + 6492.49282015586</f>
        <v>6577.1493920740495</v>
      </c>
      <c r="X25">
        <f>300000*(W25/M25-1)</f>
        <v>26.886034981021822</v>
      </c>
    </row>
    <row r="26" spans="1:24">
      <c r="A26">
        <v>25</v>
      </c>
      <c r="B26">
        <v>17049</v>
      </c>
      <c r="C26">
        <f t="shared" si="0"/>
        <v>19339.5</v>
      </c>
      <c r="D26">
        <f t="shared" si="1"/>
        <v>0.88156363918405334</v>
      </c>
      <c r="J26">
        <v>940.5</v>
      </c>
      <c r="K26" s="3" t="s">
        <v>51</v>
      </c>
      <c r="L26" s="3">
        <v>1</v>
      </c>
      <c r="M26">
        <v>6578.9614000000001</v>
      </c>
      <c r="N26" t="s">
        <v>10</v>
      </c>
      <c r="P26">
        <v>940</v>
      </c>
      <c r="Q26">
        <v>4.4999999999999997E-3</v>
      </c>
      <c r="R26">
        <v>-8.9899999999999994E-2</v>
      </c>
      <c r="S26">
        <v>9.1999999999999998E-2</v>
      </c>
      <c r="T26">
        <v>-1.8663000000000001</v>
      </c>
      <c r="V26">
        <f t="shared" si="2"/>
        <v>940.53301089119452</v>
      </c>
      <c r="W26">
        <f xml:space="preserve"> 1.39394098683175E-18*V26*V26*V26*V26*V26*V26 - 6.58044383788171E-15*V26*V26*V26*V26*V26 + 1.16354508506345E-11*V26*V26*V26*V26 - 9.29864698195214E-09*V26*V26*V26 + 3.02469198127472E-06*V26*V26 + 0.0924365570558958*V26 + 6492.49282015586</f>
        <v>6579.598430518944</v>
      </c>
      <c r="X26">
        <f>300000*(W26/M26-1)</f>
        <v>29.048529709108095</v>
      </c>
    </row>
    <row r="27" spans="1:24">
      <c r="A27">
        <v>26</v>
      </c>
      <c r="B27">
        <v>17554</v>
      </c>
      <c r="C27">
        <f t="shared" si="0"/>
        <v>19367.28</v>
      </c>
      <c r="D27">
        <f t="shared" si="1"/>
        <v>0.90637404942769462</v>
      </c>
      <c r="J27">
        <v>964</v>
      </c>
      <c r="K27" s="3" t="s">
        <v>47</v>
      </c>
      <c r="L27" s="3">
        <v>1</v>
      </c>
      <c r="M27">
        <v>6581.2088000000003</v>
      </c>
      <c r="N27" t="s">
        <v>58</v>
      </c>
      <c r="P27">
        <v>964</v>
      </c>
      <c r="Q27">
        <v>-3.0999999999999999E-3</v>
      </c>
      <c r="R27">
        <v>-5.0999999999999997E-2</v>
      </c>
      <c r="S27">
        <v>2.23E-2</v>
      </c>
      <c r="T27">
        <v>-0.90449999999999997</v>
      </c>
      <c r="V27">
        <f t="shared" si="2"/>
        <v>964.2144349430713</v>
      </c>
      <c r="W27">
        <f xml:space="preserve"> 1.39394098683175E-18*V27*V27*V27*V27*V27*V27 - 6.58044383788171E-15*V27*V27*V27*V27*V27 + 1.16354508506345E-11*V27*V27*V27*V27 - 9.29864698195214E-09*V27*V27*V27 + 3.02469198127472E-06*V27*V27 + 0.0924365570558958*V27 + 6492.49282015586</f>
        <v>6581.7909588120347</v>
      </c>
      <c r="X27">
        <f>300000*(W27/M27-1)</f>
        <v>26.537319954100802</v>
      </c>
    </row>
    <row r="28" spans="1:24">
      <c r="A28">
        <v>27</v>
      </c>
      <c r="B28">
        <v>17557</v>
      </c>
      <c r="C28">
        <f t="shared" si="0"/>
        <v>19395.02</v>
      </c>
      <c r="D28">
        <f t="shared" si="1"/>
        <v>0.90523237408365653</v>
      </c>
      <c r="J28">
        <v>1019.5</v>
      </c>
      <c r="K28" s="3" t="s">
        <v>53</v>
      </c>
      <c r="L28" s="3">
        <v>1</v>
      </c>
      <c r="M28">
        <v>6586.3099000000002</v>
      </c>
      <c r="P28">
        <v>1019.5</v>
      </c>
      <c r="Q28">
        <v>-4.4999999999999997E-3</v>
      </c>
      <c r="R28">
        <v>-7.9200000000000007E-2</v>
      </c>
      <c r="S28">
        <v>5.1900000000000002E-2</v>
      </c>
      <c r="T28">
        <v>-1.2439</v>
      </c>
      <c r="V28">
        <f t="shared" si="2"/>
        <v>1019.8189798009406</v>
      </c>
      <c r="W28">
        <f xml:space="preserve"> 1.39394098683175E-18*V28*V28*V28*V28*V28*V28 - 6.58044383788171E-15*V28*V28*V28*V28*V28 + 1.16354508506345E-11*V28*V28*V28*V28 - 9.29864698195214E-09*V28*V28*V28 + 3.02469198127472E-06*V28*V28 + 0.0924365570558958*V28 + 6492.49282015586</f>
        <v>6586.9394863279012</v>
      </c>
      <c r="X28">
        <f>300000*(W28/M28-1)</f>
        <v>28.677043934766111</v>
      </c>
    </row>
    <row r="29" spans="1:24">
      <c r="A29">
        <v>28</v>
      </c>
      <c r="B29">
        <v>17029</v>
      </c>
      <c r="C29">
        <f t="shared" si="0"/>
        <v>19422.72</v>
      </c>
      <c r="D29">
        <f t="shared" si="1"/>
        <v>0.87675670554896523</v>
      </c>
      <c r="J29">
        <v>1091</v>
      </c>
      <c r="K29" s="3" t="s">
        <v>47</v>
      </c>
      <c r="L29" s="3">
        <v>1</v>
      </c>
      <c r="M29">
        <v>6592.9120000000003</v>
      </c>
      <c r="P29">
        <v>1091</v>
      </c>
      <c r="Q29">
        <v>2.5000000000000001E-3</v>
      </c>
      <c r="R29">
        <v>-5.0599999999999999E-2</v>
      </c>
      <c r="S29">
        <v>1.4200000000000001E-2</v>
      </c>
      <c r="T29">
        <v>-0.82250000000000001</v>
      </c>
      <c r="V29">
        <f t="shared" si="2"/>
        <v>1091.1418065032888</v>
      </c>
      <c r="W29">
        <f xml:space="preserve"> 1.39394098683175E-18*V29*V29*V29*V29*V29*V29 - 6.58044383788171E-15*V29*V29*V29*V29*V29 + 1.16354508506345E-11*V29*V29*V29*V29 - 9.29864698195214E-09*V29*V29*V29 + 3.02469198127472E-06*V29*V29 + 0.0924365570558958*V29 + 6492.49282015586</f>
        <v>6593.5433383396721</v>
      </c>
      <c r="X29">
        <f>300000*(W29/M29-1)</f>
        <v>28.7280494418507</v>
      </c>
    </row>
    <row r="30" spans="1:24">
      <c r="A30">
        <v>29</v>
      </c>
      <c r="B30">
        <v>16046</v>
      </c>
      <c r="C30">
        <f t="shared" si="0"/>
        <v>19450.379999999997</v>
      </c>
      <c r="D30">
        <f t="shared" si="1"/>
        <v>0.82497102884365248</v>
      </c>
      <c r="J30">
        <v>1101.5</v>
      </c>
      <c r="K30" s="3" t="s">
        <v>47</v>
      </c>
      <c r="L30" s="3">
        <v>1</v>
      </c>
      <c r="M30">
        <v>6593.8690999999999</v>
      </c>
      <c r="P30">
        <v>1102</v>
      </c>
      <c r="Q30">
        <v>3.3E-3</v>
      </c>
      <c r="R30">
        <v>-5.8599999999999999E-2</v>
      </c>
      <c r="S30">
        <v>-3.5400000000000001E-2</v>
      </c>
      <c r="T30">
        <v>-0.82699999999999996</v>
      </c>
      <c r="V30">
        <f t="shared" si="2"/>
        <v>1101.7052889144786</v>
      </c>
      <c r="W30">
        <f xml:space="preserve"> 1.39394098683175E-18*V30*V30*V30*V30*V30*V30 - 6.58044383788171E-15*V30*V30*V30*V30*V30 + 1.16354508506345E-11*V30*V30*V30*V30 - 9.29864698195214E-09*V30*V30*V30 + 3.02469198127472E-06*V30*V30 + 0.0924365570558958*V30 + 6492.49282015586</f>
        <v>6594.5213333390784</v>
      </c>
      <c r="X30">
        <f>300000*(W30/M30-1)</f>
        <v>29.674535353363396</v>
      </c>
    </row>
    <row r="31" spans="1:24">
      <c r="A31">
        <v>30</v>
      </c>
      <c r="B31">
        <v>14794</v>
      </c>
      <c r="C31">
        <f t="shared" si="0"/>
        <v>19478</v>
      </c>
      <c r="D31">
        <f t="shared" si="1"/>
        <v>0.75952356504774621</v>
      </c>
      <c r="J31">
        <v>1157</v>
      </c>
      <c r="K31" s="3" t="s">
        <v>52</v>
      </c>
      <c r="L31" s="3">
        <v>1</v>
      </c>
      <c r="M31">
        <v>6599.1048000000001</v>
      </c>
      <c r="P31">
        <v>1158</v>
      </c>
      <c r="Q31">
        <v>-8.0000000000000004E-4</v>
      </c>
      <c r="R31">
        <v>-6.4100000000000004E-2</v>
      </c>
      <c r="S31">
        <v>-3.15E-2</v>
      </c>
      <c r="T31">
        <v>-0.7409</v>
      </c>
      <c r="V31">
        <f t="shared" si="2"/>
        <v>1157.7531494188565</v>
      </c>
      <c r="W31">
        <f xml:space="preserve"> 1.39394098683175E-18*V31*V31*V31*V31*V31*V31 - 6.58044383788171E-15*V31*V31*V31*V31*V31 + 1.16354508506345E-11*V31*V31*V31*V31 - 9.29864698195214E-09*V31*V31*V31 + 3.02469198127472E-06*V31*V31 + 0.0924365570558958*V31 + 6492.49282015586</f>
        <v>6599.7096869018069</v>
      </c>
      <c r="X31">
        <f>300000*(W31/M31-1)</f>
        <v>27.498588981678118</v>
      </c>
    </row>
    <row r="32" spans="1:24">
      <c r="A32">
        <v>31</v>
      </c>
      <c r="B32">
        <v>13493</v>
      </c>
      <c r="C32">
        <f t="shared" si="0"/>
        <v>19505.580000000002</v>
      </c>
      <c r="D32">
        <f t="shared" si="1"/>
        <v>0.69175077080507208</v>
      </c>
      <c r="J32">
        <v>1217</v>
      </c>
      <c r="K32" s="3" t="s">
        <v>59</v>
      </c>
      <c r="L32" s="3">
        <v>2</v>
      </c>
      <c r="M32">
        <v>6604.6009999999997</v>
      </c>
      <c r="P32">
        <v>1217</v>
      </c>
      <c r="Q32">
        <v>2E-3</v>
      </c>
      <c r="R32">
        <v>-9.0499999999999997E-2</v>
      </c>
      <c r="S32">
        <v>6.4199999999999993E-2</v>
      </c>
      <c r="T32">
        <v>-1.4169</v>
      </c>
      <c r="V32">
        <f t="shared" si="2"/>
        <v>1217.3589676612764</v>
      </c>
      <c r="W32">
        <f xml:space="preserve"> 1.39394098683175E-18*V32*V32*V32*V32*V32*V32 - 6.58044383788171E-15*V32*V32*V32*V32*V32 + 1.16354508506345E-11*V32*V32*V32*V32 - 9.29864698195214E-09*V32*V32*V32 + 3.02469198127472E-06*V32*V32 + 0.0924365570558958*V32 + 6492.49282015586</f>
        <v>6605.2257242215464</v>
      </c>
      <c r="X32">
        <f>300000*(W32/M32-1)</f>
        <v>28.376773474136918</v>
      </c>
    </row>
    <row r="33" spans="1:24">
      <c r="A33">
        <v>32</v>
      </c>
      <c r="B33">
        <v>11987</v>
      </c>
      <c r="C33">
        <f t="shared" si="0"/>
        <v>19533.120000000003</v>
      </c>
      <c r="D33">
        <f t="shared" si="1"/>
        <v>0.61367564423911791</v>
      </c>
      <c r="J33">
        <v>1231.5</v>
      </c>
      <c r="K33" s="3" t="s">
        <v>51</v>
      </c>
      <c r="L33" s="3">
        <v>1</v>
      </c>
      <c r="M33">
        <v>6605.9736999999996</v>
      </c>
      <c r="P33">
        <v>1232</v>
      </c>
      <c r="Q33">
        <v>-2.9999999999999997E-4</v>
      </c>
      <c r="R33">
        <v>-8.2000000000000003E-2</v>
      </c>
      <c r="S33">
        <v>2.92E-2</v>
      </c>
      <c r="T33">
        <v>-1.2464</v>
      </c>
      <c r="V33">
        <f t="shared" si="2"/>
        <v>1232.1778751487093</v>
      </c>
      <c r="W33">
        <f xml:space="preserve"> 1.39394098683175E-18*V33*V33*V33*V33*V33*V33 - 6.58044383788171E-15*V33*V33*V33*V33*V33 + 1.16354508506345E-11*V33*V33*V33*V33 - 9.29864698195214E-09*V33*V33*V33 + 3.02469198127472E-06*V33*V33 + 0.0924365570558958*V33 + 6492.49282015586</f>
        <v>6606.5967970188694</v>
      </c>
      <c r="X33">
        <f>300000*(W33/M33-1)</f>
        <v>28.296979998709837</v>
      </c>
    </row>
    <row r="34" spans="1:24">
      <c r="A34">
        <v>33</v>
      </c>
      <c r="B34">
        <v>10954</v>
      </c>
      <c r="C34">
        <f t="shared" si="0"/>
        <v>19560.620000000003</v>
      </c>
      <c r="D34">
        <f t="shared" si="1"/>
        <v>0.56000269930094237</v>
      </c>
      <c r="J34">
        <v>1253.5</v>
      </c>
      <c r="K34" s="3" t="s">
        <v>47</v>
      </c>
      <c r="L34" s="3">
        <v>1</v>
      </c>
      <c r="M34">
        <v>6608.0245999999997</v>
      </c>
      <c r="N34" t="s">
        <v>58</v>
      </c>
      <c r="P34">
        <v>1254</v>
      </c>
      <c r="Q34">
        <v>-2.3999999999999998E-3</v>
      </c>
      <c r="R34">
        <v>-7.1199999999999999E-2</v>
      </c>
      <c r="S34">
        <v>-1.46E-2</v>
      </c>
      <c r="T34">
        <v>-1.1464000000000001</v>
      </c>
      <c r="V34">
        <f t="shared" si="2"/>
        <v>1253.8969348208973</v>
      </c>
      <c r="W34">
        <f xml:space="preserve"> 1.39394098683175E-18*V34*V34*V34*V34*V34*V34 - 6.58044383788171E-15*V34*V34*V34*V34*V34 + 1.16354508506345E-11*V34*V34*V34*V34 - 9.29864698195214E-09*V34*V34*V34 + 3.02469198127472E-06*V34*V34 + 0.0924365570558958*V34 + 6492.49282015586</f>
        <v>6608.6060800651867</v>
      </c>
      <c r="X34">
        <f>300000*(W34/M34-1)</f>
        <v>26.39881509458597</v>
      </c>
    </row>
    <row r="35" spans="1:24" ht="17.25">
      <c r="A35">
        <v>34</v>
      </c>
      <c r="B35">
        <v>10376</v>
      </c>
      <c r="C35">
        <f t="shared" si="0"/>
        <v>19588.080000000002</v>
      </c>
      <c r="D35">
        <f t="shared" si="1"/>
        <v>0.52970990520765682</v>
      </c>
      <c r="F35">
        <v>34.5</v>
      </c>
      <c r="G35" t="s">
        <v>61</v>
      </c>
      <c r="J35">
        <v>1316</v>
      </c>
      <c r="K35" s="3" t="s">
        <v>47</v>
      </c>
      <c r="L35" s="3">
        <v>1</v>
      </c>
      <c r="M35">
        <v>6613.8244999999997</v>
      </c>
      <c r="P35">
        <v>1316.5</v>
      </c>
      <c r="Q35">
        <v>-2E-3</v>
      </c>
      <c r="R35">
        <v>-6.9400000000000003E-2</v>
      </c>
      <c r="S35">
        <v>3.15E-2</v>
      </c>
      <c r="T35">
        <v>-0.92130000000000001</v>
      </c>
      <c r="V35">
        <f t="shared" si="2"/>
        <v>1316.7247614816865</v>
      </c>
      <c r="W35">
        <f xml:space="preserve"> 1.39394098683175E-18*V35*V35*V35*V35*V35*V35 - 6.58044383788171E-15*V35*V35*V35*V35*V35 + 1.16354508506345E-11*V35*V35*V35*V35 - 9.29864698195214E-09*V35*V35*V35 + 3.02469198127472E-06*V35*V35 + 0.0924365570558958*V35 + 6492.49282015586</f>
        <v>6614.4173749632046</v>
      </c>
      <c r="X35">
        <f>300000*(W35/M35-1)</f>
        <v>26.8925322952418</v>
      </c>
    </row>
    <row r="36" spans="1:24">
      <c r="A36">
        <v>35</v>
      </c>
      <c r="B36">
        <v>10598</v>
      </c>
      <c r="C36">
        <f t="shared" si="0"/>
        <v>19615.5</v>
      </c>
      <c r="D36">
        <f t="shared" si="1"/>
        <v>0.5402870179195024</v>
      </c>
      <c r="J36">
        <v>1491.5</v>
      </c>
      <c r="K36" s="3" t="s">
        <v>50</v>
      </c>
      <c r="L36" s="3">
        <v>1</v>
      </c>
      <c r="M36">
        <v>6630.01</v>
      </c>
      <c r="P36">
        <v>1492.5</v>
      </c>
      <c r="Q36">
        <v>5.1999999999999998E-3</v>
      </c>
      <c r="R36">
        <v>-0.14169999999999999</v>
      </c>
      <c r="S36">
        <v>-8.3599999999999994E-2</v>
      </c>
      <c r="T36">
        <v>-1.2890999999999999</v>
      </c>
      <c r="V36">
        <f t="shared" si="2"/>
        <v>1492.2096510897634</v>
      </c>
      <c r="W36">
        <f xml:space="preserve"> 1.39394098683175E-18*V36*V36*V36*V36*V36*V36 - 6.58044383788171E-15*V36*V36*V36*V36*V36 + 1.16354508506345E-11*V36*V36*V36*V36 - 9.29864698195214E-09*V36*V36*V36 + 3.02469198127472E-06*V36*V36 + 0.0924365570558958*V36 + 6492.49282015586</f>
        <v>6630.6597926997065</v>
      </c>
      <c r="X36">
        <f>300000*(W36/M36-1)</f>
        <v>29.402340254702786</v>
      </c>
    </row>
    <row r="37" spans="1:24">
      <c r="A37">
        <v>36</v>
      </c>
      <c r="B37">
        <v>11225</v>
      </c>
      <c r="C37">
        <f t="shared" si="0"/>
        <v>19642.879999999997</v>
      </c>
      <c r="D37">
        <f t="shared" si="1"/>
        <v>0.5714538804900301</v>
      </c>
    </row>
    <row r="38" spans="1:24">
      <c r="A38">
        <v>37</v>
      </c>
      <c r="B38">
        <v>12457</v>
      </c>
      <c r="C38">
        <f t="shared" si="0"/>
        <v>19670.22</v>
      </c>
      <c r="D38">
        <f t="shared" si="1"/>
        <v>0.63329235768588243</v>
      </c>
    </row>
    <row r="39" spans="1:24">
      <c r="A39">
        <v>38</v>
      </c>
      <c r="B39">
        <v>13700</v>
      </c>
      <c r="C39">
        <f t="shared" si="0"/>
        <v>19697.52</v>
      </c>
      <c r="D39">
        <f t="shared" si="1"/>
        <v>0.69551902980679803</v>
      </c>
    </row>
    <row r="40" spans="1:24">
      <c r="A40">
        <v>39</v>
      </c>
      <c r="B40">
        <v>15124</v>
      </c>
      <c r="C40">
        <f t="shared" si="0"/>
        <v>19724.78</v>
      </c>
      <c r="D40">
        <f t="shared" si="1"/>
        <v>0.76675126414591199</v>
      </c>
    </row>
    <row r="41" spans="1:24">
      <c r="A41">
        <v>40</v>
      </c>
      <c r="B41">
        <v>16350</v>
      </c>
      <c r="C41">
        <f t="shared" si="0"/>
        <v>19752</v>
      </c>
      <c r="D41">
        <f t="shared" si="1"/>
        <v>0.82776427703523692</v>
      </c>
    </row>
    <row r="42" spans="1:24">
      <c r="A42">
        <v>41</v>
      </c>
      <c r="B42">
        <v>17272</v>
      </c>
      <c r="C42">
        <f t="shared" si="0"/>
        <v>19779.18</v>
      </c>
      <c r="D42">
        <f t="shared" si="1"/>
        <v>0.87324145894824756</v>
      </c>
    </row>
    <row r="43" spans="1:24">
      <c r="A43">
        <v>42</v>
      </c>
      <c r="B43">
        <v>18114</v>
      </c>
      <c r="C43">
        <f t="shared" si="0"/>
        <v>19806.32</v>
      </c>
      <c r="D43">
        <f t="shared" si="1"/>
        <v>0.91455656578304301</v>
      </c>
    </row>
    <row r="44" spans="1:24">
      <c r="A44">
        <v>43</v>
      </c>
      <c r="B44">
        <v>18777</v>
      </c>
      <c r="C44">
        <f t="shared" si="0"/>
        <v>19833.419999999998</v>
      </c>
      <c r="D44">
        <f t="shared" si="1"/>
        <v>0.94673535880347426</v>
      </c>
    </row>
    <row r="45" spans="1:24">
      <c r="A45">
        <v>44</v>
      </c>
      <c r="B45">
        <v>19478</v>
      </c>
      <c r="C45">
        <f t="shared" si="0"/>
        <v>19860.48</v>
      </c>
      <c r="D45">
        <f t="shared" si="1"/>
        <v>0.9807416537767466</v>
      </c>
    </row>
    <row r="46" spans="1:24">
      <c r="A46">
        <v>45</v>
      </c>
      <c r="B46">
        <v>19805</v>
      </c>
      <c r="C46">
        <f t="shared" si="0"/>
        <v>19887.5</v>
      </c>
      <c r="D46">
        <f t="shared" si="1"/>
        <v>0.99585166561910743</v>
      </c>
    </row>
    <row r="47" spans="1:24">
      <c r="A47">
        <v>46</v>
      </c>
      <c r="B47">
        <v>19518</v>
      </c>
      <c r="C47">
        <f t="shared" si="0"/>
        <v>19914.48</v>
      </c>
      <c r="D47">
        <f t="shared" si="1"/>
        <v>0.98009086855393668</v>
      </c>
    </row>
    <row r="48" spans="1:24">
      <c r="A48">
        <v>47</v>
      </c>
      <c r="B48">
        <v>18764</v>
      </c>
      <c r="C48">
        <f t="shared" si="0"/>
        <v>19941.419999999998</v>
      </c>
      <c r="D48">
        <f t="shared" si="1"/>
        <v>0.94095606030062062</v>
      </c>
    </row>
    <row r="49" spans="1:7">
      <c r="A49">
        <v>48</v>
      </c>
      <c r="B49">
        <v>17561</v>
      </c>
      <c r="C49">
        <f t="shared" si="0"/>
        <v>19968.32</v>
      </c>
      <c r="D49">
        <f t="shared" si="1"/>
        <v>0.87944303777183064</v>
      </c>
    </row>
    <row r="50" spans="1:7">
      <c r="A50">
        <v>49</v>
      </c>
      <c r="B50">
        <v>15881</v>
      </c>
      <c r="C50">
        <f t="shared" si="0"/>
        <v>19995.18</v>
      </c>
      <c r="D50">
        <f t="shared" si="1"/>
        <v>0.7942414121803355</v>
      </c>
    </row>
    <row r="51" spans="1:7">
      <c r="A51">
        <v>50</v>
      </c>
      <c r="B51">
        <v>14055</v>
      </c>
      <c r="C51">
        <f t="shared" si="0"/>
        <v>20022</v>
      </c>
      <c r="D51">
        <f t="shared" si="1"/>
        <v>0.70197782439316747</v>
      </c>
    </row>
    <row r="52" spans="1:7">
      <c r="A52">
        <v>51</v>
      </c>
      <c r="B52">
        <v>12267</v>
      </c>
      <c r="C52">
        <f t="shared" si="0"/>
        <v>20048.78</v>
      </c>
      <c r="D52">
        <f t="shared" si="1"/>
        <v>0.61185767912062483</v>
      </c>
    </row>
    <row r="53" spans="1:7">
      <c r="A53">
        <v>52</v>
      </c>
      <c r="B53">
        <v>10738</v>
      </c>
      <c r="C53">
        <f t="shared" si="0"/>
        <v>20075.52</v>
      </c>
      <c r="D53">
        <f t="shared" si="1"/>
        <v>0.53488029201734255</v>
      </c>
    </row>
    <row r="54" spans="1:7">
      <c r="A54">
        <v>53</v>
      </c>
      <c r="B54">
        <v>9521</v>
      </c>
      <c r="C54">
        <f t="shared" si="0"/>
        <v>20102.22</v>
      </c>
      <c r="D54">
        <f t="shared" si="1"/>
        <v>0.47362928074610661</v>
      </c>
    </row>
    <row r="55" spans="1:7" ht="17.25">
      <c r="A55">
        <v>54</v>
      </c>
      <c r="B55">
        <v>8983</v>
      </c>
      <c r="C55">
        <f t="shared" si="0"/>
        <v>20128.879999999997</v>
      </c>
      <c r="D55">
        <f t="shared" si="1"/>
        <v>0.44627420899722198</v>
      </c>
      <c r="F55">
        <v>54</v>
      </c>
      <c r="G55" t="s">
        <v>62</v>
      </c>
    </row>
    <row r="56" spans="1:7">
      <c r="A56">
        <v>55</v>
      </c>
      <c r="B56">
        <v>9154</v>
      </c>
      <c r="C56">
        <f t="shared" si="0"/>
        <v>20155.5</v>
      </c>
      <c r="D56">
        <f t="shared" si="1"/>
        <v>0.45416883729006968</v>
      </c>
    </row>
    <row r="57" spans="1:7">
      <c r="A57">
        <v>56</v>
      </c>
      <c r="B57">
        <v>10031</v>
      </c>
      <c r="C57">
        <f t="shared" si="0"/>
        <v>20182.080000000002</v>
      </c>
      <c r="D57">
        <f t="shared" si="1"/>
        <v>0.49702508363855458</v>
      </c>
    </row>
    <row r="58" spans="1:7">
      <c r="A58">
        <v>57</v>
      </c>
      <c r="B58">
        <v>11456</v>
      </c>
      <c r="C58">
        <f t="shared" si="0"/>
        <v>20208.620000000003</v>
      </c>
      <c r="D58">
        <f t="shared" si="1"/>
        <v>0.56688680375008282</v>
      </c>
    </row>
    <row r="59" spans="1:7">
      <c r="A59">
        <v>58</v>
      </c>
      <c r="B59">
        <v>13003</v>
      </c>
      <c r="C59">
        <f t="shared" si="0"/>
        <v>20235.120000000003</v>
      </c>
      <c r="D59">
        <f t="shared" si="1"/>
        <v>0.64259564559043869</v>
      </c>
    </row>
    <row r="60" spans="1:7">
      <c r="A60">
        <v>59</v>
      </c>
      <c r="B60">
        <v>14139</v>
      </c>
      <c r="C60">
        <f t="shared" si="0"/>
        <v>20261.580000000002</v>
      </c>
      <c r="D60">
        <f t="shared" si="1"/>
        <v>0.69782317074976374</v>
      </c>
    </row>
    <row r="61" spans="1:7">
      <c r="A61">
        <v>60</v>
      </c>
      <c r="B61">
        <v>14727</v>
      </c>
      <c r="C61">
        <f t="shared" si="0"/>
        <v>20288</v>
      </c>
      <c r="D61">
        <f t="shared" si="1"/>
        <v>0.72589708201892744</v>
      </c>
    </row>
    <row r="62" spans="1:7">
      <c r="A62">
        <v>61</v>
      </c>
      <c r="B62">
        <v>15232</v>
      </c>
      <c r="C62">
        <f t="shared" si="0"/>
        <v>20314.379999999997</v>
      </c>
      <c r="D62">
        <f t="shared" si="1"/>
        <v>0.74981367878320682</v>
      </c>
    </row>
    <row r="63" spans="1:7">
      <c r="A63">
        <v>62</v>
      </c>
      <c r="B63">
        <v>15512</v>
      </c>
      <c r="C63">
        <f t="shared" si="0"/>
        <v>20340.72</v>
      </c>
      <c r="D63">
        <f t="shared" si="1"/>
        <v>0.76260820659249029</v>
      </c>
    </row>
    <row r="64" spans="1:7">
      <c r="A64">
        <v>63</v>
      </c>
      <c r="B64">
        <v>16168</v>
      </c>
      <c r="C64">
        <f t="shared" si="0"/>
        <v>20367.02</v>
      </c>
      <c r="D64">
        <f t="shared" si="1"/>
        <v>0.79383238195867634</v>
      </c>
    </row>
    <row r="65" spans="1:7">
      <c r="A65">
        <v>64</v>
      </c>
      <c r="B65">
        <v>17154</v>
      </c>
      <c r="C65">
        <f t="shared" si="0"/>
        <v>20393.28</v>
      </c>
      <c r="D65">
        <f t="shared" si="1"/>
        <v>0.84115944075695526</v>
      </c>
    </row>
    <row r="66" spans="1:7">
      <c r="A66">
        <v>65</v>
      </c>
      <c r="B66">
        <v>18550</v>
      </c>
      <c r="C66">
        <f t="shared" ref="C66:C129" si="3">29000-10000*(A66-720)*(A66-720)/500000</f>
        <v>20419.5</v>
      </c>
      <c r="D66">
        <f t="shared" ref="D66:D129" si="4">B66/C66</f>
        <v>0.90844535860329589</v>
      </c>
    </row>
    <row r="67" spans="1:7">
      <c r="A67">
        <v>66</v>
      </c>
      <c r="B67">
        <v>19818</v>
      </c>
      <c r="C67">
        <f t="shared" si="3"/>
        <v>20445.68</v>
      </c>
      <c r="D67">
        <f t="shared" si="4"/>
        <v>0.96930011621036816</v>
      </c>
    </row>
    <row r="68" spans="1:7">
      <c r="A68">
        <v>67</v>
      </c>
      <c r="B68">
        <v>20630</v>
      </c>
      <c r="C68">
        <f t="shared" si="3"/>
        <v>20471.82</v>
      </c>
      <c r="D68">
        <f t="shared" si="4"/>
        <v>1.0077267189727146</v>
      </c>
    </row>
    <row r="69" spans="1:7">
      <c r="A69">
        <v>68</v>
      </c>
      <c r="B69">
        <v>20768</v>
      </c>
      <c r="C69">
        <f t="shared" si="3"/>
        <v>20497.919999999998</v>
      </c>
      <c r="D69">
        <f t="shared" si="4"/>
        <v>1.013175971025353</v>
      </c>
    </row>
    <row r="70" spans="1:7">
      <c r="A70">
        <v>69</v>
      </c>
      <c r="B70">
        <v>20399</v>
      </c>
      <c r="C70">
        <f t="shared" si="3"/>
        <v>20523.98</v>
      </c>
      <c r="D70">
        <f t="shared" si="4"/>
        <v>0.99391053781966265</v>
      </c>
    </row>
    <row r="71" spans="1:7">
      <c r="A71">
        <v>70</v>
      </c>
      <c r="B71">
        <v>19872</v>
      </c>
      <c r="C71">
        <f t="shared" si="3"/>
        <v>20550</v>
      </c>
      <c r="D71">
        <f t="shared" si="4"/>
        <v>0.96700729927007301</v>
      </c>
    </row>
    <row r="72" spans="1:7">
      <c r="A72">
        <v>71</v>
      </c>
      <c r="B72">
        <v>18953</v>
      </c>
      <c r="C72">
        <f t="shared" si="3"/>
        <v>20575.98</v>
      </c>
      <c r="D72">
        <f t="shared" si="4"/>
        <v>0.92112259051573731</v>
      </c>
    </row>
    <row r="73" spans="1:7">
      <c r="A73">
        <v>72</v>
      </c>
      <c r="B73">
        <v>17695</v>
      </c>
      <c r="C73">
        <f t="shared" si="3"/>
        <v>20601.919999999998</v>
      </c>
      <c r="D73">
        <f t="shared" si="4"/>
        <v>0.85890052965937158</v>
      </c>
    </row>
    <row r="74" spans="1:7">
      <c r="A74">
        <v>73</v>
      </c>
      <c r="B74">
        <v>15980</v>
      </c>
      <c r="C74">
        <f t="shared" si="3"/>
        <v>20627.82</v>
      </c>
      <c r="D74">
        <f t="shared" si="4"/>
        <v>0.7746819586364434</v>
      </c>
    </row>
    <row r="75" spans="1:7">
      <c r="A75">
        <v>74</v>
      </c>
      <c r="B75">
        <v>14175</v>
      </c>
      <c r="C75">
        <f t="shared" si="3"/>
        <v>20653.68</v>
      </c>
      <c r="D75">
        <f t="shared" si="4"/>
        <v>0.68631837038242094</v>
      </c>
    </row>
    <row r="76" spans="1:7">
      <c r="A76">
        <v>75</v>
      </c>
      <c r="B76">
        <v>12610</v>
      </c>
      <c r="C76">
        <f t="shared" si="3"/>
        <v>20679.5</v>
      </c>
      <c r="D76">
        <f t="shared" si="4"/>
        <v>0.60978263497666774</v>
      </c>
    </row>
    <row r="77" spans="1:7" ht="17.25">
      <c r="A77">
        <v>76</v>
      </c>
      <c r="B77">
        <v>11785</v>
      </c>
      <c r="C77">
        <f t="shared" si="3"/>
        <v>20705.28</v>
      </c>
      <c r="D77">
        <f t="shared" si="4"/>
        <v>0.56917848973788332</v>
      </c>
      <c r="F77">
        <v>76.5</v>
      </c>
      <c r="G77" t="s">
        <v>63</v>
      </c>
    </row>
    <row r="78" spans="1:7">
      <c r="A78">
        <v>77</v>
      </c>
      <c r="B78">
        <v>11930</v>
      </c>
      <c r="C78">
        <f t="shared" si="3"/>
        <v>20731.02</v>
      </c>
      <c r="D78">
        <f t="shared" si="4"/>
        <v>0.57546613721852569</v>
      </c>
    </row>
    <row r="79" spans="1:7">
      <c r="A79">
        <v>78</v>
      </c>
      <c r="B79">
        <v>12834</v>
      </c>
      <c r="C79">
        <f t="shared" si="3"/>
        <v>20756.72</v>
      </c>
      <c r="D79">
        <f t="shared" si="4"/>
        <v>0.6183057824164897</v>
      </c>
    </row>
    <row r="80" spans="1:7">
      <c r="A80">
        <v>79</v>
      </c>
      <c r="B80">
        <v>14203</v>
      </c>
      <c r="C80">
        <f t="shared" si="3"/>
        <v>20782.379999999997</v>
      </c>
      <c r="D80">
        <f t="shared" si="4"/>
        <v>0.68341547022044646</v>
      </c>
    </row>
    <row r="81" spans="1:4">
      <c r="A81">
        <v>80</v>
      </c>
      <c r="B81">
        <v>15303</v>
      </c>
      <c r="C81">
        <f t="shared" si="3"/>
        <v>20808</v>
      </c>
      <c r="D81">
        <f t="shared" si="4"/>
        <v>0.73543829296424457</v>
      </c>
    </row>
    <row r="82" spans="1:4">
      <c r="A82">
        <v>81</v>
      </c>
      <c r="B82">
        <v>15852</v>
      </c>
      <c r="C82">
        <f t="shared" si="3"/>
        <v>20833.580000000002</v>
      </c>
      <c r="D82">
        <f t="shared" si="4"/>
        <v>0.76088699109802538</v>
      </c>
    </row>
    <row r="83" spans="1:4">
      <c r="A83">
        <v>82</v>
      </c>
      <c r="B83">
        <v>15832</v>
      </c>
      <c r="C83">
        <f t="shared" si="3"/>
        <v>20859.12</v>
      </c>
      <c r="D83">
        <f t="shared" si="4"/>
        <v>0.75899654443715747</v>
      </c>
    </row>
    <row r="84" spans="1:4">
      <c r="A84">
        <v>83</v>
      </c>
      <c r="B84">
        <v>15787</v>
      </c>
      <c r="C84">
        <f t="shared" si="3"/>
        <v>20884.62</v>
      </c>
      <c r="D84">
        <f t="shared" si="4"/>
        <v>0.7559151183981323</v>
      </c>
    </row>
    <row r="85" spans="1:4">
      <c r="A85">
        <v>84</v>
      </c>
      <c r="B85">
        <v>15987</v>
      </c>
      <c r="C85">
        <f t="shared" si="3"/>
        <v>20910.080000000002</v>
      </c>
      <c r="D85">
        <f t="shared" si="4"/>
        <v>0.76455948518609196</v>
      </c>
    </row>
    <row r="86" spans="1:4">
      <c r="A86">
        <v>85</v>
      </c>
      <c r="B86">
        <v>16739</v>
      </c>
      <c r="C86">
        <f t="shared" si="3"/>
        <v>20935.5</v>
      </c>
      <c r="D86">
        <f t="shared" si="4"/>
        <v>0.79955100188674744</v>
      </c>
    </row>
    <row r="87" spans="1:4">
      <c r="A87">
        <v>86</v>
      </c>
      <c r="B87">
        <v>18124</v>
      </c>
      <c r="C87">
        <f t="shared" si="3"/>
        <v>20960.88</v>
      </c>
      <c r="D87">
        <f t="shared" si="4"/>
        <v>0.86465835403857083</v>
      </c>
    </row>
    <row r="88" spans="1:4">
      <c r="A88">
        <v>87</v>
      </c>
      <c r="B88">
        <v>19598</v>
      </c>
      <c r="C88">
        <f t="shared" si="3"/>
        <v>20986.22</v>
      </c>
      <c r="D88">
        <f t="shared" si="4"/>
        <v>0.9338508792912682</v>
      </c>
    </row>
    <row r="89" spans="1:4">
      <c r="A89">
        <v>88</v>
      </c>
      <c r="B89">
        <v>20934</v>
      </c>
      <c r="C89">
        <f t="shared" si="3"/>
        <v>21011.52</v>
      </c>
      <c r="D89">
        <f t="shared" si="4"/>
        <v>0.99631059533056154</v>
      </c>
    </row>
    <row r="90" spans="1:4">
      <c r="A90">
        <v>89</v>
      </c>
      <c r="B90">
        <v>21682</v>
      </c>
      <c r="C90">
        <f t="shared" si="3"/>
        <v>21036.78</v>
      </c>
      <c r="D90">
        <f t="shared" si="4"/>
        <v>1.0306710437624009</v>
      </c>
    </row>
    <row r="91" spans="1:4">
      <c r="A91">
        <v>90</v>
      </c>
      <c r="B91">
        <v>22144</v>
      </c>
      <c r="C91">
        <f t="shared" si="3"/>
        <v>21062</v>
      </c>
      <c r="D91">
        <f t="shared" si="4"/>
        <v>1.0513721393979678</v>
      </c>
    </row>
    <row r="92" spans="1:4">
      <c r="A92">
        <v>91</v>
      </c>
      <c r="B92">
        <v>22159</v>
      </c>
      <c r="C92">
        <f t="shared" si="3"/>
        <v>21087.18</v>
      </c>
      <c r="D92">
        <f t="shared" si="4"/>
        <v>1.050828038647178</v>
      </c>
    </row>
    <row r="93" spans="1:4">
      <c r="A93">
        <v>92</v>
      </c>
      <c r="B93">
        <v>22061</v>
      </c>
      <c r="C93">
        <f t="shared" si="3"/>
        <v>21112.32</v>
      </c>
      <c r="D93">
        <f t="shared" si="4"/>
        <v>1.0449349005699042</v>
      </c>
    </row>
    <row r="94" spans="1:4">
      <c r="A94">
        <v>93</v>
      </c>
      <c r="B94">
        <v>22134</v>
      </c>
      <c r="C94">
        <f t="shared" si="3"/>
        <v>21137.42</v>
      </c>
      <c r="D94">
        <f t="shared" si="4"/>
        <v>1.0471476651360478</v>
      </c>
    </row>
    <row r="95" spans="1:4">
      <c r="A95">
        <v>94</v>
      </c>
      <c r="B95">
        <v>22153</v>
      </c>
      <c r="C95">
        <f t="shared" si="3"/>
        <v>21162.48</v>
      </c>
      <c r="D95">
        <f t="shared" si="4"/>
        <v>1.0468054783749352</v>
      </c>
    </row>
    <row r="96" spans="1:4">
      <c r="A96">
        <v>95</v>
      </c>
      <c r="B96">
        <v>21891</v>
      </c>
      <c r="C96">
        <f t="shared" si="3"/>
        <v>21187.5</v>
      </c>
      <c r="D96">
        <f t="shared" si="4"/>
        <v>1.0332035398230088</v>
      </c>
    </row>
    <row r="97" spans="1:7">
      <c r="A97">
        <v>96</v>
      </c>
      <c r="B97">
        <v>21199</v>
      </c>
      <c r="C97">
        <f t="shared" si="3"/>
        <v>21212.48</v>
      </c>
      <c r="D97">
        <f t="shared" si="4"/>
        <v>0.9993645250343195</v>
      </c>
    </row>
    <row r="98" spans="1:7">
      <c r="A98">
        <v>97</v>
      </c>
      <c r="B98">
        <v>20213</v>
      </c>
      <c r="C98">
        <f t="shared" si="3"/>
        <v>21237.42</v>
      </c>
      <c r="D98">
        <f t="shared" si="4"/>
        <v>0.95176344395882373</v>
      </c>
    </row>
    <row r="99" spans="1:7">
      <c r="A99">
        <v>98</v>
      </c>
      <c r="B99">
        <v>19062</v>
      </c>
      <c r="C99">
        <f t="shared" si="3"/>
        <v>21262.32</v>
      </c>
      <c r="D99">
        <f t="shared" si="4"/>
        <v>0.89651552605736351</v>
      </c>
    </row>
    <row r="100" spans="1:7">
      <c r="A100">
        <v>99</v>
      </c>
      <c r="B100">
        <v>18057</v>
      </c>
      <c r="C100">
        <f t="shared" si="3"/>
        <v>21287.18</v>
      </c>
      <c r="D100">
        <f t="shared" si="4"/>
        <v>0.84825702605981623</v>
      </c>
    </row>
    <row r="101" spans="1:7">
      <c r="A101">
        <v>100</v>
      </c>
      <c r="B101">
        <v>17449</v>
      </c>
      <c r="C101">
        <f t="shared" si="3"/>
        <v>21312</v>
      </c>
      <c r="D101">
        <f t="shared" si="4"/>
        <v>0.81874061561561562</v>
      </c>
    </row>
    <row r="102" spans="1:7" ht="17.25">
      <c r="A102">
        <v>101</v>
      </c>
      <c r="B102">
        <v>17277</v>
      </c>
      <c r="C102">
        <f t="shared" si="3"/>
        <v>21336.78</v>
      </c>
      <c r="D102">
        <f t="shared" si="4"/>
        <v>0.80972855323061876</v>
      </c>
      <c r="F102">
        <v>101</v>
      </c>
      <c r="G102" t="s">
        <v>64</v>
      </c>
    </row>
    <row r="103" spans="1:7">
      <c r="A103">
        <v>102</v>
      </c>
      <c r="B103">
        <v>17451</v>
      </c>
      <c r="C103">
        <f t="shared" si="3"/>
        <v>21361.52</v>
      </c>
      <c r="D103">
        <f t="shared" si="4"/>
        <v>0.81693624798235331</v>
      </c>
    </row>
    <row r="104" spans="1:7">
      <c r="A104">
        <v>103</v>
      </c>
      <c r="B104">
        <v>17965</v>
      </c>
      <c r="C104">
        <f t="shared" si="3"/>
        <v>21386.22</v>
      </c>
      <c r="D104">
        <f t="shared" si="4"/>
        <v>0.84002689582357237</v>
      </c>
    </row>
    <row r="105" spans="1:7">
      <c r="A105">
        <v>104</v>
      </c>
      <c r="B105">
        <v>18661</v>
      </c>
      <c r="C105">
        <f t="shared" si="3"/>
        <v>21410.880000000001</v>
      </c>
      <c r="D105">
        <f t="shared" si="4"/>
        <v>0.8715662317475974</v>
      </c>
    </row>
    <row r="106" spans="1:7">
      <c r="A106">
        <v>105</v>
      </c>
      <c r="B106">
        <v>19271</v>
      </c>
      <c r="C106">
        <f t="shared" si="3"/>
        <v>21435.5</v>
      </c>
      <c r="D106">
        <f t="shared" si="4"/>
        <v>0.89902264934337894</v>
      </c>
    </row>
    <row r="107" spans="1:7">
      <c r="A107">
        <v>106</v>
      </c>
      <c r="B107">
        <v>19562</v>
      </c>
      <c r="C107">
        <f t="shared" si="3"/>
        <v>21460.080000000002</v>
      </c>
      <c r="D107">
        <f t="shared" si="4"/>
        <v>0.91155298582297917</v>
      </c>
    </row>
    <row r="108" spans="1:7">
      <c r="A108">
        <v>107</v>
      </c>
      <c r="B108">
        <v>20181</v>
      </c>
      <c r="C108">
        <f t="shared" si="3"/>
        <v>21484.62</v>
      </c>
      <c r="D108">
        <f t="shared" si="4"/>
        <v>0.93932310648268391</v>
      </c>
    </row>
    <row r="109" spans="1:7">
      <c r="A109">
        <v>108</v>
      </c>
      <c r="B109">
        <v>20656</v>
      </c>
      <c r="C109">
        <f t="shared" si="3"/>
        <v>21509.119999999999</v>
      </c>
      <c r="D109">
        <f t="shared" si="4"/>
        <v>0.96033682456557967</v>
      </c>
    </row>
    <row r="110" spans="1:7">
      <c r="A110">
        <v>109</v>
      </c>
      <c r="B110">
        <v>20862</v>
      </c>
      <c r="C110">
        <f t="shared" si="3"/>
        <v>21533.58</v>
      </c>
      <c r="D110">
        <f t="shared" si="4"/>
        <v>0.96881243156038144</v>
      </c>
    </row>
    <row r="111" spans="1:7">
      <c r="A111">
        <v>110</v>
      </c>
      <c r="B111">
        <v>20957</v>
      </c>
      <c r="C111">
        <f t="shared" si="3"/>
        <v>21558</v>
      </c>
      <c r="D111">
        <f t="shared" si="4"/>
        <v>0.97212171815567305</v>
      </c>
    </row>
    <row r="112" spans="1:7">
      <c r="A112">
        <v>111</v>
      </c>
      <c r="B112">
        <v>20873</v>
      </c>
      <c r="C112">
        <f t="shared" si="3"/>
        <v>21582.38</v>
      </c>
      <c r="D112">
        <f t="shared" si="4"/>
        <v>0.96713152117607049</v>
      </c>
    </row>
    <row r="113" spans="1:4">
      <c r="A113">
        <v>112</v>
      </c>
      <c r="B113">
        <v>20746</v>
      </c>
      <c r="C113">
        <f t="shared" si="3"/>
        <v>21606.720000000001</v>
      </c>
      <c r="D113">
        <f t="shared" si="4"/>
        <v>0.96016424519779031</v>
      </c>
    </row>
    <row r="114" spans="1:4">
      <c r="A114">
        <v>113</v>
      </c>
      <c r="B114">
        <v>20769</v>
      </c>
      <c r="C114">
        <f t="shared" si="3"/>
        <v>21631.02</v>
      </c>
      <c r="D114">
        <f t="shared" si="4"/>
        <v>0.96014889727807562</v>
      </c>
    </row>
    <row r="115" spans="1:4">
      <c r="A115">
        <v>114</v>
      </c>
      <c r="B115">
        <v>21043</v>
      </c>
      <c r="C115">
        <f t="shared" si="3"/>
        <v>21655.279999999999</v>
      </c>
      <c r="D115">
        <f t="shared" si="4"/>
        <v>0.97172606403611506</v>
      </c>
    </row>
    <row r="116" spans="1:4">
      <c r="A116">
        <v>115</v>
      </c>
      <c r="B116">
        <v>21202</v>
      </c>
      <c r="C116">
        <f t="shared" si="3"/>
        <v>21679.5</v>
      </c>
      <c r="D116">
        <f t="shared" si="4"/>
        <v>0.97797458428469286</v>
      </c>
    </row>
    <row r="117" spans="1:4">
      <c r="A117">
        <v>116</v>
      </c>
      <c r="B117">
        <v>21349</v>
      </c>
      <c r="C117">
        <f t="shared" si="3"/>
        <v>21703.68</v>
      </c>
      <c r="D117">
        <f t="shared" si="4"/>
        <v>0.98365807088936064</v>
      </c>
    </row>
    <row r="118" spans="1:4">
      <c r="A118">
        <v>117</v>
      </c>
      <c r="B118">
        <v>21395</v>
      </c>
      <c r="C118">
        <f t="shared" si="3"/>
        <v>21727.82</v>
      </c>
      <c r="D118">
        <f t="shared" si="4"/>
        <v>0.98468231051251343</v>
      </c>
    </row>
    <row r="119" spans="1:4">
      <c r="A119">
        <v>118</v>
      </c>
      <c r="B119">
        <v>21420</v>
      </c>
      <c r="C119">
        <f t="shared" si="3"/>
        <v>21751.919999999998</v>
      </c>
      <c r="D119">
        <f t="shared" si="4"/>
        <v>0.98474065737645233</v>
      </c>
    </row>
    <row r="120" spans="1:4">
      <c r="A120">
        <v>119</v>
      </c>
      <c r="B120">
        <v>21483</v>
      </c>
      <c r="C120">
        <f t="shared" si="3"/>
        <v>21775.98</v>
      </c>
      <c r="D120">
        <f t="shared" si="4"/>
        <v>0.98654572607065216</v>
      </c>
    </row>
    <row r="121" spans="1:4">
      <c r="A121">
        <v>120</v>
      </c>
      <c r="B121">
        <v>21176</v>
      </c>
      <c r="C121">
        <f t="shared" si="3"/>
        <v>21800</v>
      </c>
      <c r="D121">
        <f t="shared" si="4"/>
        <v>0.97137614678899087</v>
      </c>
    </row>
    <row r="122" spans="1:4">
      <c r="A122">
        <v>121</v>
      </c>
      <c r="B122">
        <v>21118</v>
      </c>
      <c r="C122">
        <f t="shared" si="3"/>
        <v>21823.98</v>
      </c>
      <c r="D122">
        <f t="shared" si="4"/>
        <v>0.96765118003223982</v>
      </c>
    </row>
    <row r="123" spans="1:4">
      <c r="A123">
        <v>122</v>
      </c>
      <c r="B123">
        <v>20937</v>
      </c>
      <c r="C123">
        <f t="shared" si="3"/>
        <v>21847.919999999998</v>
      </c>
      <c r="D123">
        <f t="shared" si="4"/>
        <v>0.95830632847428965</v>
      </c>
    </row>
    <row r="124" spans="1:4">
      <c r="A124">
        <v>123</v>
      </c>
      <c r="B124">
        <v>20896</v>
      </c>
      <c r="C124">
        <f t="shared" si="3"/>
        <v>21871.82</v>
      </c>
      <c r="D124">
        <f t="shared" si="4"/>
        <v>0.95538459990983837</v>
      </c>
    </row>
    <row r="125" spans="1:4">
      <c r="A125">
        <v>124</v>
      </c>
      <c r="B125">
        <v>21029</v>
      </c>
      <c r="C125">
        <f t="shared" si="3"/>
        <v>21895.68</v>
      </c>
      <c r="D125">
        <f t="shared" si="4"/>
        <v>0.96041776277329594</v>
      </c>
    </row>
    <row r="126" spans="1:4">
      <c r="A126">
        <v>125</v>
      </c>
      <c r="B126">
        <v>21242</v>
      </c>
      <c r="C126">
        <f t="shared" si="3"/>
        <v>21919.5</v>
      </c>
      <c r="D126">
        <f t="shared" si="4"/>
        <v>0.96909144825383786</v>
      </c>
    </row>
    <row r="127" spans="1:4">
      <c r="A127">
        <v>126</v>
      </c>
      <c r="B127">
        <v>21533</v>
      </c>
      <c r="C127">
        <f t="shared" si="3"/>
        <v>21943.279999999999</v>
      </c>
      <c r="D127">
        <f t="shared" si="4"/>
        <v>0.98130270406247389</v>
      </c>
    </row>
    <row r="128" spans="1:4">
      <c r="A128">
        <v>127</v>
      </c>
      <c r="B128">
        <v>21715</v>
      </c>
      <c r="C128">
        <f t="shared" si="3"/>
        <v>21967.02</v>
      </c>
      <c r="D128">
        <f t="shared" si="4"/>
        <v>0.98852734690458699</v>
      </c>
    </row>
    <row r="129" spans="1:7">
      <c r="A129">
        <v>128</v>
      </c>
      <c r="B129">
        <v>21657</v>
      </c>
      <c r="C129">
        <f t="shared" si="3"/>
        <v>21990.720000000001</v>
      </c>
      <c r="D129">
        <f t="shared" si="4"/>
        <v>0.98482450779237785</v>
      </c>
    </row>
    <row r="130" spans="1:7">
      <c r="A130">
        <v>129</v>
      </c>
      <c r="B130">
        <v>20977</v>
      </c>
      <c r="C130">
        <f t="shared" ref="C130:C193" si="5">29000-10000*(A130-720)*(A130-720)/500000</f>
        <v>22014.38</v>
      </c>
      <c r="D130">
        <f t="shared" ref="D130:D193" si="6">B130/C130</f>
        <v>0.95287716483498508</v>
      </c>
    </row>
    <row r="131" spans="1:7">
      <c r="A131">
        <v>130</v>
      </c>
      <c r="B131">
        <v>20054</v>
      </c>
      <c r="C131">
        <f t="shared" si="5"/>
        <v>22038</v>
      </c>
      <c r="D131">
        <f t="shared" si="6"/>
        <v>0.90997368182230698</v>
      </c>
    </row>
    <row r="132" spans="1:7">
      <c r="A132">
        <v>131</v>
      </c>
      <c r="B132">
        <v>19001</v>
      </c>
      <c r="C132">
        <f t="shared" si="5"/>
        <v>22061.58</v>
      </c>
      <c r="D132">
        <f t="shared" si="6"/>
        <v>0.86127104223722861</v>
      </c>
    </row>
    <row r="133" spans="1:7" ht="17.25">
      <c r="A133">
        <v>132</v>
      </c>
      <c r="B133">
        <v>18240</v>
      </c>
      <c r="C133">
        <f t="shared" si="5"/>
        <v>22085.119999999999</v>
      </c>
      <c r="D133">
        <f t="shared" si="6"/>
        <v>0.82589544453460073</v>
      </c>
      <c r="F133">
        <v>132.5</v>
      </c>
      <c r="G133" t="s">
        <v>65</v>
      </c>
    </row>
    <row r="134" spans="1:7">
      <c r="A134">
        <v>133</v>
      </c>
      <c r="B134">
        <v>18114</v>
      </c>
      <c r="C134">
        <f t="shared" si="5"/>
        <v>22108.62</v>
      </c>
      <c r="D134">
        <f t="shared" si="6"/>
        <v>0.81931843778580482</v>
      </c>
    </row>
    <row r="135" spans="1:7">
      <c r="A135">
        <v>134</v>
      </c>
      <c r="B135">
        <v>18689</v>
      </c>
      <c r="C135">
        <f t="shared" si="5"/>
        <v>22132.080000000002</v>
      </c>
      <c r="D135">
        <f t="shared" si="6"/>
        <v>0.84443034726062793</v>
      </c>
    </row>
    <row r="136" spans="1:7">
      <c r="A136">
        <v>135</v>
      </c>
      <c r="B136">
        <v>19766</v>
      </c>
      <c r="C136">
        <f t="shared" si="5"/>
        <v>22155.5</v>
      </c>
      <c r="D136">
        <f t="shared" si="6"/>
        <v>0.89214867640089368</v>
      </c>
    </row>
    <row r="137" spans="1:7">
      <c r="A137">
        <v>136</v>
      </c>
      <c r="B137">
        <v>20683</v>
      </c>
      <c r="C137">
        <f t="shared" si="5"/>
        <v>22178.880000000001</v>
      </c>
      <c r="D137">
        <f t="shared" si="6"/>
        <v>0.9325538530349593</v>
      </c>
    </row>
    <row r="138" spans="1:7">
      <c r="A138">
        <v>137</v>
      </c>
      <c r="B138">
        <v>21669</v>
      </c>
      <c r="C138">
        <f t="shared" si="5"/>
        <v>22202.22</v>
      </c>
      <c r="D138">
        <f t="shared" si="6"/>
        <v>0.97598348273280777</v>
      </c>
    </row>
    <row r="139" spans="1:7">
      <c r="A139">
        <v>138</v>
      </c>
      <c r="B139">
        <v>22146</v>
      </c>
      <c r="C139">
        <f t="shared" si="5"/>
        <v>22225.52</v>
      </c>
      <c r="D139">
        <f t="shared" si="6"/>
        <v>0.99642213095576615</v>
      </c>
    </row>
    <row r="140" spans="1:7">
      <c r="A140">
        <v>139</v>
      </c>
      <c r="B140">
        <v>22661</v>
      </c>
      <c r="C140">
        <f t="shared" si="5"/>
        <v>22248.78</v>
      </c>
      <c r="D140">
        <f t="shared" si="6"/>
        <v>1.0185277574770393</v>
      </c>
    </row>
    <row r="141" spans="1:7">
      <c r="A141">
        <v>140</v>
      </c>
      <c r="B141">
        <v>22886</v>
      </c>
      <c r="C141">
        <f t="shared" si="5"/>
        <v>22272</v>
      </c>
      <c r="D141">
        <f t="shared" si="6"/>
        <v>1.0275682471264367</v>
      </c>
    </row>
    <row r="142" spans="1:7">
      <c r="A142">
        <v>141</v>
      </c>
      <c r="B142">
        <v>23123</v>
      </c>
      <c r="C142">
        <f t="shared" si="5"/>
        <v>22295.18</v>
      </c>
      <c r="D142">
        <f t="shared" si="6"/>
        <v>1.0371299985019184</v>
      </c>
    </row>
    <row r="143" spans="1:7">
      <c r="A143">
        <v>142</v>
      </c>
      <c r="B143">
        <v>23044</v>
      </c>
      <c r="C143">
        <f t="shared" si="5"/>
        <v>22318.32</v>
      </c>
      <c r="D143">
        <f t="shared" si="6"/>
        <v>1.0325149921678693</v>
      </c>
    </row>
    <row r="144" spans="1:7">
      <c r="A144">
        <v>143</v>
      </c>
      <c r="B144">
        <v>22747</v>
      </c>
      <c r="C144">
        <f t="shared" si="5"/>
        <v>22341.42</v>
      </c>
      <c r="D144">
        <f t="shared" si="6"/>
        <v>1.0181537252332216</v>
      </c>
    </row>
    <row r="145" spans="1:4">
      <c r="A145">
        <v>144</v>
      </c>
      <c r="B145">
        <v>22258</v>
      </c>
      <c r="C145">
        <f t="shared" si="5"/>
        <v>22364.48</v>
      </c>
      <c r="D145">
        <f t="shared" si="6"/>
        <v>0.99523887879351547</v>
      </c>
    </row>
    <row r="146" spans="1:4">
      <c r="A146">
        <v>145</v>
      </c>
      <c r="B146">
        <v>21754</v>
      </c>
      <c r="C146">
        <f t="shared" si="5"/>
        <v>22387.5</v>
      </c>
      <c r="D146">
        <f t="shared" si="6"/>
        <v>0.97170295924064765</v>
      </c>
    </row>
    <row r="147" spans="1:4">
      <c r="A147">
        <v>146</v>
      </c>
      <c r="B147">
        <v>21485</v>
      </c>
      <c r="C147">
        <f t="shared" si="5"/>
        <v>22410.48</v>
      </c>
      <c r="D147">
        <f t="shared" si="6"/>
        <v>0.95870324955110287</v>
      </c>
    </row>
    <row r="148" spans="1:4">
      <c r="A148">
        <v>147</v>
      </c>
      <c r="B148">
        <v>21565</v>
      </c>
      <c r="C148">
        <f t="shared" si="5"/>
        <v>22433.42</v>
      </c>
      <c r="D148">
        <f t="shared" si="6"/>
        <v>0.96128900542137585</v>
      </c>
    </row>
    <row r="149" spans="1:4">
      <c r="A149">
        <v>148</v>
      </c>
      <c r="B149">
        <v>22146</v>
      </c>
      <c r="C149">
        <f t="shared" si="5"/>
        <v>22456.32</v>
      </c>
      <c r="D149">
        <f t="shared" si="6"/>
        <v>0.98618117305061559</v>
      </c>
    </row>
    <row r="150" spans="1:4">
      <c r="A150">
        <v>149</v>
      </c>
      <c r="B150">
        <v>22813</v>
      </c>
      <c r="C150">
        <f t="shared" si="5"/>
        <v>22479.18</v>
      </c>
      <c r="D150">
        <f t="shared" si="6"/>
        <v>1.0148501858163865</v>
      </c>
    </row>
    <row r="151" spans="1:4">
      <c r="A151">
        <v>150</v>
      </c>
      <c r="B151">
        <v>23308</v>
      </c>
      <c r="C151">
        <f t="shared" si="5"/>
        <v>22502</v>
      </c>
      <c r="D151">
        <f t="shared" si="6"/>
        <v>1.0358190383077059</v>
      </c>
    </row>
    <row r="152" spans="1:4">
      <c r="A152">
        <v>151</v>
      </c>
      <c r="B152">
        <v>23647</v>
      </c>
      <c r="C152">
        <f t="shared" si="5"/>
        <v>22524.78</v>
      </c>
      <c r="D152">
        <f t="shared" si="6"/>
        <v>1.0498215742839665</v>
      </c>
    </row>
    <row r="153" spans="1:4">
      <c r="A153">
        <v>152</v>
      </c>
      <c r="B153">
        <v>23496</v>
      </c>
      <c r="C153">
        <f t="shared" si="5"/>
        <v>22547.52</v>
      </c>
      <c r="D153">
        <f t="shared" si="6"/>
        <v>1.0420658236471239</v>
      </c>
    </row>
    <row r="154" spans="1:4">
      <c r="A154">
        <v>153</v>
      </c>
      <c r="B154">
        <v>23032</v>
      </c>
      <c r="C154">
        <f t="shared" si="5"/>
        <v>22570.22</v>
      </c>
      <c r="D154">
        <f t="shared" si="6"/>
        <v>1.0204597030954947</v>
      </c>
    </row>
    <row r="155" spans="1:4">
      <c r="A155">
        <v>154</v>
      </c>
      <c r="B155">
        <v>22351</v>
      </c>
      <c r="C155">
        <f t="shared" si="5"/>
        <v>22592.880000000001</v>
      </c>
      <c r="D155">
        <f t="shared" si="6"/>
        <v>0.98929397226028726</v>
      </c>
    </row>
    <row r="156" spans="1:4">
      <c r="A156">
        <v>155</v>
      </c>
      <c r="B156">
        <v>21759</v>
      </c>
      <c r="C156">
        <f t="shared" si="5"/>
        <v>22615.5</v>
      </c>
      <c r="D156">
        <f t="shared" si="6"/>
        <v>0.96212774424620284</v>
      </c>
    </row>
    <row r="157" spans="1:4">
      <c r="A157">
        <v>156</v>
      </c>
      <c r="B157">
        <v>21415</v>
      </c>
      <c r="C157">
        <f t="shared" si="5"/>
        <v>22638.080000000002</v>
      </c>
      <c r="D157">
        <f t="shared" si="6"/>
        <v>0.94597244996042062</v>
      </c>
    </row>
    <row r="158" spans="1:4">
      <c r="A158">
        <v>157</v>
      </c>
      <c r="B158">
        <v>21392</v>
      </c>
      <c r="C158">
        <f t="shared" si="5"/>
        <v>22660.62</v>
      </c>
      <c r="D158">
        <f t="shared" si="6"/>
        <v>0.94401653617597403</v>
      </c>
    </row>
    <row r="159" spans="1:4">
      <c r="A159">
        <v>158</v>
      </c>
      <c r="B159">
        <v>21863</v>
      </c>
      <c r="C159">
        <f t="shared" si="5"/>
        <v>22683.119999999999</v>
      </c>
      <c r="D159">
        <f t="shared" si="6"/>
        <v>0.96384447994808475</v>
      </c>
    </row>
    <row r="160" spans="1:4">
      <c r="A160">
        <v>159</v>
      </c>
      <c r="B160">
        <v>22412</v>
      </c>
      <c r="C160">
        <f t="shared" si="5"/>
        <v>22705.58</v>
      </c>
      <c r="D160">
        <f t="shared" si="6"/>
        <v>0.98707013870599203</v>
      </c>
    </row>
    <row r="161" spans="1:7">
      <c r="A161">
        <v>160</v>
      </c>
      <c r="B161">
        <v>22885</v>
      </c>
      <c r="C161">
        <f t="shared" si="5"/>
        <v>22728</v>
      </c>
      <c r="D161">
        <f t="shared" si="6"/>
        <v>1.0069077789510736</v>
      </c>
    </row>
    <row r="162" spans="1:7">
      <c r="A162">
        <v>161</v>
      </c>
      <c r="B162">
        <v>22734</v>
      </c>
      <c r="C162">
        <f t="shared" si="5"/>
        <v>22750.38</v>
      </c>
      <c r="D162">
        <f t="shared" si="6"/>
        <v>0.99928001202617267</v>
      </c>
    </row>
    <row r="163" spans="1:7">
      <c r="A163">
        <v>162</v>
      </c>
      <c r="B163">
        <v>22540</v>
      </c>
      <c r="C163">
        <f t="shared" si="5"/>
        <v>22772.720000000001</v>
      </c>
      <c r="D163">
        <f t="shared" si="6"/>
        <v>0.98978075521940279</v>
      </c>
    </row>
    <row r="164" spans="1:7">
      <c r="A164">
        <v>163</v>
      </c>
      <c r="B164">
        <v>22086</v>
      </c>
      <c r="C164">
        <f t="shared" si="5"/>
        <v>22795.02</v>
      </c>
      <c r="D164">
        <f t="shared" si="6"/>
        <v>0.96889583777509292</v>
      </c>
    </row>
    <row r="165" spans="1:7">
      <c r="A165">
        <v>164</v>
      </c>
      <c r="B165">
        <v>22034</v>
      </c>
      <c r="C165">
        <f t="shared" si="5"/>
        <v>22817.279999999999</v>
      </c>
      <c r="D165">
        <f t="shared" si="6"/>
        <v>0.96567163132503087</v>
      </c>
    </row>
    <row r="166" spans="1:7">
      <c r="A166">
        <v>165</v>
      </c>
      <c r="B166">
        <v>21783</v>
      </c>
      <c r="C166">
        <f t="shared" si="5"/>
        <v>22839.5</v>
      </c>
      <c r="D166">
        <f t="shared" si="6"/>
        <v>0.95374241993038378</v>
      </c>
    </row>
    <row r="167" spans="1:7">
      <c r="A167">
        <v>166</v>
      </c>
      <c r="B167">
        <v>21948</v>
      </c>
      <c r="C167">
        <f t="shared" si="5"/>
        <v>22861.68</v>
      </c>
      <c r="D167">
        <f t="shared" si="6"/>
        <v>0.96003443316501669</v>
      </c>
    </row>
    <row r="168" spans="1:7">
      <c r="A168">
        <v>167</v>
      </c>
      <c r="B168">
        <v>21929</v>
      </c>
      <c r="C168">
        <f t="shared" si="5"/>
        <v>22883.82</v>
      </c>
      <c r="D168">
        <f t="shared" si="6"/>
        <v>0.95827532291374429</v>
      </c>
    </row>
    <row r="169" spans="1:7">
      <c r="A169">
        <v>168</v>
      </c>
      <c r="B169">
        <v>22113</v>
      </c>
      <c r="C169">
        <f t="shared" si="5"/>
        <v>22905.919999999998</v>
      </c>
      <c r="D169">
        <f t="shared" si="6"/>
        <v>0.96538362135203482</v>
      </c>
    </row>
    <row r="170" spans="1:7">
      <c r="A170">
        <v>169</v>
      </c>
      <c r="B170">
        <v>22352</v>
      </c>
      <c r="C170">
        <f t="shared" si="5"/>
        <v>22927.98</v>
      </c>
      <c r="D170">
        <f t="shared" si="6"/>
        <v>0.97487872895911465</v>
      </c>
    </row>
    <row r="171" spans="1:7">
      <c r="A171">
        <v>170</v>
      </c>
      <c r="B171">
        <v>22083</v>
      </c>
      <c r="C171">
        <f t="shared" si="5"/>
        <v>22950</v>
      </c>
      <c r="D171">
        <f t="shared" si="6"/>
        <v>0.9622222222222222</v>
      </c>
    </row>
    <row r="172" spans="1:7">
      <c r="A172">
        <v>171</v>
      </c>
      <c r="B172">
        <v>21674</v>
      </c>
      <c r="C172">
        <f t="shared" si="5"/>
        <v>22971.98</v>
      </c>
      <c r="D172">
        <f t="shared" si="6"/>
        <v>0.94349725186945144</v>
      </c>
    </row>
    <row r="173" spans="1:7">
      <c r="A173">
        <v>172</v>
      </c>
      <c r="B173">
        <v>20546</v>
      </c>
      <c r="C173">
        <f t="shared" si="5"/>
        <v>22993.919999999998</v>
      </c>
      <c r="D173">
        <f t="shared" si="6"/>
        <v>0.89354055332888005</v>
      </c>
    </row>
    <row r="174" spans="1:7">
      <c r="A174">
        <v>173</v>
      </c>
      <c r="B174">
        <v>18932</v>
      </c>
      <c r="C174">
        <f t="shared" si="5"/>
        <v>23015.82</v>
      </c>
      <c r="D174">
        <f t="shared" si="6"/>
        <v>0.82256465335582218</v>
      </c>
    </row>
    <row r="175" spans="1:7">
      <c r="A175">
        <v>174</v>
      </c>
      <c r="B175">
        <v>17517</v>
      </c>
      <c r="C175">
        <f t="shared" si="5"/>
        <v>23037.68</v>
      </c>
      <c r="D175">
        <f t="shared" si="6"/>
        <v>0.76036302266547673</v>
      </c>
    </row>
    <row r="176" spans="1:7" ht="17.25">
      <c r="A176">
        <v>175</v>
      </c>
      <c r="B176">
        <v>16696</v>
      </c>
      <c r="C176">
        <f t="shared" si="5"/>
        <v>23059.5</v>
      </c>
      <c r="D176">
        <f t="shared" si="6"/>
        <v>0.72403998352089161</v>
      </c>
      <c r="F176">
        <v>175</v>
      </c>
      <c r="G176" t="s">
        <v>66</v>
      </c>
    </row>
    <row r="177" spans="1:4">
      <c r="A177">
        <v>176</v>
      </c>
      <c r="B177">
        <v>16942</v>
      </c>
      <c r="C177">
        <f t="shared" si="5"/>
        <v>23081.279999999999</v>
      </c>
      <c r="D177">
        <f t="shared" si="6"/>
        <v>0.73401475134827876</v>
      </c>
    </row>
    <row r="178" spans="1:4">
      <c r="A178">
        <v>177</v>
      </c>
      <c r="B178">
        <v>17871</v>
      </c>
      <c r="C178">
        <f t="shared" si="5"/>
        <v>23103.02</v>
      </c>
      <c r="D178">
        <f t="shared" si="6"/>
        <v>0.77353523478748665</v>
      </c>
    </row>
    <row r="179" spans="1:4">
      <c r="A179">
        <v>178</v>
      </c>
      <c r="B179">
        <v>18885</v>
      </c>
      <c r="C179">
        <f t="shared" si="5"/>
        <v>23124.720000000001</v>
      </c>
      <c r="D179">
        <f t="shared" si="6"/>
        <v>0.81665853683850009</v>
      </c>
    </row>
    <row r="180" spans="1:4">
      <c r="A180">
        <v>179</v>
      </c>
      <c r="B180">
        <v>19458</v>
      </c>
      <c r="C180">
        <f t="shared" si="5"/>
        <v>23146.38</v>
      </c>
      <c r="D180">
        <f t="shared" si="6"/>
        <v>0.8406498121952547</v>
      </c>
    </row>
    <row r="181" spans="1:4">
      <c r="A181">
        <v>180</v>
      </c>
      <c r="B181">
        <v>19665</v>
      </c>
      <c r="C181">
        <f t="shared" si="5"/>
        <v>23168</v>
      </c>
      <c r="D181">
        <f t="shared" si="6"/>
        <v>0.84880006906077343</v>
      </c>
    </row>
    <row r="182" spans="1:4">
      <c r="A182">
        <v>181</v>
      </c>
      <c r="B182">
        <v>19495</v>
      </c>
      <c r="C182">
        <f t="shared" si="5"/>
        <v>23189.58</v>
      </c>
      <c r="D182">
        <f t="shared" si="6"/>
        <v>0.84067930510168787</v>
      </c>
    </row>
    <row r="183" spans="1:4">
      <c r="A183">
        <v>182</v>
      </c>
      <c r="B183">
        <v>19084</v>
      </c>
      <c r="C183">
        <f t="shared" si="5"/>
        <v>23211.119999999999</v>
      </c>
      <c r="D183">
        <f t="shared" si="6"/>
        <v>0.82219212170718181</v>
      </c>
    </row>
    <row r="184" spans="1:4">
      <c r="A184">
        <v>183</v>
      </c>
      <c r="B184">
        <v>19102</v>
      </c>
      <c r="C184">
        <f t="shared" si="5"/>
        <v>23232.62</v>
      </c>
      <c r="D184">
        <f t="shared" si="6"/>
        <v>0.82220601895094059</v>
      </c>
    </row>
    <row r="185" spans="1:4">
      <c r="A185">
        <v>184</v>
      </c>
      <c r="B185">
        <v>19337</v>
      </c>
      <c r="C185">
        <f t="shared" si="5"/>
        <v>23254.080000000002</v>
      </c>
      <c r="D185">
        <f t="shared" si="6"/>
        <v>0.8315530005917241</v>
      </c>
    </row>
    <row r="186" spans="1:4">
      <c r="A186">
        <v>185</v>
      </c>
      <c r="B186">
        <v>19765</v>
      </c>
      <c r="C186">
        <f t="shared" si="5"/>
        <v>23275.5</v>
      </c>
      <c r="D186">
        <f t="shared" si="6"/>
        <v>0.84917617237008869</v>
      </c>
    </row>
    <row r="187" spans="1:4">
      <c r="A187">
        <v>186</v>
      </c>
      <c r="B187">
        <v>20284</v>
      </c>
      <c r="C187">
        <f t="shared" si="5"/>
        <v>23296.880000000001</v>
      </c>
      <c r="D187">
        <f t="shared" si="6"/>
        <v>0.87067452809131518</v>
      </c>
    </row>
    <row r="188" spans="1:4">
      <c r="A188">
        <v>187</v>
      </c>
      <c r="B188">
        <v>20834</v>
      </c>
      <c r="C188">
        <f t="shared" si="5"/>
        <v>23318.22</v>
      </c>
      <c r="D188">
        <f t="shared" si="6"/>
        <v>0.89346442395688863</v>
      </c>
    </row>
    <row r="189" spans="1:4">
      <c r="A189">
        <v>188</v>
      </c>
      <c r="B189">
        <v>21072</v>
      </c>
      <c r="C189">
        <f t="shared" si="5"/>
        <v>23339.52</v>
      </c>
      <c r="D189">
        <f t="shared" si="6"/>
        <v>0.90284633102994405</v>
      </c>
    </row>
    <row r="190" spans="1:4">
      <c r="A190">
        <v>189</v>
      </c>
      <c r="B190">
        <v>21393</v>
      </c>
      <c r="C190">
        <f t="shared" si="5"/>
        <v>23360.78</v>
      </c>
      <c r="D190">
        <f t="shared" si="6"/>
        <v>0.91576565508514707</v>
      </c>
    </row>
    <row r="191" spans="1:4">
      <c r="A191">
        <v>190</v>
      </c>
      <c r="B191">
        <v>21445</v>
      </c>
      <c r="C191">
        <f t="shared" si="5"/>
        <v>23382</v>
      </c>
      <c r="D191">
        <f t="shared" si="6"/>
        <v>0.91715849798990678</v>
      </c>
    </row>
    <row r="192" spans="1:4">
      <c r="A192">
        <v>191</v>
      </c>
      <c r="B192">
        <v>21450</v>
      </c>
      <c r="C192">
        <f t="shared" si="5"/>
        <v>23403.18</v>
      </c>
      <c r="D192">
        <f t="shared" si="6"/>
        <v>0.91654211094389737</v>
      </c>
    </row>
    <row r="193" spans="1:4">
      <c r="A193">
        <v>192</v>
      </c>
      <c r="B193">
        <v>21248</v>
      </c>
      <c r="C193">
        <f t="shared" si="5"/>
        <v>23424.32</v>
      </c>
      <c r="D193">
        <f t="shared" si="6"/>
        <v>0.90709143317714236</v>
      </c>
    </row>
    <row r="194" spans="1:4">
      <c r="A194">
        <v>193</v>
      </c>
      <c r="B194">
        <v>21284</v>
      </c>
      <c r="C194">
        <f t="shared" ref="C194:C257" si="7">29000-10000*(A194-720)*(A194-720)/500000</f>
        <v>23445.42</v>
      </c>
      <c r="D194">
        <f t="shared" ref="D194:D257" si="8">B194/C194</f>
        <v>0.90781056598687515</v>
      </c>
    </row>
    <row r="195" spans="1:4">
      <c r="A195">
        <v>194</v>
      </c>
      <c r="B195">
        <v>21366</v>
      </c>
      <c r="C195">
        <f t="shared" si="7"/>
        <v>23466.48</v>
      </c>
      <c r="D195">
        <f t="shared" si="8"/>
        <v>0.91049019708111312</v>
      </c>
    </row>
    <row r="196" spans="1:4">
      <c r="A196">
        <v>195</v>
      </c>
      <c r="B196">
        <v>21899</v>
      </c>
      <c r="C196">
        <f t="shared" si="7"/>
        <v>23487.5</v>
      </c>
      <c r="D196">
        <f t="shared" si="8"/>
        <v>0.93236828100053215</v>
      </c>
    </row>
    <row r="197" spans="1:4">
      <c r="A197">
        <v>196</v>
      </c>
      <c r="B197">
        <v>22345</v>
      </c>
      <c r="C197">
        <f t="shared" si="7"/>
        <v>23508.48</v>
      </c>
      <c r="D197">
        <f t="shared" si="8"/>
        <v>0.9505080719808342</v>
      </c>
    </row>
    <row r="198" spans="1:4">
      <c r="A198">
        <v>197</v>
      </c>
      <c r="B198">
        <v>22600</v>
      </c>
      <c r="C198">
        <f t="shared" si="7"/>
        <v>23529.42</v>
      </c>
      <c r="D198">
        <f t="shared" si="8"/>
        <v>0.96049966382511776</v>
      </c>
    </row>
    <row r="199" spans="1:4">
      <c r="A199">
        <v>198</v>
      </c>
      <c r="B199">
        <v>22768</v>
      </c>
      <c r="C199">
        <f t="shared" si="7"/>
        <v>23550.32</v>
      </c>
      <c r="D199">
        <f t="shared" si="8"/>
        <v>0.96678091847584235</v>
      </c>
    </row>
    <row r="200" spans="1:4">
      <c r="A200">
        <v>199</v>
      </c>
      <c r="B200">
        <v>22687</v>
      </c>
      <c r="C200">
        <f t="shared" si="7"/>
        <v>23571.18</v>
      </c>
      <c r="D200">
        <f t="shared" si="8"/>
        <v>0.96248893776213151</v>
      </c>
    </row>
    <row r="201" spans="1:4">
      <c r="A201">
        <v>200</v>
      </c>
      <c r="B201">
        <v>22678</v>
      </c>
      <c r="C201">
        <f t="shared" si="7"/>
        <v>23592</v>
      </c>
      <c r="D201">
        <f t="shared" si="8"/>
        <v>0.96125805357748384</v>
      </c>
    </row>
    <row r="202" spans="1:4">
      <c r="A202">
        <v>201</v>
      </c>
      <c r="B202">
        <v>22752</v>
      </c>
      <c r="C202">
        <f t="shared" si="7"/>
        <v>23612.78</v>
      </c>
      <c r="D202">
        <f t="shared" si="8"/>
        <v>0.96354601194776734</v>
      </c>
    </row>
    <row r="203" spans="1:4">
      <c r="A203">
        <v>202</v>
      </c>
      <c r="B203">
        <v>22943</v>
      </c>
      <c r="C203">
        <f t="shared" si="7"/>
        <v>23633.52</v>
      </c>
      <c r="D203">
        <f t="shared" si="8"/>
        <v>0.9707821771788544</v>
      </c>
    </row>
    <row r="204" spans="1:4">
      <c r="A204">
        <v>203</v>
      </c>
      <c r="B204">
        <v>23440</v>
      </c>
      <c r="C204">
        <f t="shared" si="7"/>
        <v>23654.22</v>
      </c>
      <c r="D204">
        <f t="shared" si="8"/>
        <v>0.99094368784935627</v>
      </c>
    </row>
    <row r="205" spans="1:4">
      <c r="A205">
        <v>204</v>
      </c>
      <c r="B205">
        <v>23694</v>
      </c>
      <c r="C205">
        <f t="shared" si="7"/>
        <v>23674.880000000001</v>
      </c>
      <c r="D205">
        <f t="shared" si="8"/>
        <v>1.000807607050173</v>
      </c>
    </row>
    <row r="206" spans="1:4">
      <c r="A206">
        <v>205</v>
      </c>
      <c r="B206">
        <v>23770</v>
      </c>
      <c r="C206">
        <f t="shared" si="7"/>
        <v>23695.5</v>
      </c>
      <c r="D206">
        <f t="shared" si="8"/>
        <v>1.0031440568884387</v>
      </c>
    </row>
    <row r="207" spans="1:4">
      <c r="A207">
        <v>206</v>
      </c>
      <c r="B207">
        <v>23380</v>
      </c>
      <c r="C207">
        <f t="shared" si="7"/>
        <v>23716.080000000002</v>
      </c>
      <c r="D207">
        <f t="shared" si="8"/>
        <v>0.98582902402083306</v>
      </c>
    </row>
    <row r="208" spans="1:4">
      <c r="A208">
        <v>207</v>
      </c>
      <c r="B208">
        <v>23060</v>
      </c>
      <c r="C208">
        <f t="shared" si="7"/>
        <v>23736.62</v>
      </c>
      <c r="D208">
        <f t="shared" si="8"/>
        <v>0.97149467784377053</v>
      </c>
    </row>
    <row r="209" spans="1:4">
      <c r="A209">
        <v>208</v>
      </c>
      <c r="B209">
        <v>22862</v>
      </c>
      <c r="C209">
        <f t="shared" si="7"/>
        <v>23757.119999999999</v>
      </c>
      <c r="D209">
        <f t="shared" si="8"/>
        <v>0.96232203230021152</v>
      </c>
    </row>
    <row r="210" spans="1:4">
      <c r="A210">
        <v>209</v>
      </c>
      <c r="B210">
        <v>22705</v>
      </c>
      <c r="C210">
        <f t="shared" si="7"/>
        <v>23777.58</v>
      </c>
      <c r="D210">
        <f t="shared" si="8"/>
        <v>0.95489112012240096</v>
      </c>
    </row>
    <row r="211" spans="1:4">
      <c r="A211">
        <v>210</v>
      </c>
      <c r="B211">
        <v>22829</v>
      </c>
      <c r="C211">
        <f t="shared" si="7"/>
        <v>23798</v>
      </c>
      <c r="D211">
        <f t="shared" si="8"/>
        <v>0.95928229262963272</v>
      </c>
    </row>
    <row r="212" spans="1:4">
      <c r="A212">
        <v>211</v>
      </c>
      <c r="B212">
        <v>22968</v>
      </c>
      <c r="C212">
        <f t="shared" si="7"/>
        <v>23818.38</v>
      </c>
      <c r="D212">
        <f t="shared" si="8"/>
        <v>0.96429731996886436</v>
      </c>
    </row>
    <row r="213" spans="1:4">
      <c r="A213">
        <v>212</v>
      </c>
      <c r="B213">
        <v>23128</v>
      </c>
      <c r="C213">
        <f t="shared" si="7"/>
        <v>23838.720000000001</v>
      </c>
      <c r="D213">
        <f t="shared" si="8"/>
        <v>0.97018631872852223</v>
      </c>
    </row>
    <row r="214" spans="1:4">
      <c r="A214">
        <v>213</v>
      </c>
      <c r="B214">
        <v>23033</v>
      </c>
      <c r="C214">
        <f t="shared" si="7"/>
        <v>23859.02</v>
      </c>
      <c r="D214">
        <f t="shared" si="8"/>
        <v>0.96537913124679886</v>
      </c>
    </row>
    <row r="215" spans="1:4">
      <c r="A215">
        <v>214</v>
      </c>
      <c r="B215">
        <v>22811</v>
      </c>
      <c r="C215">
        <f t="shared" si="7"/>
        <v>23879.279999999999</v>
      </c>
      <c r="D215">
        <f t="shared" si="8"/>
        <v>0.95526330777142365</v>
      </c>
    </row>
    <row r="216" spans="1:4">
      <c r="A216">
        <v>215</v>
      </c>
      <c r="B216">
        <v>22569</v>
      </c>
      <c r="C216">
        <f t="shared" si="7"/>
        <v>23899.5</v>
      </c>
      <c r="D216">
        <f t="shared" si="8"/>
        <v>0.94432937927571703</v>
      </c>
    </row>
    <row r="217" spans="1:4">
      <c r="A217">
        <v>216</v>
      </c>
      <c r="B217">
        <v>22439</v>
      </c>
      <c r="C217">
        <f t="shared" si="7"/>
        <v>23919.68</v>
      </c>
      <c r="D217">
        <f t="shared" si="8"/>
        <v>0.9380978340847369</v>
      </c>
    </row>
    <row r="218" spans="1:4">
      <c r="A218">
        <v>217</v>
      </c>
      <c r="B218">
        <v>22332</v>
      </c>
      <c r="C218">
        <f t="shared" si="7"/>
        <v>23939.82</v>
      </c>
      <c r="D218">
        <f t="shared" si="8"/>
        <v>0.93283909402827592</v>
      </c>
    </row>
    <row r="219" spans="1:4">
      <c r="A219">
        <v>218</v>
      </c>
      <c r="B219">
        <v>22198</v>
      </c>
      <c r="C219">
        <f t="shared" si="7"/>
        <v>23959.919999999998</v>
      </c>
      <c r="D219">
        <f t="shared" si="8"/>
        <v>0.92646386131506286</v>
      </c>
    </row>
    <row r="220" spans="1:4">
      <c r="A220">
        <v>219</v>
      </c>
      <c r="B220">
        <v>22284</v>
      </c>
      <c r="C220">
        <f t="shared" si="7"/>
        <v>23979.98</v>
      </c>
      <c r="D220">
        <f t="shared" si="8"/>
        <v>0.92927517037128471</v>
      </c>
    </row>
    <row r="221" spans="1:4">
      <c r="A221">
        <v>220</v>
      </c>
      <c r="B221">
        <v>22120</v>
      </c>
      <c r="C221">
        <f t="shared" si="7"/>
        <v>24000</v>
      </c>
      <c r="D221">
        <f t="shared" si="8"/>
        <v>0.92166666666666663</v>
      </c>
    </row>
    <row r="222" spans="1:4">
      <c r="A222">
        <v>221</v>
      </c>
      <c r="B222">
        <v>21893</v>
      </c>
      <c r="C222">
        <f t="shared" si="7"/>
        <v>24019.98</v>
      </c>
      <c r="D222">
        <f t="shared" si="8"/>
        <v>0.91144955158164165</v>
      </c>
    </row>
    <row r="223" spans="1:4">
      <c r="A223">
        <v>222</v>
      </c>
      <c r="B223">
        <v>21890</v>
      </c>
      <c r="C223">
        <f t="shared" si="7"/>
        <v>24039.919999999998</v>
      </c>
      <c r="D223">
        <f t="shared" si="8"/>
        <v>0.9105687539725591</v>
      </c>
    </row>
    <row r="224" spans="1:4">
      <c r="A224">
        <v>223</v>
      </c>
      <c r="B224">
        <v>21715</v>
      </c>
      <c r="C224">
        <f t="shared" si="7"/>
        <v>24059.82</v>
      </c>
      <c r="D224">
        <f t="shared" si="8"/>
        <v>0.90254208053094331</v>
      </c>
    </row>
    <row r="225" spans="1:4">
      <c r="A225">
        <v>224</v>
      </c>
      <c r="B225">
        <v>21955</v>
      </c>
      <c r="C225">
        <f t="shared" si="7"/>
        <v>24079.68</v>
      </c>
      <c r="D225">
        <f t="shared" si="8"/>
        <v>0.91176460816755034</v>
      </c>
    </row>
    <row r="226" spans="1:4">
      <c r="A226">
        <v>225</v>
      </c>
      <c r="B226">
        <v>22233</v>
      </c>
      <c r="C226">
        <f t="shared" si="7"/>
        <v>24099.5</v>
      </c>
      <c r="D226">
        <f t="shared" si="8"/>
        <v>0.92255026037884602</v>
      </c>
    </row>
    <row r="227" spans="1:4">
      <c r="A227">
        <v>226</v>
      </c>
      <c r="B227">
        <v>22488</v>
      </c>
      <c r="C227">
        <f t="shared" si="7"/>
        <v>24119.279999999999</v>
      </c>
      <c r="D227">
        <f t="shared" si="8"/>
        <v>0.93236614028279452</v>
      </c>
    </row>
    <row r="228" spans="1:4">
      <c r="A228">
        <v>227</v>
      </c>
      <c r="B228">
        <v>22763</v>
      </c>
      <c r="C228">
        <f t="shared" si="7"/>
        <v>24139.02</v>
      </c>
      <c r="D228">
        <f t="shared" si="8"/>
        <v>0.94299602883629907</v>
      </c>
    </row>
    <row r="229" spans="1:4">
      <c r="A229">
        <v>228</v>
      </c>
      <c r="B229">
        <v>22928</v>
      </c>
      <c r="C229">
        <f t="shared" si="7"/>
        <v>24158.720000000001</v>
      </c>
      <c r="D229">
        <f t="shared" si="8"/>
        <v>0.94905690367701601</v>
      </c>
    </row>
    <row r="230" spans="1:4">
      <c r="A230">
        <v>229</v>
      </c>
      <c r="B230">
        <v>23050</v>
      </c>
      <c r="C230">
        <f t="shared" si="7"/>
        <v>24178.38</v>
      </c>
      <c r="D230">
        <f t="shared" si="8"/>
        <v>0.95333103375825834</v>
      </c>
    </row>
    <row r="231" spans="1:4">
      <c r="A231">
        <v>230</v>
      </c>
      <c r="B231">
        <v>23409</v>
      </c>
      <c r="C231">
        <f t="shared" si="7"/>
        <v>24198</v>
      </c>
      <c r="D231">
        <f t="shared" si="8"/>
        <v>0.96739399950409122</v>
      </c>
    </row>
    <row r="232" spans="1:4">
      <c r="A232">
        <v>231</v>
      </c>
      <c r="B232">
        <v>23624</v>
      </c>
      <c r="C232">
        <f t="shared" si="7"/>
        <v>24217.58</v>
      </c>
      <c r="D232">
        <f t="shared" si="8"/>
        <v>0.97548970623819553</v>
      </c>
    </row>
    <row r="233" spans="1:4">
      <c r="A233">
        <v>232</v>
      </c>
      <c r="B233">
        <v>23842</v>
      </c>
      <c r="C233">
        <f t="shared" si="7"/>
        <v>24237.119999999999</v>
      </c>
      <c r="D233">
        <f t="shared" si="8"/>
        <v>0.98369773306399444</v>
      </c>
    </row>
    <row r="234" spans="1:4">
      <c r="A234">
        <v>233</v>
      </c>
      <c r="B234">
        <v>23984</v>
      </c>
      <c r="C234">
        <f t="shared" si="7"/>
        <v>24256.62</v>
      </c>
      <c r="D234">
        <f t="shared" si="8"/>
        <v>0.9887610062737513</v>
      </c>
    </row>
    <row r="235" spans="1:4">
      <c r="A235">
        <v>234</v>
      </c>
      <c r="B235">
        <v>24005</v>
      </c>
      <c r="C235">
        <f t="shared" si="7"/>
        <v>24276.080000000002</v>
      </c>
      <c r="D235">
        <f t="shared" si="8"/>
        <v>0.98883345251786936</v>
      </c>
    </row>
    <row r="236" spans="1:4">
      <c r="A236">
        <v>235</v>
      </c>
      <c r="B236">
        <v>23941</v>
      </c>
      <c r="C236">
        <f t="shared" si="7"/>
        <v>24295.5</v>
      </c>
      <c r="D236">
        <f t="shared" si="8"/>
        <v>0.98540882056347878</v>
      </c>
    </row>
    <row r="237" spans="1:4">
      <c r="A237">
        <v>236</v>
      </c>
      <c r="B237">
        <v>23522</v>
      </c>
      <c r="C237">
        <f t="shared" si="7"/>
        <v>24314.880000000001</v>
      </c>
      <c r="D237">
        <f t="shared" si="8"/>
        <v>0.96739116129711511</v>
      </c>
    </row>
    <row r="238" spans="1:4">
      <c r="A238">
        <v>237</v>
      </c>
      <c r="B238">
        <v>22907</v>
      </c>
      <c r="C238">
        <f t="shared" si="7"/>
        <v>24334.22</v>
      </c>
      <c r="D238">
        <f t="shared" si="8"/>
        <v>0.94134926042420919</v>
      </c>
    </row>
    <row r="239" spans="1:4">
      <c r="A239">
        <v>238</v>
      </c>
      <c r="B239">
        <v>21942</v>
      </c>
      <c r="C239">
        <f t="shared" si="7"/>
        <v>24353.52</v>
      </c>
      <c r="D239">
        <f t="shared" si="8"/>
        <v>0.9009785854365201</v>
      </c>
    </row>
    <row r="240" spans="1:4">
      <c r="A240">
        <v>239</v>
      </c>
      <c r="B240">
        <v>20900</v>
      </c>
      <c r="C240">
        <f t="shared" si="7"/>
        <v>24372.78</v>
      </c>
      <c r="D240">
        <f t="shared" si="8"/>
        <v>0.85751399717225529</v>
      </c>
    </row>
    <row r="241" spans="1:4">
      <c r="A241">
        <v>240</v>
      </c>
      <c r="B241">
        <v>20501</v>
      </c>
      <c r="C241">
        <f t="shared" si="7"/>
        <v>24392</v>
      </c>
      <c r="D241">
        <f t="shared" si="8"/>
        <v>0.84048048540505083</v>
      </c>
    </row>
    <row r="242" spans="1:4">
      <c r="A242">
        <v>241</v>
      </c>
      <c r="B242">
        <v>20887</v>
      </c>
      <c r="C242">
        <f t="shared" si="7"/>
        <v>24411.18</v>
      </c>
      <c r="D242">
        <f t="shared" si="8"/>
        <v>0.85563254213847917</v>
      </c>
    </row>
    <row r="243" spans="1:4">
      <c r="A243">
        <v>242</v>
      </c>
      <c r="B243">
        <v>21485</v>
      </c>
      <c r="C243">
        <f t="shared" si="7"/>
        <v>24430.32</v>
      </c>
      <c r="D243">
        <f t="shared" si="8"/>
        <v>0.8794399745889534</v>
      </c>
    </row>
    <row r="244" spans="1:4">
      <c r="A244">
        <v>243</v>
      </c>
      <c r="B244">
        <v>21841</v>
      </c>
      <c r="C244">
        <f t="shared" si="7"/>
        <v>24449.42</v>
      </c>
      <c r="D244">
        <f t="shared" si="8"/>
        <v>0.89331362461768016</v>
      </c>
    </row>
    <row r="245" spans="1:4">
      <c r="A245">
        <v>244</v>
      </c>
      <c r="B245">
        <v>21822</v>
      </c>
      <c r="C245">
        <f t="shared" si="7"/>
        <v>24468.48</v>
      </c>
      <c r="D245">
        <f t="shared" si="8"/>
        <v>0.89184125863151287</v>
      </c>
    </row>
    <row r="246" spans="1:4">
      <c r="A246">
        <v>245</v>
      </c>
      <c r="B246">
        <v>21304</v>
      </c>
      <c r="C246">
        <f t="shared" si="7"/>
        <v>24487.5</v>
      </c>
      <c r="D246">
        <f t="shared" si="8"/>
        <v>0.86999489535477281</v>
      </c>
    </row>
    <row r="247" spans="1:4">
      <c r="A247">
        <v>246</v>
      </c>
      <c r="B247">
        <v>20616</v>
      </c>
      <c r="C247">
        <f t="shared" si="7"/>
        <v>24506.48</v>
      </c>
      <c r="D247">
        <f t="shared" si="8"/>
        <v>0.84124688653776469</v>
      </c>
    </row>
    <row r="248" spans="1:4">
      <c r="A248">
        <v>247</v>
      </c>
      <c r="B248">
        <v>19999</v>
      </c>
      <c r="C248">
        <f t="shared" si="7"/>
        <v>24525.42</v>
      </c>
      <c r="D248">
        <f t="shared" si="8"/>
        <v>0.81543965404058327</v>
      </c>
    </row>
    <row r="249" spans="1:4">
      <c r="A249">
        <v>248</v>
      </c>
      <c r="B249">
        <v>19636</v>
      </c>
      <c r="C249">
        <f t="shared" si="7"/>
        <v>24544.32</v>
      </c>
      <c r="D249">
        <f t="shared" si="8"/>
        <v>0.80002216398743176</v>
      </c>
    </row>
    <row r="250" spans="1:4">
      <c r="A250">
        <v>249</v>
      </c>
      <c r="B250">
        <v>19463</v>
      </c>
      <c r="C250">
        <f t="shared" si="7"/>
        <v>24563.18</v>
      </c>
      <c r="D250">
        <f t="shared" si="8"/>
        <v>0.79236483224077658</v>
      </c>
    </row>
    <row r="251" spans="1:4">
      <c r="A251">
        <v>250</v>
      </c>
      <c r="B251">
        <v>19575</v>
      </c>
      <c r="C251">
        <f t="shared" si="7"/>
        <v>24582</v>
      </c>
      <c r="D251">
        <f t="shared" si="8"/>
        <v>0.79631437637295577</v>
      </c>
    </row>
    <row r="252" spans="1:4">
      <c r="A252">
        <v>251</v>
      </c>
      <c r="B252">
        <v>20067</v>
      </c>
      <c r="C252">
        <f t="shared" si="7"/>
        <v>24600.78</v>
      </c>
      <c r="D252">
        <f t="shared" si="8"/>
        <v>0.81570584347325581</v>
      </c>
    </row>
    <row r="253" spans="1:4">
      <c r="A253">
        <v>252</v>
      </c>
      <c r="B253">
        <v>20801</v>
      </c>
      <c r="C253">
        <f t="shared" si="7"/>
        <v>24619.52</v>
      </c>
      <c r="D253">
        <f t="shared" si="8"/>
        <v>0.84489868202142038</v>
      </c>
    </row>
    <row r="254" spans="1:4">
      <c r="A254">
        <v>253</v>
      </c>
      <c r="B254">
        <v>21574</v>
      </c>
      <c r="C254">
        <f t="shared" si="7"/>
        <v>24638.22</v>
      </c>
      <c r="D254">
        <f t="shared" si="8"/>
        <v>0.87563143766067508</v>
      </c>
    </row>
    <row r="255" spans="1:4">
      <c r="A255">
        <v>254</v>
      </c>
      <c r="B255">
        <v>22361</v>
      </c>
      <c r="C255">
        <f t="shared" si="7"/>
        <v>24656.880000000001</v>
      </c>
      <c r="D255">
        <f t="shared" si="8"/>
        <v>0.90688684050861257</v>
      </c>
    </row>
    <row r="256" spans="1:4">
      <c r="A256">
        <v>255</v>
      </c>
      <c r="B256">
        <v>22442</v>
      </c>
      <c r="C256">
        <f t="shared" si="7"/>
        <v>24675.5</v>
      </c>
      <c r="D256">
        <f t="shared" si="8"/>
        <v>0.90948511681627531</v>
      </c>
    </row>
    <row r="257" spans="1:4">
      <c r="A257">
        <v>256</v>
      </c>
      <c r="B257">
        <v>21938</v>
      </c>
      <c r="C257">
        <f t="shared" si="7"/>
        <v>24694.080000000002</v>
      </c>
      <c r="D257">
        <f t="shared" si="8"/>
        <v>0.88839106376913002</v>
      </c>
    </row>
    <row r="258" spans="1:4">
      <c r="A258">
        <v>257</v>
      </c>
      <c r="B258">
        <v>20386</v>
      </c>
      <c r="C258">
        <f t="shared" ref="C258:C321" si="9">29000-10000*(A258-720)*(A258-720)/500000</f>
        <v>24712.62</v>
      </c>
      <c r="D258">
        <f t="shared" ref="D258:D321" si="10">B258/C258</f>
        <v>0.82492265085612126</v>
      </c>
    </row>
    <row r="259" spans="1:4">
      <c r="A259">
        <v>258</v>
      </c>
      <c r="B259">
        <v>18749</v>
      </c>
      <c r="C259">
        <f t="shared" si="9"/>
        <v>24731.119999999999</v>
      </c>
      <c r="D259">
        <f t="shared" si="10"/>
        <v>0.75811366407991232</v>
      </c>
    </row>
    <row r="260" spans="1:4">
      <c r="A260">
        <v>259</v>
      </c>
      <c r="B260">
        <v>17194</v>
      </c>
      <c r="C260">
        <f t="shared" si="9"/>
        <v>24749.58</v>
      </c>
      <c r="D260">
        <f t="shared" si="10"/>
        <v>0.69471885987560189</v>
      </c>
    </row>
    <row r="261" spans="1:4">
      <c r="A261">
        <v>260</v>
      </c>
      <c r="B261">
        <v>16510</v>
      </c>
      <c r="C261">
        <f t="shared" si="9"/>
        <v>24768</v>
      </c>
      <c r="D261">
        <f t="shared" si="10"/>
        <v>0.66658591731266148</v>
      </c>
    </row>
    <row r="262" spans="1:4">
      <c r="A262">
        <v>261</v>
      </c>
      <c r="B262">
        <v>17114</v>
      </c>
      <c r="C262">
        <f t="shared" si="9"/>
        <v>24786.38</v>
      </c>
      <c r="D262">
        <f t="shared" si="10"/>
        <v>0.69045984125152604</v>
      </c>
    </row>
    <row r="263" spans="1:4">
      <c r="A263">
        <v>262</v>
      </c>
      <c r="B263">
        <v>18483</v>
      </c>
      <c r="C263">
        <f t="shared" si="9"/>
        <v>24804.720000000001</v>
      </c>
      <c r="D263">
        <f t="shared" si="10"/>
        <v>0.74514044101283949</v>
      </c>
    </row>
    <row r="264" spans="1:4">
      <c r="A264">
        <v>263</v>
      </c>
      <c r="B264">
        <v>19785</v>
      </c>
      <c r="C264">
        <f t="shared" si="9"/>
        <v>24823.02</v>
      </c>
      <c r="D264">
        <f t="shared" si="10"/>
        <v>0.79704242271891168</v>
      </c>
    </row>
    <row r="265" spans="1:4">
      <c r="A265">
        <v>264</v>
      </c>
      <c r="B265">
        <v>21162</v>
      </c>
      <c r="C265">
        <f t="shared" si="9"/>
        <v>24841.279999999999</v>
      </c>
      <c r="D265">
        <f t="shared" si="10"/>
        <v>0.85188846951525854</v>
      </c>
    </row>
    <row r="266" spans="1:4">
      <c r="A266">
        <v>265</v>
      </c>
      <c r="B266">
        <v>21826</v>
      </c>
      <c r="C266">
        <f t="shared" si="9"/>
        <v>24859.5</v>
      </c>
      <c r="D266">
        <f t="shared" si="10"/>
        <v>0.87797421508879903</v>
      </c>
    </row>
    <row r="267" spans="1:4">
      <c r="A267">
        <v>266</v>
      </c>
      <c r="B267">
        <v>22396</v>
      </c>
      <c r="C267">
        <f t="shared" si="9"/>
        <v>24877.68</v>
      </c>
      <c r="D267">
        <f t="shared" si="10"/>
        <v>0.9002447173530651</v>
      </c>
    </row>
    <row r="268" spans="1:4">
      <c r="A268">
        <v>267</v>
      </c>
      <c r="B268">
        <v>22491</v>
      </c>
      <c r="C268">
        <f t="shared" si="9"/>
        <v>24895.82</v>
      </c>
      <c r="D268">
        <f t="shared" si="10"/>
        <v>0.90340466793220708</v>
      </c>
    </row>
    <row r="269" spans="1:4">
      <c r="A269">
        <v>268</v>
      </c>
      <c r="B269">
        <v>22642</v>
      </c>
      <c r="C269">
        <f t="shared" si="9"/>
        <v>24913.919999999998</v>
      </c>
      <c r="D269">
        <f t="shared" si="10"/>
        <v>0.90880921187833952</v>
      </c>
    </row>
    <row r="270" spans="1:4">
      <c r="A270">
        <v>269</v>
      </c>
      <c r="B270">
        <v>22470</v>
      </c>
      <c r="C270">
        <f t="shared" si="9"/>
        <v>24931.98</v>
      </c>
      <c r="D270">
        <f t="shared" si="10"/>
        <v>0.90125212678656086</v>
      </c>
    </row>
    <row r="271" spans="1:4">
      <c r="A271">
        <v>270</v>
      </c>
      <c r="B271">
        <v>21937</v>
      </c>
      <c r="C271">
        <f t="shared" si="9"/>
        <v>24950</v>
      </c>
      <c r="D271">
        <f t="shared" si="10"/>
        <v>0.87923847695390778</v>
      </c>
    </row>
    <row r="272" spans="1:4">
      <c r="A272">
        <v>271</v>
      </c>
      <c r="B272">
        <v>22050</v>
      </c>
      <c r="C272">
        <f t="shared" si="9"/>
        <v>24967.98</v>
      </c>
      <c r="D272">
        <f t="shared" si="10"/>
        <v>0.88313111433123548</v>
      </c>
    </row>
    <row r="273" spans="1:4">
      <c r="A273">
        <v>272</v>
      </c>
      <c r="B273">
        <v>21933</v>
      </c>
      <c r="C273">
        <f t="shared" si="9"/>
        <v>24985.919999999998</v>
      </c>
      <c r="D273">
        <f t="shared" si="10"/>
        <v>0.87781438506166676</v>
      </c>
    </row>
    <row r="274" spans="1:4">
      <c r="A274">
        <v>273</v>
      </c>
      <c r="B274">
        <v>22217</v>
      </c>
      <c r="C274">
        <f t="shared" si="9"/>
        <v>25003.82</v>
      </c>
      <c r="D274">
        <f t="shared" si="10"/>
        <v>0.88854423044158859</v>
      </c>
    </row>
    <row r="275" spans="1:4">
      <c r="A275">
        <v>274</v>
      </c>
      <c r="B275">
        <v>22512</v>
      </c>
      <c r="C275">
        <f t="shared" si="9"/>
        <v>25021.68</v>
      </c>
      <c r="D275">
        <f t="shared" si="10"/>
        <v>0.89969978035048004</v>
      </c>
    </row>
    <row r="276" spans="1:4">
      <c r="A276">
        <v>275</v>
      </c>
      <c r="B276">
        <v>22740</v>
      </c>
      <c r="C276">
        <f t="shared" si="9"/>
        <v>25039.5</v>
      </c>
      <c r="D276">
        <f t="shared" si="10"/>
        <v>0.90816509914335353</v>
      </c>
    </row>
    <row r="277" spans="1:4">
      <c r="A277">
        <v>276</v>
      </c>
      <c r="B277">
        <v>22895</v>
      </c>
      <c r="C277">
        <f t="shared" si="9"/>
        <v>25057.279999999999</v>
      </c>
      <c r="D277">
        <f t="shared" si="10"/>
        <v>0.91370651563138539</v>
      </c>
    </row>
    <row r="278" spans="1:4">
      <c r="A278">
        <v>277</v>
      </c>
      <c r="B278">
        <v>23005</v>
      </c>
      <c r="C278">
        <f t="shared" si="9"/>
        <v>25075.02</v>
      </c>
      <c r="D278">
        <f t="shared" si="10"/>
        <v>0.91744692526665983</v>
      </c>
    </row>
    <row r="279" spans="1:4">
      <c r="A279">
        <v>278</v>
      </c>
      <c r="B279">
        <v>23007</v>
      </c>
      <c r="C279">
        <f t="shared" si="9"/>
        <v>25092.720000000001</v>
      </c>
      <c r="D279">
        <f t="shared" si="10"/>
        <v>0.91687947739424025</v>
      </c>
    </row>
    <row r="280" spans="1:4">
      <c r="A280">
        <v>279</v>
      </c>
      <c r="B280">
        <v>23038</v>
      </c>
      <c r="C280">
        <f t="shared" si="9"/>
        <v>25110.38</v>
      </c>
      <c r="D280">
        <f t="shared" si="10"/>
        <v>0.91746919003216998</v>
      </c>
    </row>
    <row r="281" spans="1:4">
      <c r="A281">
        <v>280</v>
      </c>
      <c r="B281">
        <v>23077</v>
      </c>
      <c r="C281">
        <f t="shared" si="9"/>
        <v>25128</v>
      </c>
      <c r="D281">
        <f t="shared" si="10"/>
        <v>0.91837790512575612</v>
      </c>
    </row>
    <row r="282" spans="1:4">
      <c r="A282">
        <v>281</v>
      </c>
      <c r="B282">
        <v>22868</v>
      </c>
      <c r="C282">
        <f t="shared" si="9"/>
        <v>25145.58</v>
      </c>
      <c r="D282">
        <f t="shared" si="10"/>
        <v>0.90942424076119932</v>
      </c>
    </row>
    <row r="283" spans="1:4">
      <c r="A283">
        <v>282</v>
      </c>
      <c r="B283">
        <v>22054</v>
      </c>
      <c r="C283">
        <f t="shared" si="9"/>
        <v>25163.119999999999</v>
      </c>
      <c r="D283">
        <f t="shared" si="10"/>
        <v>0.87644139518469888</v>
      </c>
    </row>
    <row r="284" spans="1:4">
      <c r="A284">
        <v>283</v>
      </c>
      <c r="B284">
        <v>20762</v>
      </c>
      <c r="C284">
        <f t="shared" si="9"/>
        <v>25180.62</v>
      </c>
      <c r="D284">
        <f t="shared" si="10"/>
        <v>0.82452298632837484</v>
      </c>
    </row>
    <row r="285" spans="1:4">
      <c r="A285">
        <v>284</v>
      </c>
      <c r="B285">
        <v>19171</v>
      </c>
      <c r="C285">
        <f t="shared" si="9"/>
        <v>25198.080000000002</v>
      </c>
      <c r="D285">
        <f t="shared" si="10"/>
        <v>0.76081193487757792</v>
      </c>
    </row>
    <row r="286" spans="1:4">
      <c r="A286">
        <v>285</v>
      </c>
      <c r="B286">
        <v>17724</v>
      </c>
      <c r="C286">
        <f t="shared" si="9"/>
        <v>25215.5</v>
      </c>
      <c r="D286">
        <f t="shared" si="10"/>
        <v>0.70290099343657675</v>
      </c>
    </row>
    <row r="287" spans="1:4">
      <c r="A287">
        <v>286</v>
      </c>
      <c r="B287">
        <v>16926</v>
      </c>
      <c r="C287">
        <f t="shared" si="9"/>
        <v>25232.880000000001</v>
      </c>
      <c r="D287">
        <f t="shared" si="10"/>
        <v>0.67079144354508879</v>
      </c>
    </row>
    <row r="288" spans="1:4">
      <c r="A288">
        <v>287</v>
      </c>
      <c r="B288">
        <v>17064</v>
      </c>
      <c r="C288">
        <f t="shared" si="9"/>
        <v>25250.22</v>
      </c>
      <c r="D288">
        <f t="shared" si="10"/>
        <v>0.67579609207365321</v>
      </c>
    </row>
    <row r="289" spans="1:4">
      <c r="A289">
        <v>288</v>
      </c>
      <c r="B289">
        <v>17591</v>
      </c>
      <c r="C289">
        <f t="shared" si="9"/>
        <v>25267.52</v>
      </c>
      <c r="D289">
        <f t="shared" si="10"/>
        <v>0.69619020782411567</v>
      </c>
    </row>
    <row r="290" spans="1:4">
      <c r="A290">
        <v>289</v>
      </c>
      <c r="B290">
        <v>18026</v>
      </c>
      <c r="C290">
        <f t="shared" si="9"/>
        <v>25284.78</v>
      </c>
      <c r="D290">
        <f t="shared" si="10"/>
        <v>0.71291899712000661</v>
      </c>
    </row>
    <row r="291" spans="1:4">
      <c r="A291">
        <v>290</v>
      </c>
      <c r="B291">
        <v>18555</v>
      </c>
      <c r="C291">
        <f t="shared" si="9"/>
        <v>25302</v>
      </c>
      <c r="D291">
        <f t="shared" si="10"/>
        <v>0.73334123784681049</v>
      </c>
    </row>
    <row r="292" spans="1:4">
      <c r="A292">
        <v>291</v>
      </c>
      <c r="B292">
        <v>19304</v>
      </c>
      <c r="C292">
        <f t="shared" si="9"/>
        <v>25319.18</v>
      </c>
      <c r="D292">
        <f t="shared" si="10"/>
        <v>0.76242595534294555</v>
      </c>
    </row>
    <row r="293" spans="1:4">
      <c r="A293">
        <v>292</v>
      </c>
      <c r="B293">
        <v>20406</v>
      </c>
      <c r="C293">
        <f t="shared" si="9"/>
        <v>25336.32</v>
      </c>
      <c r="D293">
        <f t="shared" si="10"/>
        <v>0.80540504698393456</v>
      </c>
    </row>
    <row r="294" spans="1:4">
      <c r="A294">
        <v>293</v>
      </c>
      <c r="B294">
        <v>21683</v>
      </c>
      <c r="C294">
        <f t="shared" si="9"/>
        <v>25353.42</v>
      </c>
      <c r="D294">
        <f t="shared" si="10"/>
        <v>0.85522978753951151</v>
      </c>
    </row>
    <row r="295" spans="1:4">
      <c r="A295">
        <v>294</v>
      </c>
      <c r="B295">
        <v>22658</v>
      </c>
      <c r="C295">
        <f t="shared" si="9"/>
        <v>25370.48</v>
      </c>
      <c r="D295">
        <f t="shared" si="10"/>
        <v>0.89308519192384217</v>
      </c>
    </row>
    <row r="296" spans="1:4">
      <c r="A296">
        <v>295</v>
      </c>
      <c r="B296">
        <v>23243</v>
      </c>
      <c r="C296">
        <f t="shared" si="9"/>
        <v>25387.5</v>
      </c>
      <c r="D296">
        <f t="shared" si="10"/>
        <v>0.9155292959133432</v>
      </c>
    </row>
    <row r="297" spans="1:4">
      <c r="A297">
        <v>296</v>
      </c>
      <c r="B297">
        <v>23459</v>
      </c>
      <c r="C297">
        <f t="shared" si="9"/>
        <v>25404.48</v>
      </c>
      <c r="D297">
        <f t="shared" si="10"/>
        <v>0.92341980627039011</v>
      </c>
    </row>
    <row r="298" spans="1:4">
      <c r="A298">
        <v>297</v>
      </c>
      <c r="B298">
        <v>23505</v>
      </c>
      <c r="C298">
        <f t="shared" si="9"/>
        <v>25421.42</v>
      </c>
      <c r="D298">
        <f t="shared" si="10"/>
        <v>0.92461396727641498</v>
      </c>
    </row>
    <row r="299" spans="1:4">
      <c r="A299">
        <v>298</v>
      </c>
      <c r="B299">
        <v>23459</v>
      </c>
      <c r="C299">
        <f t="shared" si="9"/>
        <v>25438.32</v>
      </c>
      <c r="D299">
        <f t="shared" si="10"/>
        <v>0.92219140257689969</v>
      </c>
    </row>
    <row r="300" spans="1:4">
      <c r="A300">
        <v>299</v>
      </c>
      <c r="B300">
        <v>23254</v>
      </c>
      <c r="C300">
        <f t="shared" si="9"/>
        <v>25455.18</v>
      </c>
      <c r="D300">
        <f t="shared" si="10"/>
        <v>0.91352722707126799</v>
      </c>
    </row>
    <row r="301" spans="1:4">
      <c r="A301">
        <v>300</v>
      </c>
      <c r="B301">
        <v>23186</v>
      </c>
      <c r="C301">
        <f t="shared" si="9"/>
        <v>25472</v>
      </c>
      <c r="D301">
        <f t="shared" si="10"/>
        <v>0.91025439698492461</v>
      </c>
    </row>
    <row r="302" spans="1:4">
      <c r="A302">
        <v>301</v>
      </c>
      <c r="B302">
        <v>23280</v>
      </c>
      <c r="C302">
        <f t="shared" si="9"/>
        <v>25488.78</v>
      </c>
      <c r="D302">
        <f t="shared" si="10"/>
        <v>0.91334304741144934</v>
      </c>
    </row>
    <row r="303" spans="1:4">
      <c r="A303">
        <v>302</v>
      </c>
      <c r="B303">
        <v>23526</v>
      </c>
      <c r="C303">
        <f t="shared" si="9"/>
        <v>25505.52</v>
      </c>
      <c r="D303">
        <f t="shared" si="10"/>
        <v>0.92238856529880586</v>
      </c>
    </row>
    <row r="304" spans="1:4">
      <c r="A304">
        <v>303</v>
      </c>
      <c r="B304">
        <v>23670</v>
      </c>
      <c r="C304">
        <f t="shared" si="9"/>
        <v>25522.22</v>
      </c>
      <c r="D304">
        <f t="shared" si="10"/>
        <v>0.92742715954960031</v>
      </c>
    </row>
    <row r="305" spans="1:4">
      <c r="A305">
        <v>304</v>
      </c>
      <c r="B305">
        <v>23989</v>
      </c>
      <c r="C305">
        <f t="shared" si="9"/>
        <v>25538.880000000001</v>
      </c>
      <c r="D305">
        <f t="shared" si="10"/>
        <v>0.93931292210151729</v>
      </c>
    </row>
    <row r="306" spans="1:4">
      <c r="A306">
        <v>305</v>
      </c>
      <c r="B306">
        <v>24224</v>
      </c>
      <c r="C306">
        <f t="shared" si="9"/>
        <v>25555.5</v>
      </c>
      <c r="D306">
        <f t="shared" si="10"/>
        <v>0.94789771282111479</v>
      </c>
    </row>
    <row r="307" spans="1:4">
      <c r="A307">
        <v>306</v>
      </c>
      <c r="B307">
        <v>24632</v>
      </c>
      <c r="C307">
        <f t="shared" si="9"/>
        <v>25572.080000000002</v>
      </c>
      <c r="D307">
        <f t="shared" si="10"/>
        <v>0.96323803147808074</v>
      </c>
    </row>
    <row r="308" spans="1:4">
      <c r="A308">
        <v>307</v>
      </c>
      <c r="B308">
        <v>25019</v>
      </c>
      <c r="C308">
        <f t="shared" si="9"/>
        <v>25588.62</v>
      </c>
      <c r="D308">
        <f t="shared" si="10"/>
        <v>0.97773932318350898</v>
      </c>
    </row>
    <row r="309" spans="1:4">
      <c r="A309">
        <v>308</v>
      </c>
      <c r="B309">
        <v>25160</v>
      </c>
      <c r="C309">
        <f t="shared" si="9"/>
        <v>25605.119999999999</v>
      </c>
      <c r="D309">
        <f t="shared" si="10"/>
        <v>0.98261597680463908</v>
      </c>
    </row>
    <row r="310" spans="1:4">
      <c r="A310">
        <v>309</v>
      </c>
      <c r="B310">
        <v>25005</v>
      </c>
      <c r="C310">
        <f t="shared" si="9"/>
        <v>25621.58</v>
      </c>
      <c r="D310">
        <f t="shared" si="10"/>
        <v>0.97593512968364937</v>
      </c>
    </row>
    <row r="311" spans="1:4">
      <c r="A311">
        <v>310</v>
      </c>
      <c r="B311">
        <v>24754</v>
      </c>
      <c r="C311">
        <f t="shared" si="9"/>
        <v>25638</v>
      </c>
      <c r="D311">
        <f t="shared" si="10"/>
        <v>0.96551993135189951</v>
      </c>
    </row>
    <row r="312" spans="1:4">
      <c r="A312">
        <v>311</v>
      </c>
      <c r="B312">
        <v>24409</v>
      </c>
      <c r="C312">
        <f t="shared" si="9"/>
        <v>25654.38</v>
      </c>
      <c r="D312">
        <f t="shared" si="10"/>
        <v>0.9514554629657781</v>
      </c>
    </row>
    <row r="313" spans="1:4">
      <c r="A313">
        <v>312</v>
      </c>
      <c r="B313">
        <v>23943</v>
      </c>
      <c r="C313">
        <f t="shared" si="9"/>
        <v>25670.720000000001</v>
      </c>
      <c r="D313">
        <f t="shared" si="10"/>
        <v>0.93269686241757144</v>
      </c>
    </row>
    <row r="314" spans="1:4">
      <c r="A314">
        <v>313</v>
      </c>
      <c r="B314">
        <v>23657</v>
      </c>
      <c r="C314">
        <f t="shared" si="9"/>
        <v>25687.02</v>
      </c>
      <c r="D314">
        <f t="shared" si="10"/>
        <v>0.92097098067428607</v>
      </c>
    </row>
    <row r="315" spans="1:4">
      <c r="A315">
        <v>314</v>
      </c>
      <c r="B315">
        <v>23739</v>
      </c>
      <c r="C315">
        <f t="shared" si="9"/>
        <v>25703.279999999999</v>
      </c>
      <c r="D315">
        <f t="shared" si="10"/>
        <v>0.9235786249848269</v>
      </c>
    </row>
    <row r="316" spans="1:4">
      <c r="A316">
        <v>315</v>
      </c>
      <c r="B316">
        <v>23754</v>
      </c>
      <c r="C316">
        <f t="shared" si="9"/>
        <v>25719.5</v>
      </c>
      <c r="D316">
        <f t="shared" si="10"/>
        <v>0.92357938529131589</v>
      </c>
    </row>
    <row r="317" spans="1:4">
      <c r="A317">
        <v>316</v>
      </c>
      <c r="B317">
        <v>24007</v>
      </c>
      <c r="C317">
        <f t="shared" si="9"/>
        <v>25735.68</v>
      </c>
      <c r="D317">
        <f t="shared" si="10"/>
        <v>0.93282944146026059</v>
      </c>
    </row>
    <row r="318" spans="1:4">
      <c r="A318">
        <v>317</v>
      </c>
      <c r="B318">
        <v>24449</v>
      </c>
      <c r="C318">
        <f t="shared" si="9"/>
        <v>25751.82</v>
      </c>
      <c r="D318">
        <f t="shared" si="10"/>
        <v>0.94940862432247508</v>
      </c>
    </row>
    <row r="319" spans="1:4">
      <c r="A319">
        <v>318</v>
      </c>
      <c r="B319">
        <v>24775</v>
      </c>
      <c r="C319">
        <f t="shared" si="9"/>
        <v>25767.919999999998</v>
      </c>
      <c r="D319">
        <f t="shared" si="10"/>
        <v>0.96146681610312368</v>
      </c>
    </row>
    <row r="320" spans="1:4">
      <c r="A320">
        <v>319</v>
      </c>
      <c r="B320">
        <v>25010</v>
      </c>
      <c r="C320">
        <f t="shared" si="9"/>
        <v>25783.98</v>
      </c>
      <c r="D320">
        <f t="shared" si="10"/>
        <v>0.96998213619464491</v>
      </c>
    </row>
    <row r="321" spans="1:4">
      <c r="A321">
        <v>320</v>
      </c>
      <c r="B321">
        <v>25077</v>
      </c>
      <c r="C321">
        <f t="shared" si="9"/>
        <v>25800</v>
      </c>
      <c r="D321">
        <f t="shared" si="10"/>
        <v>0.97197674418604652</v>
      </c>
    </row>
    <row r="322" spans="1:4">
      <c r="A322">
        <v>321</v>
      </c>
      <c r="B322">
        <v>25045</v>
      </c>
      <c r="C322">
        <f t="shared" ref="C322:C385" si="11">29000-10000*(A322-720)*(A322-720)/500000</f>
        <v>25815.98</v>
      </c>
      <c r="D322">
        <f t="shared" ref="D322:D385" si="12">B322/C322</f>
        <v>0.97013555170092325</v>
      </c>
    </row>
    <row r="323" spans="1:4">
      <c r="A323">
        <v>322</v>
      </c>
      <c r="B323">
        <v>25218</v>
      </c>
      <c r="C323">
        <f t="shared" si="11"/>
        <v>25831.919999999998</v>
      </c>
      <c r="D323">
        <f t="shared" si="12"/>
        <v>0.97623405461150392</v>
      </c>
    </row>
    <row r="324" spans="1:4">
      <c r="A324">
        <v>323</v>
      </c>
      <c r="B324">
        <v>25151</v>
      </c>
      <c r="C324">
        <f t="shared" si="11"/>
        <v>25847.82</v>
      </c>
      <c r="D324">
        <f t="shared" si="12"/>
        <v>0.97304144024525085</v>
      </c>
    </row>
    <row r="325" spans="1:4">
      <c r="A325">
        <v>324</v>
      </c>
      <c r="B325">
        <v>25128</v>
      </c>
      <c r="C325">
        <f t="shared" si="11"/>
        <v>25863.68</v>
      </c>
      <c r="D325">
        <f t="shared" si="12"/>
        <v>0.97155547857072155</v>
      </c>
    </row>
    <row r="326" spans="1:4">
      <c r="A326">
        <v>325</v>
      </c>
      <c r="B326">
        <v>25372</v>
      </c>
      <c r="C326">
        <f t="shared" si="11"/>
        <v>25879.5</v>
      </c>
      <c r="D326">
        <f t="shared" si="12"/>
        <v>0.9803898838849282</v>
      </c>
    </row>
    <row r="327" spans="1:4">
      <c r="A327">
        <v>326</v>
      </c>
      <c r="B327">
        <v>25399</v>
      </c>
      <c r="C327">
        <f t="shared" si="11"/>
        <v>25895.279999999999</v>
      </c>
      <c r="D327">
        <f t="shared" si="12"/>
        <v>0.98083511744225205</v>
      </c>
    </row>
    <row r="328" spans="1:4">
      <c r="A328">
        <v>327</v>
      </c>
      <c r="B328">
        <v>25362</v>
      </c>
      <c r="C328">
        <f t="shared" si="11"/>
        <v>25911.02</v>
      </c>
      <c r="D328">
        <f t="shared" si="12"/>
        <v>0.97881133201240245</v>
      </c>
    </row>
    <row r="329" spans="1:4">
      <c r="A329">
        <v>328</v>
      </c>
      <c r="B329">
        <v>25073</v>
      </c>
      <c r="C329">
        <f t="shared" si="11"/>
        <v>25926.720000000001</v>
      </c>
      <c r="D329">
        <f t="shared" si="12"/>
        <v>0.96707180854346397</v>
      </c>
    </row>
    <row r="330" spans="1:4">
      <c r="A330">
        <v>329</v>
      </c>
      <c r="B330">
        <v>24917</v>
      </c>
      <c r="C330">
        <f t="shared" si="11"/>
        <v>25942.38</v>
      </c>
      <c r="D330">
        <f t="shared" si="12"/>
        <v>0.96047471357678049</v>
      </c>
    </row>
    <row r="331" spans="1:4">
      <c r="A331">
        <v>330</v>
      </c>
      <c r="B331">
        <v>24641</v>
      </c>
      <c r="C331">
        <f t="shared" si="11"/>
        <v>25958</v>
      </c>
      <c r="D331">
        <f t="shared" si="12"/>
        <v>0.94926419600893752</v>
      </c>
    </row>
    <row r="332" spans="1:4">
      <c r="A332">
        <v>331</v>
      </c>
      <c r="B332">
        <v>24067</v>
      </c>
      <c r="C332">
        <f t="shared" si="11"/>
        <v>25973.58</v>
      </c>
      <c r="D332">
        <f t="shared" si="12"/>
        <v>0.92659540964318354</v>
      </c>
    </row>
    <row r="333" spans="1:4">
      <c r="A333">
        <v>332</v>
      </c>
      <c r="B333">
        <v>23289</v>
      </c>
      <c r="C333">
        <f t="shared" si="11"/>
        <v>25989.119999999999</v>
      </c>
      <c r="D333">
        <f t="shared" si="12"/>
        <v>0.89610575502364065</v>
      </c>
    </row>
    <row r="334" spans="1:4">
      <c r="A334">
        <v>333</v>
      </c>
      <c r="B334">
        <v>22616</v>
      </c>
      <c r="C334">
        <f t="shared" si="11"/>
        <v>26004.62</v>
      </c>
      <c r="D334">
        <f t="shared" si="12"/>
        <v>0.86969161633586656</v>
      </c>
    </row>
    <row r="335" spans="1:4">
      <c r="A335">
        <v>334</v>
      </c>
      <c r="B335">
        <v>22110</v>
      </c>
      <c r="C335">
        <f t="shared" si="11"/>
        <v>26020.080000000002</v>
      </c>
      <c r="D335">
        <f t="shared" si="12"/>
        <v>0.84972836363300952</v>
      </c>
    </row>
    <row r="336" spans="1:4">
      <c r="A336">
        <v>335</v>
      </c>
      <c r="B336">
        <v>21586</v>
      </c>
      <c r="C336">
        <f t="shared" si="11"/>
        <v>26035.5</v>
      </c>
      <c r="D336">
        <f t="shared" si="12"/>
        <v>0.8290987305794012</v>
      </c>
    </row>
    <row r="337" spans="1:4">
      <c r="A337">
        <v>336</v>
      </c>
      <c r="B337">
        <v>21329</v>
      </c>
      <c r="C337">
        <f t="shared" si="11"/>
        <v>26050.880000000001</v>
      </c>
      <c r="D337">
        <f t="shared" si="12"/>
        <v>0.81874393494576758</v>
      </c>
    </row>
    <row r="338" spans="1:4">
      <c r="A338">
        <v>337</v>
      </c>
      <c r="B338">
        <v>21271</v>
      </c>
      <c r="C338">
        <f t="shared" si="11"/>
        <v>26066.22</v>
      </c>
      <c r="D338">
        <f t="shared" si="12"/>
        <v>0.81603700114554389</v>
      </c>
    </row>
    <row r="339" spans="1:4">
      <c r="A339">
        <v>338</v>
      </c>
      <c r="B339">
        <v>21719</v>
      </c>
      <c r="C339">
        <f t="shared" si="11"/>
        <v>26081.52</v>
      </c>
      <c r="D339">
        <f t="shared" si="12"/>
        <v>0.8327352086841564</v>
      </c>
    </row>
    <row r="340" spans="1:4">
      <c r="A340">
        <v>339</v>
      </c>
      <c r="B340">
        <v>22838</v>
      </c>
      <c r="C340">
        <f t="shared" si="11"/>
        <v>26096.78</v>
      </c>
      <c r="D340">
        <f t="shared" si="12"/>
        <v>0.87512712296306294</v>
      </c>
    </row>
    <row r="341" spans="1:4">
      <c r="A341">
        <v>340</v>
      </c>
      <c r="B341">
        <v>23966</v>
      </c>
      <c r="C341">
        <f t="shared" si="11"/>
        <v>26112</v>
      </c>
      <c r="D341">
        <f t="shared" si="12"/>
        <v>0.91781556372549022</v>
      </c>
    </row>
    <row r="342" spans="1:4">
      <c r="A342">
        <v>341</v>
      </c>
      <c r="B342">
        <v>24529</v>
      </c>
      <c r="C342">
        <f t="shared" si="11"/>
        <v>26127.18</v>
      </c>
      <c r="D342">
        <f t="shared" si="12"/>
        <v>0.93883075019960061</v>
      </c>
    </row>
    <row r="343" spans="1:4">
      <c r="A343">
        <v>342</v>
      </c>
      <c r="B343">
        <v>24786</v>
      </c>
      <c r="C343">
        <f t="shared" si="11"/>
        <v>26142.32</v>
      </c>
      <c r="D343">
        <f t="shared" si="12"/>
        <v>0.94811784110974084</v>
      </c>
    </row>
    <row r="344" spans="1:4">
      <c r="A344">
        <v>343</v>
      </c>
      <c r="B344">
        <v>24482</v>
      </c>
      <c r="C344">
        <f t="shared" si="11"/>
        <v>26157.42</v>
      </c>
      <c r="D344">
        <f t="shared" si="12"/>
        <v>0.9359485759681192</v>
      </c>
    </row>
    <row r="345" spans="1:4">
      <c r="A345">
        <v>344</v>
      </c>
      <c r="B345">
        <v>24142</v>
      </c>
      <c r="C345">
        <f t="shared" si="11"/>
        <v>26172.48</v>
      </c>
      <c r="D345">
        <f t="shared" si="12"/>
        <v>0.92241927398549928</v>
      </c>
    </row>
    <row r="346" spans="1:4">
      <c r="A346">
        <v>345</v>
      </c>
      <c r="B346">
        <v>24255</v>
      </c>
      <c r="C346">
        <f t="shared" si="11"/>
        <v>26187.5</v>
      </c>
      <c r="D346">
        <f t="shared" si="12"/>
        <v>0.9262052505966587</v>
      </c>
    </row>
    <row r="347" spans="1:4">
      <c r="A347">
        <v>346</v>
      </c>
      <c r="B347">
        <v>24548</v>
      </c>
      <c r="C347">
        <f t="shared" si="11"/>
        <v>26202.48</v>
      </c>
      <c r="D347">
        <f t="shared" si="12"/>
        <v>0.93685788520781244</v>
      </c>
    </row>
    <row r="348" spans="1:4">
      <c r="A348">
        <v>347</v>
      </c>
      <c r="B348">
        <v>25160</v>
      </c>
      <c r="C348">
        <f t="shared" si="11"/>
        <v>26217.42</v>
      </c>
      <c r="D348">
        <f t="shared" si="12"/>
        <v>0.95966727465936774</v>
      </c>
    </row>
    <row r="349" spans="1:4">
      <c r="A349">
        <v>348</v>
      </c>
      <c r="B349">
        <v>25963</v>
      </c>
      <c r="C349">
        <f t="shared" si="11"/>
        <v>26232.32</v>
      </c>
      <c r="D349">
        <f t="shared" si="12"/>
        <v>0.98973327559285651</v>
      </c>
    </row>
    <row r="350" spans="1:4">
      <c r="A350">
        <v>349</v>
      </c>
      <c r="B350">
        <v>26368</v>
      </c>
      <c r="C350">
        <f t="shared" si="11"/>
        <v>26247.18</v>
      </c>
      <c r="D350">
        <f t="shared" si="12"/>
        <v>1.004603161177696</v>
      </c>
    </row>
    <row r="351" spans="1:4">
      <c r="A351">
        <v>350</v>
      </c>
      <c r="B351">
        <v>26698</v>
      </c>
      <c r="C351">
        <f t="shared" si="11"/>
        <v>26262</v>
      </c>
      <c r="D351">
        <f t="shared" si="12"/>
        <v>1.0166019343538193</v>
      </c>
    </row>
    <row r="352" spans="1:4">
      <c r="A352">
        <v>351</v>
      </c>
      <c r="B352">
        <v>26828</v>
      </c>
      <c r="C352">
        <f t="shared" si="11"/>
        <v>26276.78</v>
      </c>
      <c r="D352">
        <f t="shared" si="12"/>
        <v>1.0209774561418865</v>
      </c>
    </row>
    <row r="353" spans="1:4">
      <c r="A353">
        <v>352</v>
      </c>
      <c r="B353">
        <v>26722</v>
      </c>
      <c r="C353">
        <f t="shared" si="11"/>
        <v>26291.52</v>
      </c>
      <c r="D353">
        <f t="shared" si="12"/>
        <v>1.0163733401492192</v>
      </c>
    </row>
    <row r="354" spans="1:4">
      <c r="A354">
        <v>353</v>
      </c>
      <c r="B354">
        <v>26450</v>
      </c>
      <c r="C354">
        <f t="shared" si="11"/>
        <v>26306.22</v>
      </c>
      <c r="D354">
        <f t="shared" si="12"/>
        <v>1.0054656275207916</v>
      </c>
    </row>
    <row r="355" spans="1:4">
      <c r="A355">
        <v>354</v>
      </c>
      <c r="B355">
        <v>25876</v>
      </c>
      <c r="C355">
        <f t="shared" si="11"/>
        <v>26320.880000000001</v>
      </c>
      <c r="D355">
        <f t="shared" si="12"/>
        <v>0.98309782955585068</v>
      </c>
    </row>
    <row r="356" spans="1:4">
      <c r="A356">
        <v>355</v>
      </c>
      <c r="B356">
        <v>25781</v>
      </c>
      <c r="C356">
        <f t="shared" si="11"/>
        <v>26335.5</v>
      </c>
      <c r="D356">
        <f t="shared" si="12"/>
        <v>0.97894477036699512</v>
      </c>
    </row>
    <row r="357" spans="1:4">
      <c r="A357">
        <v>356</v>
      </c>
      <c r="B357">
        <v>25454</v>
      </c>
      <c r="C357">
        <f t="shared" si="11"/>
        <v>26350.080000000002</v>
      </c>
      <c r="D357">
        <f t="shared" si="12"/>
        <v>0.96599327212668795</v>
      </c>
    </row>
    <row r="358" spans="1:4">
      <c r="A358">
        <v>357</v>
      </c>
      <c r="B358">
        <v>25398</v>
      </c>
      <c r="C358">
        <f t="shared" si="11"/>
        <v>26364.62</v>
      </c>
      <c r="D358">
        <f t="shared" si="12"/>
        <v>0.96333647137717138</v>
      </c>
    </row>
    <row r="359" spans="1:4">
      <c r="A359">
        <v>358</v>
      </c>
      <c r="B359">
        <v>25282</v>
      </c>
      <c r="C359">
        <f t="shared" si="11"/>
        <v>26379.119999999999</v>
      </c>
      <c r="D359">
        <f t="shared" si="12"/>
        <v>0.95840952996157569</v>
      </c>
    </row>
    <row r="360" spans="1:4">
      <c r="A360">
        <v>359</v>
      </c>
      <c r="B360">
        <v>25611</v>
      </c>
      <c r="C360">
        <f t="shared" si="11"/>
        <v>26393.58</v>
      </c>
      <c r="D360">
        <f t="shared" si="12"/>
        <v>0.97034960774551982</v>
      </c>
    </row>
    <row r="361" spans="1:4">
      <c r="A361">
        <v>360</v>
      </c>
      <c r="B361">
        <v>25990</v>
      </c>
      <c r="C361">
        <f t="shared" si="11"/>
        <v>26408</v>
      </c>
      <c r="D361">
        <f t="shared" si="12"/>
        <v>0.98417146319297177</v>
      </c>
    </row>
    <row r="362" spans="1:4">
      <c r="A362">
        <v>361</v>
      </c>
      <c r="B362">
        <v>26844</v>
      </c>
      <c r="C362">
        <f t="shared" si="11"/>
        <v>26422.38</v>
      </c>
      <c r="D362">
        <f t="shared" si="12"/>
        <v>1.0159569274228892</v>
      </c>
    </row>
    <row r="363" spans="1:4">
      <c r="A363">
        <v>362</v>
      </c>
      <c r="B363">
        <v>27351</v>
      </c>
      <c r="C363">
        <f t="shared" si="11"/>
        <v>26436.720000000001</v>
      </c>
      <c r="D363">
        <f t="shared" si="12"/>
        <v>1.0345837153777018</v>
      </c>
    </row>
    <row r="364" spans="1:4">
      <c r="A364">
        <v>363</v>
      </c>
      <c r="B364">
        <v>27845</v>
      </c>
      <c r="C364">
        <f t="shared" si="11"/>
        <v>26451.02</v>
      </c>
      <c r="D364">
        <f t="shared" si="12"/>
        <v>1.0527004251631884</v>
      </c>
    </row>
    <row r="365" spans="1:4">
      <c r="A365">
        <v>364</v>
      </c>
      <c r="B365">
        <v>27328</v>
      </c>
      <c r="C365">
        <f t="shared" si="11"/>
        <v>26465.279999999999</v>
      </c>
      <c r="D365">
        <f t="shared" si="12"/>
        <v>1.0325981814664345</v>
      </c>
    </row>
    <row r="366" spans="1:4">
      <c r="A366">
        <v>365</v>
      </c>
      <c r="B366">
        <v>26955</v>
      </c>
      <c r="C366">
        <f t="shared" si="11"/>
        <v>26479.5</v>
      </c>
      <c r="D366">
        <f t="shared" si="12"/>
        <v>1.0179572877131366</v>
      </c>
    </row>
    <row r="367" spans="1:4">
      <c r="A367">
        <v>366</v>
      </c>
      <c r="B367">
        <v>26187</v>
      </c>
      <c r="C367">
        <f t="shared" si="11"/>
        <v>26493.68</v>
      </c>
      <c r="D367">
        <f t="shared" si="12"/>
        <v>0.98842440914210483</v>
      </c>
    </row>
    <row r="368" spans="1:4">
      <c r="A368">
        <v>367</v>
      </c>
      <c r="B368">
        <v>25420</v>
      </c>
      <c r="C368">
        <f t="shared" si="11"/>
        <v>26507.82</v>
      </c>
      <c r="D368">
        <f t="shared" si="12"/>
        <v>0.95896229867261817</v>
      </c>
    </row>
    <row r="369" spans="1:4">
      <c r="A369">
        <v>368</v>
      </c>
      <c r="B369">
        <v>25057</v>
      </c>
      <c r="C369">
        <f t="shared" si="11"/>
        <v>26521.919999999998</v>
      </c>
      <c r="D369">
        <f t="shared" si="12"/>
        <v>0.94476568815530704</v>
      </c>
    </row>
    <row r="370" spans="1:4">
      <c r="A370">
        <v>369</v>
      </c>
      <c r="B370">
        <v>25283</v>
      </c>
      <c r="C370">
        <f t="shared" si="11"/>
        <v>26535.98</v>
      </c>
      <c r="D370">
        <f t="shared" si="12"/>
        <v>0.95278184562997115</v>
      </c>
    </row>
    <row r="371" spans="1:4">
      <c r="A371">
        <v>370</v>
      </c>
      <c r="B371">
        <v>25563</v>
      </c>
      <c r="C371">
        <f t="shared" si="11"/>
        <v>26550</v>
      </c>
      <c r="D371">
        <f t="shared" si="12"/>
        <v>0.96282485875706214</v>
      </c>
    </row>
    <row r="372" spans="1:4">
      <c r="A372">
        <v>371</v>
      </c>
      <c r="B372">
        <v>25729</v>
      </c>
      <c r="C372">
        <f t="shared" si="11"/>
        <v>26563.98</v>
      </c>
      <c r="D372">
        <f t="shared" si="12"/>
        <v>0.96856721018461844</v>
      </c>
    </row>
    <row r="373" spans="1:4">
      <c r="A373">
        <v>372</v>
      </c>
      <c r="B373">
        <v>25773</v>
      </c>
      <c r="C373">
        <f t="shared" si="11"/>
        <v>26577.919999999998</v>
      </c>
      <c r="D373">
        <f t="shared" si="12"/>
        <v>0.96971471055673286</v>
      </c>
    </row>
    <row r="374" spans="1:4">
      <c r="A374">
        <v>373</v>
      </c>
      <c r="B374">
        <v>25511</v>
      </c>
      <c r="C374">
        <f t="shared" si="11"/>
        <v>26591.82</v>
      </c>
      <c r="D374">
        <f t="shared" si="12"/>
        <v>0.95935517012374483</v>
      </c>
    </row>
    <row r="375" spans="1:4">
      <c r="A375">
        <v>374</v>
      </c>
      <c r="B375">
        <v>24653</v>
      </c>
      <c r="C375">
        <f t="shared" si="11"/>
        <v>26605.68</v>
      </c>
      <c r="D375">
        <f t="shared" si="12"/>
        <v>0.92660664940719428</v>
      </c>
    </row>
    <row r="376" spans="1:4">
      <c r="A376">
        <v>375</v>
      </c>
      <c r="B376">
        <v>23580</v>
      </c>
      <c r="C376">
        <f t="shared" si="11"/>
        <v>26619.5</v>
      </c>
      <c r="D376">
        <f t="shared" si="12"/>
        <v>0.88581678844456135</v>
      </c>
    </row>
    <row r="377" spans="1:4">
      <c r="A377">
        <v>376</v>
      </c>
      <c r="B377">
        <v>22193</v>
      </c>
      <c r="C377">
        <f t="shared" si="11"/>
        <v>26633.279999999999</v>
      </c>
      <c r="D377">
        <f t="shared" si="12"/>
        <v>0.83328076752093627</v>
      </c>
    </row>
    <row r="378" spans="1:4">
      <c r="A378">
        <v>377</v>
      </c>
      <c r="B378">
        <v>20907</v>
      </c>
      <c r="C378">
        <f t="shared" si="11"/>
        <v>26647.02</v>
      </c>
      <c r="D378">
        <f t="shared" si="12"/>
        <v>0.7845905470855653</v>
      </c>
    </row>
    <row r="379" spans="1:4">
      <c r="A379">
        <v>378</v>
      </c>
      <c r="B379">
        <v>19829</v>
      </c>
      <c r="C379">
        <f t="shared" si="11"/>
        <v>26660.720000000001</v>
      </c>
      <c r="D379">
        <f t="shared" si="12"/>
        <v>0.74375335699861067</v>
      </c>
    </row>
    <row r="380" spans="1:4">
      <c r="A380">
        <v>379</v>
      </c>
      <c r="B380">
        <v>19357</v>
      </c>
      <c r="C380">
        <f t="shared" si="11"/>
        <v>26674.38</v>
      </c>
      <c r="D380">
        <f t="shared" si="12"/>
        <v>0.72567759775484941</v>
      </c>
    </row>
    <row r="381" spans="1:4">
      <c r="A381">
        <v>380</v>
      </c>
      <c r="B381">
        <v>19579</v>
      </c>
      <c r="C381">
        <f t="shared" si="11"/>
        <v>26688</v>
      </c>
      <c r="D381">
        <f t="shared" si="12"/>
        <v>0.73362559952038364</v>
      </c>
    </row>
    <row r="382" spans="1:4">
      <c r="A382">
        <v>381</v>
      </c>
      <c r="B382">
        <v>20336</v>
      </c>
      <c r="C382">
        <f t="shared" si="11"/>
        <v>26701.58</v>
      </c>
      <c r="D382">
        <f t="shared" si="12"/>
        <v>0.76160287144056638</v>
      </c>
    </row>
    <row r="383" spans="1:4">
      <c r="A383">
        <v>382</v>
      </c>
      <c r="B383">
        <v>21419</v>
      </c>
      <c r="C383">
        <f t="shared" si="11"/>
        <v>26715.119999999999</v>
      </c>
      <c r="D383">
        <f t="shared" si="12"/>
        <v>0.80175570987515687</v>
      </c>
    </row>
    <row r="384" spans="1:4">
      <c r="A384">
        <v>383</v>
      </c>
      <c r="B384">
        <v>22527</v>
      </c>
      <c r="C384">
        <f t="shared" si="11"/>
        <v>26728.62</v>
      </c>
      <c r="D384">
        <f t="shared" si="12"/>
        <v>0.84280445455096453</v>
      </c>
    </row>
    <row r="385" spans="1:4">
      <c r="A385">
        <v>384</v>
      </c>
      <c r="B385">
        <v>23519</v>
      </c>
      <c r="C385">
        <f t="shared" si="11"/>
        <v>26742.080000000002</v>
      </c>
      <c r="D385">
        <f t="shared" si="12"/>
        <v>0.87947534372793734</v>
      </c>
    </row>
    <row r="386" spans="1:4">
      <c r="A386">
        <v>385</v>
      </c>
      <c r="B386">
        <v>24398</v>
      </c>
      <c r="C386">
        <f t="shared" ref="C386:C449" si="13">29000-10000*(A386-720)*(A386-720)/500000</f>
        <v>26755.5</v>
      </c>
      <c r="D386">
        <f t="shared" ref="D386:D449" si="14">B386/C386</f>
        <v>0.91188727551344584</v>
      </c>
    </row>
    <row r="387" spans="1:4">
      <c r="A387">
        <v>386</v>
      </c>
      <c r="B387">
        <v>25221</v>
      </c>
      <c r="C387">
        <f t="shared" si="13"/>
        <v>26768.880000000001</v>
      </c>
      <c r="D387">
        <f t="shared" si="14"/>
        <v>0.94217613885975049</v>
      </c>
    </row>
    <row r="388" spans="1:4">
      <c r="A388">
        <v>387</v>
      </c>
      <c r="B388">
        <v>25721</v>
      </c>
      <c r="C388">
        <f t="shared" si="13"/>
        <v>26782.22</v>
      </c>
      <c r="D388">
        <f t="shared" si="14"/>
        <v>0.96037595091071615</v>
      </c>
    </row>
    <row r="389" spans="1:4">
      <c r="A389">
        <v>388</v>
      </c>
      <c r="B389">
        <v>25865</v>
      </c>
      <c r="C389">
        <f t="shared" si="13"/>
        <v>26795.52</v>
      </c>
      <c r="D389">
        <f t="shared" si="14"/>
        <v>0.96527329941721596</v>
      </c>
    </row>
    <row r="390" spans="1:4">
      <c r="A390">
        <v>389</v>
      </c>
      <c r="B390">
        <v>25890</v>
      </c>
      <c r="C390">
        <f t="shared" si="13"/>
        <v>26808.78</v>
      </c>
      <c r="D390">
        <f t="shared" si="14"/>
        <v>0.96572839196710936</v>
      </c>
    </row>
    <row r="391" spans="1:4">
      <c r="A391">
        <v>390</v>
      </c>
      <c r="B391">
        <v>26079</v>
      </c>
      <c r="C391">
        <f t="shared" si="13"/>
        <v>26822</v>
      </c>
      <c r="D391">
        <f t="shared" si="14"/>
        <v>0.97229885914547765</v>
      </c>
    </row>
    <row r="392" spans="1:4">
      <c r="A392">
        <v>391</v>
      </c>
      <c r="B392">
        <v>26299</v>
      </c>
      <c r="C392">
        <f t="shared" si="13"/>
        <v>26835.18</v>
      </c>
      <c r="D392">
        <f t="shared" si="14"/>
        <v>0.98001951170068546</v>
      </c>
    </row>
    <row r="393" spans="1:4">
      <c r="A393">
        <v>392</v>
      </c>
      <c r="B393">
        <v>26489</v>
      </c>
      <c r="C393">
        <f t="shared" si="13"/>
        <v>26848.32</v>
      </c>
      <c r="D393">
        <f t="shared" si="14"/>
        <v>0.98661666726260711</v>
      </c>
    </row>
    <row r="394" spans="1:4">
      <c r="A394">
        <v>393</v>
      </c>
      <c r="B394">
        <v>26576</v>
      </c>
      <c r="C394">
        <f t="shared" si="13"/>
        <v>26861.42</v>
      </c>
      <c r="D394">
        <f t="shared" si="14"/>
        <v>0.98937435176546895</v>
      </c>
    </row>
    <row r="395" spans="1:4">
      <c r="A395">
        <v>394</v>
      </c>
      <c r="B395">
        <v>26128</v>
      </c>
      <c r="C395">
        <f t="shared" si="13"/>
        <v>26874.48</v>
      </c>
      <c r="D395">
        <f t="shared" si="14"/>
        <v>0.97222346255629877</v>
      </c>
    </row>
    <row r="396" spans="1:4">
      <c r="A396">
        <v>395</v>
      </c>
      <c r="B396">
        <v>25726</v>
      </c>
      <c r="C396">
        <f t="shared" si="13"/>
        <v>26887.5</v>
      </c>
      <c r="D396">
        <f t="shared" si="14"/>
        <v>0.95680148768014872</v>
      </c>
    </row>
    <row r="397" spans="1:4">
      <c r="A397">
        <v>396</v>
      </c>
      <c r="B397">
        <v>25510</v>
      </c>
      <c r="C397">
        <f t="shared" si="13"/>
        <v>26900.48</v>
      </c>
      <c r="D397">
        <f t="shared" si="14"/>
        <v>0.94831021602588506</v>
      </c>
    </row>
    <row r="398" spans="1:4">
      <c r="A398">
        <v>397</v>
      </c>
      <c r="B398">
        <v>25996</v>
      </c>
      <c r="C398">
        <f t="shared" si="13"/>
        <v>26913.42</v>
      </c>
      <c r="D398">
        <f t="shared" si="14"/>
        <v>0.96591217318348999</v>
      </c>
    </row>
    <row r="399" spans="1:4">
      <c r="A399">
        <v>398</v>
      </c>
      <c r="B399">
        <v>26648</v>
      </c>
      <c r="C399">
        <f t="shared" si="13"/>
        <v>26926.32</v>
      </c>
      <c r="D399">
        <f t="shared" si="14"/>
        <v>0.98966364508778026</v>
      </c>
    </row>
    <row r="400" spans="1:4">
      <c r="A400">
        <v>399</v>
      </c>
      <c r="B400">
        <v>26996</v>
      </c>
      <c r="C400">
        <f t="shared" si="13"/>
        <v>26939.18</v>
      </c>
      <c r="D400">
        <f t="shared" si="14"/>
        <v>1.0021091956028356</v>
      </c>
    </row>
    <row r="401" spans="1:4">
      <c r="A401">
        <v>400</v>
      </c>
      <c r="B401">
        <v>26941</v>
      </c>
      <c r="C401">
        <f t="shared" si="13"/>
        <v>26952</v>
      </c>
      <c r="D401">
        <f t="shared" si="14"/>
        <v>0.99959186702285541</v>
      </c>
    </row>
    <row r="402" spans="1:4">
      <c r="A402">
        <v>401</v>
      </c>
      <c r="B402">
        <v>26612</v>
      </c>
      <c r="C402">
        <f t="shared" si="13"/>
        <v>26964.78</v>
      </c>
      <c r="D402">
        <f t="shared" si="14"/>
        <v>0.9869170080378924</v>
      </c>
    </row>
    <row r="403" spans="1:4">
      <c r="A403">
        <v>402</v>
      </c>
      <c r="B403">
        <v>25946</v>
      </c>
      <c r="C403">
        <f t="shared" si="13"/>
        <v>26977.52</v>
      </c>
      <c r="D403">
        <f t="shared" si="14"/>
        <v>0.96176372031231927</v>
      </c>
    </row>
    <row r="404" spans="1:4">
      <c r="A404">
        <v>403</v>
      </c>
      <c r="B404">
        <v>25306</v>
      </c>
      <c r="C404">
        <f t="shared" si="13"/>
        <v>26990.22</v>
      </c>
      <c r="D404">
        <f t="shared" si="14"/>
        <v>0.93759887840854939</v>
      </c>
    </row>
    <row r="405" spans="1:4">
      <c r="A405">
        <v>404</v>
      </c>
      <c r="B405">
        <v>25148</v>
      </c>
      <c r="C405">
        <f t="shared" si="13"/>
        <v>27002.880000000001</v>
      </c>
      <c r="D405">
        <f t="shared" si="14"/>
        <v>0.93130806788016685</v>
      </c>
    </row>
    <row r="406" spans="1:4">
      <c r="A406">
        <v>405</v>
      </c>
      <c r="B406">
        <v>25267</v>
      </c>
      <c r="C406">
        <f t="shared" si="13"/>
        <v>27015.5</v>
      </c>
      <c r="D406">
        <f t="shared" si="14"/>
        <v>0.93527789602265365</v>
      </c>
    </row>
    <row r="407" spans="1:4">
      <c r="A407">
        <v>406</v>
      </c>
      <c r="B407">
        <v>25543</v>
      </c>
      <c r="C407">
        <f t="shared" si="13"/>
        <v>27028.080000000002</v>
      </c>
      <c r="D407">
        <f t="shared" si="14"/>
        <v>0.94505418068912028</v>
      </c>
    </row>
    <row r="408" spans="1:4">
      <c r="A408">
        <v>407</v>
      </c>
      <c r="B408">
        <v>26146</v>
      </c>
      <c r="C408">
        <f t="shared" si="13"/>
        <v>27040.62</v>
      </c>
      <c r="D408">
        <f t="shared" si="14"/>
        <v>0.96691569941813471</v>
      </c>
    </row>
    <row r="409" spans="1:4">
      <c r="A409">
        <v>408</v>
      </c>
      <c r="B409">
        <v>26906</v>
      </c>
      <c r="C409">
        <f t="shared" si="13"/>
        <v>27053.119999999999</v>
      </c>
      <c r="D409">
        <f t="shared" si="14"/>
        <v>0.99456181024591617</v>
      </c>
    </row>
    <row r="410" spans="1:4">
      <c r="A410">
        <v>409</v>
      </c>
      <c r="B410">
        <v>27146</v>
      </c>
      <c r="C410">
        <f t="shared" si="13"/>
        <v>27065.58</v>
      </c>
      <c r="D410">
        <f t="shared" si="14"/>
        <v>1.0029713015571806</v>
      </c>
    </row>
    <row r="411" spans="1:4">
      <c r="A411">
        <v>410</v>
      </c>
      <c r="B411">
        <v>26946</v>
      </c>
      <c r="C411">
        <f t="shared" si="13"/>
        <v>27078</v>
      </c>
      <c r="D411">
        <f t="shared" si="14"/>
        <v>0.99512519388433418</v>
      </c>
    </row>
    <row r="412" spans="1:4">
      <c r="A412">
        <v>411</v>
      </c>
      <c r="B412">
        <v>26865</v>
      </c>
      <c r="C412">
        <f t="shared" si="13"/>
        <v>27090.38</v>
      </c>
      <c r="D412">
        <f t="shared" si="14"/>
        <v>0.99168044154419388</v>
      </c>
    </row>
    <row r="413" spans="1:4">
      <c r="A413">
        <v>412</v>
      </c>
      <c r="B413">
        <v>26871</v>
      </c>
      <c r="C413">
        <f t="shared" si="13"/>
        <v>27102.720000000001</v>
      </c>
      <c r="D413">
        <f t="shared" si="14"/>
        <v>0.99145030461887218</v>
      </c>
    </row>
    <row r="414" spans="1:4">
      <c r="A414">
        <v>413</v>
      </c>
      <c r="B414">
        <v>26925</v>
      </c>
      <c r="C414">
        <f t="shared" si="13"/>
        <v>27115.02</v>
      </c>
      <c r="D414">
        <f t="shared" si="14"/>
        <v>0.99299207597855355</v>
      </c>
    </row>
    <row r="415" spans="1:4">
      <c r="A415">
        <v>414</v>
      </c>
      <c r="B415">
        <v>27094</v>
      </c>
      <c r="C415">
        <f t="shared" si="13"/>
        <v>27127.279999999999</v>
      </c>
      <c r="D415">
        <f t="shared" si="14"/>
        <v>0.99877319067742887</v>
      </c>
    </row>
    <row r="416" spans="1:4">
      <c r="A416">
        <v>415</v>
      </c>
      <c r="B416">
        <v>27251</v>
      </c>
      <c r="C416">
        <f t="shared" si="13"/>
        <v>27139.5</v>
      </c>
      <c r="D416">
        <f t="shared" si="14"/>
        <v>1.0041084028814091</v>
      </c>
    </row>
    <row r="417" spans="1:7">
      <c r="A417">
        <v>416</v>
      </c>
      <c r="B417">
        <v>27789</v>
      </c>
      <c r="C417">
        <f t="shared" si="13"/>
        <v>27151.68</v>
      </c>
      <c r="D417">
        <f t="shared" si="14"/>
        <v>1.0234725807021885</v>
      </c>
    </row>
    <row r="418" spans="1:7">
      <c r="A418">
        <v>417</v>
      </c>
      <c r="B418">
        <v>28802</v>
      </c>
      <c r="C418">
        <f t="shared" si="13"/>
        <v>27163.82</v>
      </c>
      <c r="D418">
        <f t="shared" si="14"/>
        <v>1.0603074236245122</v>
      </c>
    </row>
    <row r="419" spans="1:7">
      <c r="A419">
        <v>418</v>
      </c>
      <c r="B419">
        <v>29693</v>
      </c>
      <c r="C419">
        <f t="shared" si="13"/>
        <v>27175.919999999998</v>
      </c>
      <c r="D419">
        <f t="shared" si="14"/>
        <v>1.0926217033314789</v>
      </c>
    </row>
    <row r="420" spans="1:7">
      <c r="A420">
        <v>419</v>
      </c>
      <c r="B420">
        <v>30192</v>
      </c>
      <c r="C420">
        <f t="shared" si="13"/>
        <v>27187.98</v>
      </c>
      <c r="D420">
        <f t="shared" si="14"/>
        <v>1.1104907389221266</v>
      </c>
    </row>
    <row r="421" spans="1:7">
      <c r="A421">
        <v>420</v>
      </c>
      <c r="B421">
        <v>30343</v>
      </c>
      <c r="C421">
        <f t="shared" si="13"/>
        <v>27200</v>
      </c>
      <c r="D421">
        <f t="shared" si="14"/>
        <v>1.1155514705882352</v>
      </c>
    </row>
    <row r="422" spans="1:7">
      <c r="A422">
        <v>421</v>
      </c>
      <c r="B422">
        <v>29804</v>
      </c>
      <c r="C422">
        <f t="shared" si="13"/>
        <v>27211.98</v>
      </c>
      <c r="D422">
        <f t="shared" si="14"/>
        <v>1.0952528996419959</v>
      </c>
    </row>
    <row r="423" spans="1:7">
      <c r="A423">
        <v>422</v>
      </c>
      <c r="B423">
        <v>28535</v>
      </c>
      <c r="C423">
        <f t="shared" si="13"/>
        <v>27223.919999999998</v>
      </c>
      <c r="D423">
        <f t="shared" si="14"/>
        <v>1.0481591188925035</v>
      </c>
    </row>
    <row r="424" spans="1:7">
      <c r="A424">
        <v>423</v>
      </c>
      <c r="B424">
        <v>26783</v>
      </c>
      <c r="C424">
        <f t="shared" si="13"/>
        <v>27235.82</v>
      </c>
      <c r="D424">
        <f t="shared" si="14"/>
        <v>0.98337410072470743</v>
      </c>
    </row>
    <row r="425" spans="1:7">
      <c r="A425">
        <v>424</v>
      </c>
      <c r="B425">
        <v>24519</v>
      </c>
      <c r="C425">
        <f t="shared" si="13"/>
        <v>27247.68</v>
      </c>
      <c r="D425">
        <f t="shared" si="14"/>
        <v>0.89985642814360711</v>
      </c>
    </row>
    <row r="426" spans="1:7">
      <c r="A426">
        <v>425</v>
      </c>
      <c r="B426">
        <v>22093</v>
      </c>
      <c r="C426">
        <f t="shared" si="13"/>
        <v>27259.5</v>
      </c>
      <c r="D426">
        <f t="shared" si="14"/>
        <v>0.81046974449274567</v>
      </c>
    </row>
    <row r="427" spans="1:7">
      <c r="A427">
        <v>426</v>
      </c>
      <c r="B427">
        <v>20299</v>
      </c>
      <c r="C427">
        <f t="shared" si="13"/>
        <v>27271.279999999999</v>
      </c>
      <c r="D427">
        <f t="shared" si="14"/>
        <v>0.74433616610588138</v>
      </c>
    </row>
    <row r="428" spans="1:7" ht="17.25">
      <c r="A428">
        <v>427</v>
      </c>
      <c r="B428">
        <v>19623</v>
      </c>
      <c r="C428">
        <f t="shared" si="13"/>
        <v>27283.02</v>
      </c>
      <c r="D428">
        <f t="shared" si="14"/>
        <v>0.71923855936769465</v>
      </c>
      <c r="F428">
        <v>427</v>
      </c>
      <c r="G428" t="s">
        <v>67</v>
      </c>
    </row>
    <row r="429" spans="1:7">
      <c r="A429">
        <v>428</v>
      </c>
      <c r="B429">
        <v>20132</v>
      </c>
      <c r="C429">
        <f t="shared" si="13"/>
        <v>27294.720000000001</v>
      </c>
      <c r="D429">
        <f t="shared" si="14"/>
        <v>0.73757854999062089</v>
      </c>
    </row>
    <row r="430" spans="1:7">
      <c r="A430">
        <v>429</v>
      </c>
      <c r="B430">
        <v>20973</v>
      </c>
      <c r="C430">
        <f t="shared" si="13"/>
        <v>27306.38</v>
      </c>
      <c r="D430">
        <f t="shared" si="14"/>
        <v>0.76806226237238329</v>
      </c>
    </row>
    <row r="431" spans="1:7">
      <c r="A431">
        <v>430</v>
      </c>
      <c r="B431">
        <v>22183</v>
      </c>
      <c r="C431">
        <f t="shared" si="13"/>
        <v>27318</v>
      </c>
      <c r="D431">
        <f t="shared" si="14"/>
        <v>0.81202869902628305</v>
      </c>
    </row>
    <row r="432" spans="1:7">
      <c r="A432">
        <v>431</v>
      </c>
      <c r="B432">
        <v>23719</v>
      </c>
      <c r="C432">
        <f t="shared" si="13"/>
        <v>27329.58</v>
      </c>
      <c r="D432">
        <f t="shared" si="14"/>
        <v>0.86788746844993592</v>
      </c>
    </row>
    <row r="433" spans="1:7">
      <c r="A433">
        <v>432</v>
      </c>
      <c r="B433">
        <v>25282</v>
      </c>
      <c r="C433">
        <f t="shared" si="13"/>
        <v>27341.119999999999</v>
      </c>
      <c r="D433">
        <f t="shared" si="14"/>
        <v>0.92468779625706632</v>
      </c>
    </row>
    <row r="434" spans="1:7">
      <c r="A434">
        <v>433</v>
      </c>
      <c r="B434">
        <v>26472</v>
      </c>
      <c r="C434">
        <f t="shared" si="13"/>
        <v>27352.62</v>
      </c>
      <c r="D434">
        <f t="shared" si="14"/>
        <v>0.96780491228993792</v>
      </c>
    </row>
    <row r="435" spans="1:7">
      <c r="A435">
        <v>434</v>
      </c>
      <c r="B435">
        <v>27152</v>
      </c>
      <c r="C435">
        <f t="shared" si="13"/>
        <v>27364.080000000002</v>
      </c>
      <c r="D435">
        <f t="shared" si="14"/>
        <v>0.99224969375911776</v>
      </c>
    </row>
    <row r="436" spans="1:7">
      <c r="A436">
        <v>435</v>
      </c>
      <c r="B436">
        <v>27262</v>
      </c>
      <c r="C436">
        <f t="shared" si="13"/>
        <v>27375.5</v>
      </c>
      <c r="D436">
        <f t="shared" si="14"/>
        <v>0.99585395700535151</v>
      </c>
    </row>
    <row r="437" spans="1:7">
      <c r="A437">
        <v>436</v>
      </c>
      <c r="B437">
        <v>27068</v>
      </c>
      <c r="C437">
        <f t="shared" si="13"/>
        <v>27386.880000000001</v>
      </c>
      <c r="D437">
        <f t="shared" si="14"/>
        <v>0.98835646849878478</v>
      </c>
    </row>
    <row r="438" spans="1:7">
      <c r="A438">
        <v>437</v>
      </c>
      <c r="B438">
        <v>26674</v>
      </c>
      <c r="C438">
        <f t="shared" si="13"/>
        <v>27398.22</v>
      </c>
      <c r="D438">
        <f t="shared" si="14"/>
        <v>0.97356689595163481</v>
      </c>
    </row>
    <row r="439" spans="1:7">
      <c r="A439">
        <v>438</v>
      </c>
      <c r="B439">
        <v>25960</v>
      </c>
      <c r="C439">
        <f t="shared" si="13"/>
        <v>27409.52</v>
      </c>
      <c r="D439">
        <f t="shared" si="14"/>
        <v>0.94711618444978241</v>
      </c>
    </row>
    <row r="440" spans="1:7">
      <c r="A440">
        <v>439</v>
      </c>
      <c r="B440">
        <v>24806</v>
      </c>
      <c r="C440">
        <f t="shared" si="13"/>
        <v>27420.78</v>
      </c>
      <c r="D440">
        <f t="shared" si="14"/>
        <v>0.90464239164604365</v>
      </c>
    </row>
    <row r="441" spans="1:7">
      <c r="A441">
        <v>440</v>
      </c>
      <c r="B441">
        <v>23623</v>
      </c>
      <c r="C441">
        <f t="shared" si="13"/>
        <v>27432</v>
      </c>
      <c r="D441">
        <f t="shared" si="14"/>
        <v>0.86114756488772237</v>
      </c>
    </row>
    <row r="442" spans="1:7">
      <c r="A442">
        <v>441</v>
      </c>
      <c r="B442">
        <v>22282</v>
      </c>
      <c r="C442">
        <f t="shared" si="13"/>
        <v>27443.18</v>
      </c>
      <c r="D442">
        <f t="shared" si="14"/>
        <v>0.81193214488991439</v>
      </c>
    </row>
    <row r="443" spans="1:7" ht="17.25">
      <c r="A443">
        <v>442</v>
      </c>
      <c r="B443">
        <v>21540</v>
      </c>
      <c r="C443">
        <f t="shared" si="13"/>
        <v>27454.32</v>
      </c>
      <c r="D443">
        <f t="shared" si="14"/>
        <v>0.78457597929943268</v>
      </c>
      <c r="F443">
        <v>442.5</v>
      </c>
      <c r="G443" t="s">
        <v>68</v>
      </c>
    </row>
    <row r="444" spans="1:7">
      <c r="A444">
        <v>443</v>
      </c>
      <c r="B444">
        <v>21473</v>
      </c>
      <c r="C444">
        <f t="shared" si="13"/>
        <v>27465.42</v>
      </c>
      <c r="D444">
        <f t="shared" si="14"/>
        <v>0.78181946607770791</v>
      </c>
    </row>
    <row r="445" spans="1:7">
      <c r="A445">
        <v>444</v>
      </c>
      <c r="B445">
        <v>22497</v>
      </c>
      <c r="C445">
        <f t="shared" si="13"/>
        <v>27476.48</v>
      </c>
      <c r="D445">
        <f t="shared" si="14"/>
        <v>0.81877300149072951</v>
      </c>
    </row>
    <row r="446" spans="1:7">
      <c r="A446">
        <v>445</v>
      </c>
      <c r="B446">
        <v>23582</v>
      </c>
      <c r="C446">
        <f t="shared" si="13"/>
        <v>27487.5</v>
      </c>
      <c r="D446">
        <f t="shared" si="14"/>
        <v>0.85791723510686679</v>
      </c>
    </row>
    <row r="447" spans="1:7">
      <c r="A447">
        <v>446</v>
      </c>
      <c r="B447">
        <v>24720</v>
      </c>
      <c r="C447">
        <f t="shared" si="13"/>
        <v>27498.48</v>
      </c>
      <c r="D447">
        <f t="shared" si="14"/>
        <v>0.89895877881250164</v>
      </c>
    </row>
    <row r="448" spans="1:7">
      <c r="A448">
        <v>447</v>
      </c>
      <c r="B448">
        <v>25426</v>
      </c>
      <c r="C448">
        <f t="shared" si="13"/>
        <v>27509.42</v>
      </c>
      <c r="D448">
        <f t="shared" si="14"/>
        <v>0.92426521533351125</v>
      </c>
    </row>
    <row r="449" spans="1:4">
      <c r="A449">
        <v>448</v>
      </c>
      <c r="B449">
        <v>25856</v>
      </c>
      <c r="C449">
        <f t="shared" si="13"/>
        <v>27520.32</v>
      </c>
      <c r="D449">
        <f t="shared" si="14"/>
        <v>0.93952395902373231</v>
      </c>
    </row>
    <row r="450" spans="1:4">
      <c r="A450">
        <v>449</v>
      </c>
      <c r="B450">
        <v>26533</v>
      </c>
      <c r="C450">
        <f t="shared" ref="C450:C513" si="15">29000-10000*(A450-720)*(A450-720)/500000</f>
        <v>27531.18</v>
      </c>
      <c r="D450">
        <f t="shared" ref="D450:D513" si="16">B450/C450</f>
        <v>0.9637436535593461</v>
      </c>
    </row>
    <row r="451" spans="1:4">
      <c r="A451">
        <v>450</v>
      </c>
      <c r="B451">
        <v>27116</v>
      </c>
      <c r="C451">
        <f t="shared" si="15"/>
        <v>27542</v>
      </c>
      <c r="D451">
        <f t="shared" si="16"/>
        <v>0.98453271367366202</v>
      </c>
    </row>
    <row r="452" spans="1:4">
      <c r="A452">
        <v>451</v>
      </c>
      <c r="B452">
        <v>26837</v>
      </c>
      <c r="C452">
        <f t="shared" si="15"/>
        <v>27552.78</v>
      </c>
      <c r="D452">
        <f t="shared" si="16"/>
        <v>0.97402149619747991</v>
      </c>
    </row>
    <row r="453" spans="1:4">
      <c r="A453">
        <v>452</v>
      </c>
      <c r="B453">
        <v>25939</v>
      </c>
      <c r="C453">
        <f t="shared" si="15"/>
        <v>27563.52</v>
      </c>
      <c r="D453">
        <f t="shared" si="16"/>
        <v>0.9410626799479892</v>
      </c>
    </row>
    <row r="454" spans="1:4">
      <c r="A454">
        <v>453</v>
      </c>
      <c r="B454">
        <v>24970</v>
      </c>
      <c r="C454">
        <f t="shared" si="15"/>
        <v>27574.22</v>
      </c>
      <c r="D454">
        <f t="shared" si="16"/>
        <v>0.90555598671512738</v>
      </c>
    </row>
    <row r="455" spans="1:4">
      <c r="A455">
        <v>454</v>
      </c>
      <c r="B455">
        <v>24543</v>
      </c>
      <c r="C455">
        <f t="shared" si="15"/>
        <v>27584.880000000001</v>
      </c>
      <c r="D455">
        <f t="shared" si="16"/>
        <v>0.88972654584685518</v>
      </c>
    </row>
    <row r="456" spans="1:4">
      <c r="A456">
        <v>455</v>
      </c>
      <c r="B456">
        <v>24958</v>
      </c>
      <c r="C456">
        <f t="shared" si="15"/>
        <v>27595.5</v>
      </c>
      <c r="D456">
        <f t="shared" si="16"/>
        <v>0.90442282256164952</v>
      </c>
    </row>
    <row r="457" spans="1:4">
      <c r="A457">
        <v>456</v>
      </c>
      <c r="B457">
        <v>25987</v>
      </c>
      <c r="C457">
        <f t="shared" si="15"/>
        <v>27606.080000000002</v>
      </c>
      <c r="D457">
        <f t="shared" si="16"/>
        <v>0.94135060102702006</v>
      </c>
    </row>
    <row r="458" spans="1:4">
      <c r="A458">
        <v>457</v>
      </c>
      <c r="B458">
        <v>27034</v>
      </c>
      <c r="C458">
        <f t="shared" si="15"/>
        <v>27616.62</v>
      </c>
      <c r="D458">
        <f t="shared" si="16"/>
        <v>0.97890328360241052</v>
      </c>
    </row>
    <row r="459" spans="1:4">
      <c r="A459">
        <v>458</v>
      </c>
      <c r="B459">
        <v>27871</v>
      </c>
      <c r="C459">
        <f t="shared" si="15"/>
        <v>27627.119999999999</v>
      </c>
      <c r="D459">
        <f t="shared" si="16"/>
        <v>1.0088275578489543</v>
      </c>
    </row>
    <row r="460" spans="1:4">
      <c r="A460">
        <v>459</v>
      </c>
      <c r="B460">
        <v>28321</v>
      </c>
      <c r="C460">
        <f t="shared" si="15"/>
        <v>27637.58</v>
      </c>
      <c r="D460">
        <f t="shared" si="16"/>
        <v>1.0247279248038359</v>
      </c>
    </row>
    <row r="461" spans="1:4">
      <c r="A461">
        <v>460</v>
      </c>
      <c r="B461">
        <v>28488</v>
      </c>
      <c r="C461">
        <f t="shared" si="15"/>
        <v>27648</v>
      </c>
      <c r="D461">
        <f t="shared" si="16"/>
        <v>1.0303819444444444</v>
      </c>
    </row>
    <row r="462" spans="1:4">
      <c r="A462">
        <v>461</v>
      </c>
      <c r="B462">
        <v>28531</v>
      </c>
      <c r="C462">
        <f t="shared" si="15"/>
        <v>27658.38</v>
      </c>
      <c r="D462">
        <f t="shared" si="16"/>
        <v>1.0315499317024353</v>
      </c>
    </row>
    <row r="463" spans="1:4">
      <c r="A463">
        <v>462</v>
      </c>
      <c r="B463">
        <v>28333</v>
      </c>
      <c r="C463">
        <f t="shared" si="15"/>
        <v>27668.720000000001</v>
      </c>
      <c r="D463">
        <f t="shared" si="16"/>
        <v>1.0240083386582393</v>
      </c>
    </row>
    <row r="464" spans="1:4">
      <c r="A464">
        <v>463</v>
      </c>
      <c r="B464">
        <v>28231</v>
      </c>
      <c r="C464">
        <f t="shared" si="15"/>
        <v>27679.02</v>
      </c>
      <c r="D464">
        <f t="shared" si="16"/>
        <v>1.0199421800338306</v>
      </c>
    </row>
    <row r="465" spans="1:4">
      <c r="A465">
        <v>464</v>
      </c>
      <c r="B465">
        <v>27952</v>
      </c>
      <c r="C465">
        <f t="shared" si="15"/>
        <v>27689.279999999999</v>
      </c>
      <c r="D465">
        <f t="shared" si="16"/>
        <v>1.009488148482012</v>
      </c>
    </row>
    <row r="466" spans="1:4">
      <c r="A466">
        <v>465</v>
      </c>
      <c r="B466">
        <v>28191</v>
      </c>
      <c r="C466">
        <f t="shared" si="15"/>
        <v>27699.5</v>
      </c>
      <c r="D466">
        <f t="shared" si="16"/>
        <v>1.017744002599325</v>
      </c>
    </row>
    <row r="467" spans="1:4">
      <c r="A467">
        <v>466</v>
      </c>
      <c r="B467">
        <v>28712</v>
      </c>
      <c r="C467">
        <f t="shared" si="15"/>
        <v>27709.68</v>
      </c>
      <c r="D467">
        <f t="shared" si="16"/>
        <v>1.0361721968640563</v>
      </c>
    </row>
    <row r="468" spans="1:4">
      <c r="A468">
        <v>467</v>
      </c>
      <c r="B468">
        <v>29435</v>
      </c>
      <c r="C468">
        <f t="shared" si="15"/>
        <v>27719.82</v>
      </c>
      <c r="D468">
        <f t="shared" si="16"/>
        <v>1.061875582164675</v>
      </c>
    </row>
    <row r="469" spans="1:4">
      <c r="A469">
        <v>468</v>
      </c>
      <c r="B469">
        <v>30273</v>
      </c>
      <c r="C469">
        <f t="shared" si="15"/>
        <v>27729.919999999998</v>
      </c>
      <c r="D469">
        <f t="shared" si="16"/>
        <v>1.091708883401034</v>
      </c>
    </row>
    <row r="470" spans="1:4">
      <c r="A470">
        <v>469</v>
      </c>
      <c r="B470">
        <v>30485</v>
      </c>
      <c r="C470">
        <f t="shared" si="15"/>
        <v>27739.98</v>
      </c>
      <c r="D470">
        <f t="shared" si="16"/>
        <v>1.0989553705518174</v>
      </c>
    </row>
    <row r="471" spans="1:4">
      <c r="A471">
        <v>470</v>
      </c>
      <c r="B471">
        <v>30303</v>
      </c>
      <c r="C471">
        <f t="shared" si="15"/>
        <v>27750</v>
      </c>
      <c r="D471">
        <f t="shared" si="16"/>
        <v>1.0920000000000001</v>
      </c>
    </row>
    <row r="472" spans="1:4">
      <c r="A472">
        <v>471</v>
      </c>
      <c r="B472">
        <v>29916</v>
      </c>
      <c r="C472">
        <f t="shared" si="15"/>
        <v>27759.98</v>
      </c>
      <c r="D472">
        <f t="shared" si="16"/>
        <v>1.0776664824686473</v>
      </c>
    </row>
    <row r="473" spans="1:4">
      <c r="A473">
        <v>472</v>
      </c>
      <c r="B473">
        <v>29788</v>
      </c>
      <c r="C473">
        <f t="shared" si="15"/>
        <v>27769.919999999998</v>
      </c>
      <c r="D473">
        <f t="shared" si="16"/>
        <v>1.0726714372961823</v>
      </c>
    </row>
    <row r="474" spans="1:4">
      <c r="A474">
        <v>473</v>
      </c>
      <c r="B474">
        <v>29812</v>
      </c>
      <c r="C474">
        <f t="shared" si="15"/>
        <v>27779.82</v>
      </c>
      <c r="D474">
        <f t="shared" si="16"/>
        <v>1.0731531017839568</v>
      </c>
    </row>
    <row r="475" spans="1:4">
      <c r="A475">
        <v>474</v>
      </c>
      <c r="B475">
        <v>29982</v>
      </c>
      <c r="C475">
        <f t="shared" si="15"/>
        <v>27789.68</v>
      </c>
      <c r="D475">
        <f t="shared" si="16"/>
        <v>1.0788897173339167</v>
      </c>
    </row>
    <row r="476" spans="1:4">
      <c r="A476">
        <v>475</v>
      </c>
      <c r="B476">
        <v>29844</v>
      </c>
      <c r="C476">
        <f t="shared" si="15"/>
        <v>27799.5</v>
      </c>
      <c r="D476">
        <f t="shared" si="16"/>
        <v>1.0735444882102196</v>
      </c>
    </row>
    <row r="477" spans="1:4">
      <c r="A477">
        <v>476</v>
      </c>
      <c r="B477">
        <v>29443</v>
      </c>
      <c r="C477">
        <f t="shared" si="15"/>
        <v>27809.279999999999</v>
      </c>
      <c r="D477">
        <f t="shared" si="16"/>
        <v>1.0587472958667035</v>
      </c>
    </row>
    <row r="478" spans="1:4">
      <c r="A478">
        <v>477</v>
      </c>
      <c r="B478">
        <v>28860</v>
      </c>
      <c r="C478">
        <f t="shared" si="15"/>
        <v>27819.02</v>
      </c>
      <c r="D478">
        <f t="shared" si="16"/>
        <v>1.0374197221900698</v>
      </c>
    </row>
    <row r="479" spans="1:4">
      <c r="A479">
        <v>478</v>
      </c>
      <c r="B479">
        <v>28629</v>
      </c>
      <c r="C479">
        <f t="shared" si="15"/>
        <v>27828.720000000001</v>
      </c>
      <c r="D479">
        <f t="shared" si="16"/>
        <v>1.028757341336576</v>
      </c>
    </row>
    <row r="480" spans="1:4">
      <c r="A480">
        <v>479</v>
      </c>
      <c r="B480">
        <v>28241</v>
      </c>
      <c r="C480">
        <f t="shared" si="15"/>
        <v>27838.38</v>
      </c>
      <c r="D480">
        <f t="shared" si="16"/>
        <v>1.0144627668707733</v>
      </c>
    </row>
    <row r="481" spans="1:4">
      <c r="A481">
        <v>480</v>
      </c>
      <c r="B481">
        <v>27581</v>
      </c>
      <c r="C481">
        <f t="shared" si="15"/>
        <v>27848</v>
      </c>
      <c r="D481">
        <f t="shared" si="16"/>
        <v>0.99041223786268318</v>
      </c>
    </row>
    <row r="482" spans="1:4">
      <c r="A482">
        <v>481</v>
      </c>
      <c r="B482">
        <v>26933</v>
      </c>
      <c r="C482">
        <f t="shared" si="15"/>
        <v>27857.58</v>
      </c>
      <c r="D482">
        <f t="shared" si="16"/>
        <v>0.96681046953827288</v>
      </c>
    </row>
    <row r="483" spans="1:4">
      <c r="A483">
        <v>482</v>
      </c>
      <c r="B483">
        <v>26794</v>
      </c>
      <c r="C483">
        <f t="shared" si="15"/>
        <v>27867.119999999999</v>
      </c>
      <c r="D483">
        <f t="shared" si="16"/>
        <v>0.96149153554439792</v>
      </c>
    </row>
    <row r="484" spans="1:4">
      <c r="A484">
        <v>483</v>
      </c>
      <c r="B484">
        <v>27115</v>
      </c>
      <c r="C484">
        <f t="shared" si="15"/>
        <v>27876.62</v>
      </c>
      <c r="D484">
        <f t="shared" si="16"/>
        <v>0.97267889722642131</v>
      </c>
    </row>
    <row r="485" spans="1:4">
      <c r="A485">
        <v>484</v>
      </c>
      <c r="B485">
        <v>27666</v>
      </c>
      <c r="C485">
        <f t="shared" si="15"/>
        <v>27886.080000000002</v>
      </c>
      <c r="D485">
        <f t="shared" si="16"/>
        <v>0.9921078903883227</v>
      </c>
    </row>
    <row r="486" spans="1:4">
      <c r="A486">
        <v>485</v>
      </c>
      <c r="B486">
        <v>28448</v>
      </c>
      <c r="C486">
        <f t="shared" si="15"/>
        <v>27895.5</v>
      </c>
      <c r="D486">
        <f t="shared" si="16"/>
        <v>1.019806061909627</v>
      </c>
    </row>
    <row r="487" spans="1:4">
      <c r="A487">
        <v>486</v>
      </c>
      <c r="B487">
        <v>28407</v>
      </c>
      <c r="C487">
        <f t="shared" si="15"/>
        <v>27904.880000000001</v>
      </c>
      <c r="D487">
        <f t="shared" si="16"/>
        <v>1.0179939852814275</v>
      </c>
    </row>
    <row r="488" spans="1:4">
      <c r="A488">
        <v>487</v>
      </c>
      <c r="B488">
        <v>27966</v>
      </c>
      <c r="C488">
        <f t="shared" si="15"/>
        <v>27914.22</v>
      </c>
      <c r="D488">
        <f t="shared" si="16"/>
        <v>1.0018549685429146</v>
      </c>
    </row>
    <row r="489" spans="1:4">
      <c r="A489">
        <v>488</v>
      </c>
      <c r="B489">
        <v>27670</v>
      </c>
      <c r="C489">
        <f t="shared" si="15"/>
        <v>27923.52</v>
      </c>
      <c r="D489">
        <f t="shared" si="16"/>
        <v>0.99092091541467553</v>
      </c>
    </row>
    <row r="490" spans="1:4">
      <c r="A490">
        <v>489</v>
      </c>
      <c r="B490">
        <v>27490</v>
      </c>
      <c r="C490">
        <f t="shared" si="15"/>
        <v>27932.78</v>
      </c>
      <c r="D490">
        <f t="shared" si="16"/>
        <v>0.98414837334486582</v>
      </c>
    </row>
    <row r="491" spans="1:4">
      <c r="A491">
        <v>490</v>
      </c>
      <c r="B491">
        <v>27653</v>
      </c>
      <c r="C491">
        <f t="shared" si="15"/>
        <v>27942</v>
      </c>
      <c r="D491">
        <f t="shared" si="16"/>
        <v>0.98965714694724782</v>
      </c>
    </row>
    <row r="492" spans="1:4">
      <c r="A492">
        <v>491</v>
      </c>
      <c r="B492">
        <v>27865</v>
      </c>
      <c r="C492">
        <f t="shared" si="15"/>
        <v>27951.18</v>
      </c>
      <c r="D492">
        <f t="shared" si="16"/>
        <v>0.9969167670202117</v>
      </c>
    </row>
    <row r="493" spans="1:4">
      <c r="A493">
        <v>492</v>
      </c>
      <c r="B493">
        <v>28024</v>
      </c>
      <c r="C493">
        <f t="shared" si="15"/>
        <v>27960.32</v>
      </c>
      <c r="D493">
        <f t="shared" si="16"/>
        <v>1.0022775132759567</v>
      </c>
    </row>
    <row r="494" spans="1:4">
      <c r="A494">
        <v>493</v>
      </c>
      <c r="B494">
        <v>27433</v>
      </c>
      <c r="C494">
        <f t="shared" si="15"/>
        <v>27969.42</v>
      </c>
      <c r="D494">
        <f t="shared" si="16"/>
        <v>0.9808211968642897</v>
      </c>
    </row>
    <row r="495" spans="1:4">
      <c r="A495">
        <v>494</v>
      </c>
      <c r="B495">
        <v>26098</v>
      </c>
      <c r="C495">
        <f t="shared" si="15"/>
        <v>27978.48</v>
      </c>
      <c r="D495">
        <f t="shared" si="16"/>
        <v>0.93278834304079428</v>
      </c>
    </row>
    <row r="496" spans="1:4">
      <c r="A496">
        <v>495</v>
      </c>
      <c r="B496">
        <v>23917</v>
      </c>
      <c r="C496">
        <f t="shared" si="15"/>
        <v>27987.5</v>
      </c>
      <c r="D496">
        <f t="shared" si="16"/>
        <v>0.85456007146047341</v>
      </c>
    </row>
    <row r="497" spans="1:7">
      <c r="A497">
        <v>496</v>
      </c>
      <c r="B497">
        <v>22058</v>
      </c>
      <c r="C497">
        <f t="shared" si="15"/>
        <v>27996.48</v>
      </c>
      <c r="D497">
        <f t="shared" si="16"/>
        <v>0.7878847626558767</v>
      </c>
    </row>
    <row r="498" spans="1:7" ht="17.25">
      <c r="A498">
        <v>497</v>
      </c>
      <c r="B498">
        <v>21424</v>
      </c>
      <c r="C498">
        <f t="shared" si="15"/>
        <v>28005.42</v>
      </c>
      <c r="D498">
        <f t="shared" si="16"/>
        <v>0.76499477601121502</v>
      </c>
      <c r="F498">
        <v>497</v>
      </c>
      <c r="G498" t="s">
        <v>69</v>
      </c>
    </row>
    <row r="499" spans="1:7">
      <c r="A499">
        <v>498</v>
      </c>
      <c r="B499">
        <v>22291</v>
      </c>
      <c r="C499">
        <f t="shared" si="15"/>
        <v>28014.32</v>
      </c>
      <c r="D499">
        <f t="shared" si="16"/>
        <v>0.79570019904106182</v>
      </c>
    </row>
    <row r="500" spans="1:7">
      <c r="A500">
        <v>499</v>
      </c>
      <c r="B500">
        <v>24247</v>
      </c>
      <c r="C500">
        <f t="shared" si="15"/>
        <v>28023.18</v>
      </c>
      <c r="D500">
        <f t="shared" si="16"/>
        <v>0.86524798399039649</v>
      </c>
    </row>
    <row r="501" spans="1:7">
      <c r="A501">
        <v>500</v>
      </c>
      <c r="B501">
        <v>25669</v>
      </c>
      <c r="C501">
        <f t="shared" si="15"/>
        <v>28032</v>
      </c>
      <c r="D501">
        <f t="shared" si="16"/>
        <v>0.91570348173515981</v>
      </c>
    </row>
    <row r="502" spans="1:7">
      <c r="A502">
        <v>501</v>
      </c>
      <c r="B502">
        <v>26437</v>
      </c>
      <c r="C502">
        <f t="shared" si="15"/>
        <v>28040.78</v>
      </c>
      <c r="D502">
        <f t="shared" si="16"/>
        <v>0.94280544264460553</v>
      </c>
    </row>
    <row r="503" spans="1:7">
      <c r="A503">
        <v>502</v>
      </c>
      <c r="B503">
        <v>26691</v>
      </c>
      <c r="C503">
        <f t="shared" si="15"/>
        <v>28049.52</v>
      </c>
      <c r="D503">
        <f t="shared" si="16"/>
        <v>0.95156708563996817</v>
      </c>
    </row>
    <row r="504" spans="1:7">
      <c r="A504">
        <v>503</v>
      </c>
      <c r="B504">
        <v>26950</v>
      </c>
      <c r="C504">
        <f t="shared" si="15"/>
        <v>28058.22</v>
      </c>
      <c r="D504">
        <f t="shared" si="16"/>
        <v>0.96050284016591214</v>
      </c>
    </row>
    <row r="505" spans="1:7">
      <c r="A505">
        <v>504</v>
      </c>
      <c r="B505">
        <v>27802</v>
      </c>
      <c r="C505">
        <f t="shared" si="15"/>
        <v>28066.880000000001</v>
      </c>
      <c r="D505">
        <f t="shared" si="16"/>
        <v>0.99056254204243577</v>
      </c>
    </row>
    <row r="506" spans="1:7">
      <c r="A506">
        <v>505</v>
      </c>
      <c r="B506">
        <v>28620</v>
      </c>
      <c r="C506">
        <f t="shared" si="15"/>
        <v>28075.5</v>
      </c>
      <c r="D506">
        <f t="shared" si="16"/>
        <v>1.0193941336752685</v>
      </c>
    </row>
    <row r="507" spans="1:7">
      <c r="A507">
        <v>506</v>
      </c>
      <c r="B507">
        <v>29373</v>
      </c>
      <c r="C507">
        <f t="shared" si="15"/>
        <v>28084.080000000002</v>
      </c>
      <c r="D507">
        <f t="shared" si="16"/>
        <v>1.0458950408914944</v>
      </c>
    </row>
    <row r="508" spans="1:7">
      <c r="A508">
        <v>507</v>
      </c>
      <c r="B508">
        <v>29973</v>
      </c>
      <c r="C508">
        <f t="shared" si="15"/>
        <v>28092.62</v>
      </c>
      <c r="D508">
        <f t="shared" si="16"/>
        <v>1.0669350170970169</v>
      </c>
    </row>
    <row r="509" spans="1:7">
      <c r="A509">
        <v>508</v>
      </c>
      <c r="B509">
        <v>30366</v>
      </c>
      <c r="C509">
        <f t="shared" si="15"/>
        <v>28101.119999999999</v>
      </c>
      <c r="D509">
        <f t="shared" si="16"/>
        <v>1.0805974993167533</v>
      </c>
    </row>
    <row r="510" spans="1:7">
      <c r="A510">
        <v>509</v>
      </c>
      <c r="B510">
        <v>30272</v>
      </c>
      <c r="C510">
        <f t="shared" si="15"/>
        <v>28109.58</v>
      </c>
      <c r="D510">
        <f t="shared" si="16"/>
        <v>1.0769282216240867</v>
      </c>
    </row>
    <row r="511" spans="1:7">
      <c r="A511">
        <v>510</v>
      </c>
      <c r="B511">
        <v>30105</v>
      </c>
      <c r="C511">
        <f t="shared" si="15"/>
        <v>28118</v>
      </c>
      <c r="D511">
        <f t="shared" si="16"/>
        <v>1.0706664769898286</v>
      </c>
    </row>
    <row r="512" spans="1:7">
      <c r="A512">
        <v>511</v>
      </c>
      <c r="B512">
        <v>30035</v>
      </c>
      <c r="C512">
        <f t="shared" si="15"/>
        <v>28126.38</v>
      </c>
      <c r="D512">
        <f t="shared" si="16"/>
        <v>1.0678587148435028</v>
      </c>
    </row>
    <row r="513" spans="1:4">
      <c r="A513">
        <v>512</v>
      </c>
      <c r="B513">
        <v>30000</v>
      </c>
      <c r="C513">
        <f t="shared" si="15"/>
        <v>28134.720000000001</v>
      </c>
      <c r="D513">
        <f t="shared" si="16"/>
        <v>1.0662981540246357</v>
      </c>
    </row>
    <row r="514" spans="1:4">
      <c r="A514">
        <v>513</v>
      </c>
      <c r="B514">
        <v>30522</v>
      </c>
      <c r="C514">
        <f t="shared" ref="C514:C577" si="17">29000-10000*(A514-720)*(A514-720)/500000</f>
        <v>28143.02</v>
      </c>
      <c r="D514">
        <f t="shared" ref="D514:D577" si="18">B514/C514</f>
        <v>1.0845317950951958</v>
      </c>
    </row>
    <row r="515" spans="1:4">
      <c r="A515">
        <v>514</v>
      </c>
      <c r="B515">
        <v>30670</v>
      </c>
      <c r="C515">
        <f t="shared" si="17"/>
        <v>28151.279999999999</v>
      </c>
      <c r="D515">
        <f t="shared" si="18"/>
        <v>1.0894708872918035</v>
      </c>
    </row>
    <row r="516" spans="1:4">
      <c r="A516">
        <v>515</v>
      </c>
      <c r="B516">
        <v>31030</v>
      </c>
      <c r="C516">
        <f t="shared" si="17"/>
        <v>28159.5</v>
      </c>
      <c r="D516">
        <f t="shared" si="18"/>
        <v>1.1019371792823025</v>
      </c>
    </row>
    <row r="517" spans="1:4">
      <c r="A517">
        <v>516</v>
      </c>
      <c r="B517">
        <v>30673</v>
      </c>
      <c r="C517">
        <f t="shared" si="17"/>
        <v>28167.68</v>
      </c>
      <c r="D517">
        <f t="shared" si="18"/>
        <v>1.0889430723439062</v>
      </c>
    </row>
    <row r="518" spans="1:4">
      <c r="A518">
        <v>517</v>
      </c>
      <c r="B518">
        <v>29936</v>
      </c>
      <c r="C518">
        <f t="shared" si="17"/>
        <v>28175.82</v>
      </c>
      <c r="D518">
        <f t="shared" si="18"/>
        <v>1.0624712963100986</v>
      </c>
    </row>
    <row r="519" spans="1:4">
      <c r="A519">
        <v>518</v>
      </c>
      <c r="B519">
        <v>29415</v>
      </c>
      <c r="C519">
        <f t="shared" si="17"/>
        <v>28183.919999999998</v>
      </c>
      <c r="D519">
        <f t="shared" si="18"/>
        <v>1.0436802261715192</v>
      </c>
    </row>
    <row r="520" spans="1:4">
      <c r="A520">
        <v>519</v>
      </c>
      <c r="B520">
        <v>28981</v>
      </c>
      <c r="C520">
        <f t="shared" si="17"/>
        <v>28191.98</v>
      </c>
      <c r="D520">
        <f t="shared" si="18"/>
        <v>1.0279873921590468</v>
      </c>
    </row>
    <row r="521" spans="1:4">
      <c r="A521">
        <v>520</v>
      </c>
      <c r="B521">
        <v>29139</v>
      </c>
      <c r="C521">
        <f t="shared" si="17"/>
        <v>28200</v>
      </c>
      <c r="D521">
        <f t="shared" si="18"/>
        <v>1.0332978723404256</v>
      </c>
    </row>
    <row r="522" spans="1:4">
      <c r="A522">
        <v>521</v>
      </c>
      <c r="B522">
        <v>29412</v>
      </c>
      <c r="C522">
        <f t="shared" si="17"/>
        <v>28207.98</v>
      </c>
      <c r="D522">
        <f t="shared" si="18"/>
        <v>1.0426836661115046</v>
      </c>
    </row>
    <row r="523" spans="1:4">
      <c r="A523">
        <v>522</v>
      </c>
      <c r="B523">
        <v>29774</v>
      </c>
      <c r="C523">
        <f t="shared" si="17"/>
        <v>28215.919999999998</v>
      </c>
      <c r="D523">
        <f t="shared" si="18"/>
        <v>1.055219890047888</v>
      </c>
    </row>
    <row r="524" spans="1:4">
      <c r="A524">
        <v>523</v>
      </c>
      <c r="B524">
        <v>29982</v>
      </c>
      <c r="C524">
        <f t="shared" si="17"/>
        <v>28223.82</v>
      </c>
      <c r="D524">
        <f t="shared" si="18"/>
        <v>1.0622941898013805</v>
      </c>
    </row>
    <row r="525" spans="1:4">
      <c r="A525">
        <v>524</v>
      </c>
      <c r="B525">
        <v>30299</v>
      </c>
      <c r="C525">
        <f t="shared" si="17"/>
        <v>28231.68</v>
      </c>
      <c r="D525">
        <f t="shared" si="18"/>
        <v>1.0732269563837504</v>
      </c>
    </row>
    <row r="526" spans="1:4">
      <c r="A526">
        <v>525</v>
      </c>
      <c r="B526">
        <v>30781</v>
      </c>
      <c r="C526">
        <f t="shared" si="17"/>
        <v>28239.5</v>
      </c>
      <c r="D526">
        <f t="shared" si="18"/>
        <v>1.0899980523734485</v>
      </c>
    </row>
    <row r="527" spans="1:4">
      <c r="A527">
        <v>526</v>
      </c>
      <c r="B527">
        <v>31586</v>
      </c>
      <c r="C527">
        <f t="shared" si="17"/>
        <v>28247.279999999999</v>
      </c>
      <c r="D527">
        <f t="shared" si="18"/>
        <v>1.1181961590638108</v>
      </c>
    </row>
    <row r="528" spans="1:4">
      <c r="A528">
        <v>527</v>
      </c>
      <c r="B528">
        <v>31954</v>
      </c>
      <c r="C528">
        <f t="shared" si="17"/>
        <v>28255.02</v>
      </c>
      <c r="D528">
        <f t="shared" si="18"/>
        <v>1.1309140818162577</v>
      </c>
    </row>
    <row r="529" spans="1:4">
      <c r="A529">
        <v>528</v>
      </c>
      <c r="B529">
        <v>32008</v>
      </c>
      <c r="C529">
        <f t="shared" si="17"/>
        <v>28262.720000000001</v>
      </c>
      <c r="D529">
        <f t="shared" si="18"/>
        <v>1.1325166155274509</v>
      </c>
    </row>
    <row r="530" spans="1:4">
      <c r="A530">
        <v>529</v>
      </c>
      <c r="B530">
        <v>31412</v>
      </c>
      <c r="C530">
        <f t="shared" si="17"/>
        <v>28270.38</v>
      </c>
      <c r="D530">
        <f t="shared" si="18"/>
        <v>1.1111276183765482</v>
      </c>
    </row>
    <row r="531" spans="1:4">
      <c r="A531">
        <v>530</v>
      </c>
      <c r="B531">
        <v>30163</v>
      </c>
      <c r="C531">
        <f t="shared" si="17"/>
        <v>28278</v>
      </c>
      <c r="D531">
        <f t="shared" si="18"/>
        <v>1.0666595940306953</v>
      </c>
    </row>
    <row r="532" spans="1:4">
      <c r="A532">
        <v>531</v>
      </c>
      <c r="B532">
        <v>28705</v>
      </c>
      <c r="C532">
        <f t="shared" si="17"/>
        <v>28285.58</v>
      </c>
      <c r="D532">
        <f t="shared" si="18"/>
        <v>1.0148280501937736</v>
      </c>
    </row>
    <row r="533" spans="1:4">
      <c r="A533">
        <v>532</v>
      </c>
      <c r="B533">
        <v>27365</v>
      </c>
      <c r="C533">
        <f t="shared" si="17"/>
        <v>28293.119999999999</v>
      </c>
      <c r="D533">
        <f t="shared" si="18"/>
        <v>0.96719626538183134</v>
      </c>
    </row>
    <row r="534" spans="1:4">
      <c r="A534">
        <v>533</v>
      </c>
      <c r="B534">
        <v>26594</v>
      </c>
      <c r="C534">
        <f t="shared" si="17"/>
        <v>28300.62</v>
      </c>
      <c r="D534">
        <f t="shared" si="18"/>
        <v>0.93969672749218924</v>
      </c>
    </row>
    <row r="535" spans="1:4">
      <c r="A535">
        <v>534</v>
      </c>
      <c r="B535">
        <v>26348</v>
      </c>
      <c r="C535">
        <f t="shared" si="17"/>
        <v>28308.080000000002</v>
      </c>
      <c r="D535">
        <f t="shared" si="18"/>
        <v>0.93075899177902555</v>
      </c>
    </row>
    <row r="536" spans="1:4">
      <c r="A536">
        <v>535</v>
      </c>
      <c r="B536">
        <v>26452</v>
      </c>
      <c r="C536">
        <f t="shared" si="17"/>
        <v>28315.5</v>
      </c>
      <c r="D536">
        <f t="shared" si="18"/>
        <v>0.93418798891066734</v>
      </c>
    </row>
    <row r="537" spans="1:4">
      <c r="A537">
        <v>536</v>
      </c>
      <c r="B537">
        <v>26355</v>
      </c>
      <c r="C537">
        <f t="shared" si="17"/>
        <v>28322.880000000001</v>
      </c>
      <c r="D537">
        <f t="shared" si="18"/>
        <v>0.93051977764973048</v>
      </c>
    </row>
    <row r="538" spans="1:4">
      <c r="A538">
        <v>537</v>
      </c>
      <c r="B538">
        <v>26557</v>
      </c>
      <c r="C538">
        <f t="shared" si="17"/>
        <v>28330.22</v>
      </c>
      <c r="D538">
        <f t="shared" si="18"/>
        <v>0.93740888704711789</v>
      </c>
    </row>
    <row r="539" spans="1:4">
      <c r="A539">
        <v>538</v>
      </c>
      <c r="B539">
        <v>27122</v>
      </c>
      <c r="C539">
        <f t="shared" si="17"/>
        <v>28337.52</v>
      </c>
      <c r="D539">
        <f t="shared" si="18"/>
        <v>0.95710563239126079</v>
      </c>
    </row>
    <row r="540" spans="1:4">
      <c r="A540">
        <v>539</v>
      </c>
      <c r="B540">
        <v>28131</v>
      </c>
      <c r="C540">
        <f t="shared" si="17"/>
        <v>28344.78</v>
      </c>
      <c r="D540">
        <f t="shared" si="18"/>
        <v>0.99245787054970969</v>
      </c>
    </row>
    <row r="541" spans="1:4">
      <c r="A541">
        <v>540</v>
      </c>
      <c r="B541">
        <v>28754</v>
      </c>
      <c r="C541">
        <f t="shared" si="17"/>
        <v>28352</v>
      </c>
      <c r="D541">
        <f t="shared" si="18"/>
        <v>1.0141788939051919</v>
      </c>
    </row>
    <row r="542" spans="1:4">
      <c r="A542">
        <v>541</v>
      </c>
      <c r="B542">
        <v>28757</v>
      </c>
      <c r="C542">
        <f t="shared" si="17"/>
        <v>28359.18</v>
      </c>
      <c r="D542">
        <f t="shared" si="18"/>
        <v>1.0140279091285431</v>
      </c>
    </row>
    <row r="543" spans="1:4">
      <c r="A543">
        <v>542</v>
      </c>
      <c r="B543">
        <v>28567</v>
      </c>
      <c r="C543">
        <f t="shared" si="17"/>
        <v>28366.32</v>
      </c>
      <c r="D543">
        <f t="shared" si="18"/>
        <v>1.007074587045482</v>
      </c>
    </row>
    <row r="544" spans="1:4">
      <c r="A544">
        <v>543</v>
      </c>
      <c r="B544">
        <v>28536</v>
      </c>
      <c r="C544">
        <f t="shared" si="17"/>
        <v>28373.42</v>
      </c>
      <c r="D544">
        <f t="shared" si="18"/>
        <v>1.0057300106931064</v>
      </c>
    </row>
    <row r="545" spans="1:7">
      <c r="A545">
        <v>544</v>
      </c>
      <c r="B545">
        <v>28871</v>
      </c>
      <c r="C545">
        <f t="shared" si="17"/>
        <v>28380.48</v>
      </c>
      <c r="D545">
        <f t="shared" si="18"/>
        <v>1.0172837104939734</v>
      </c>
    </row>
    <row r="546" spans="1:7">
      <c r="A546">
        <v>545</v>
      </c>
      <c r="B546">
        <v>29141</v>
      </c>
      <c r="C546">
        <f t="shared" si="17"/>
        <v>28387.5</v>
      </c>
      <c r="D546">
        <f t="shared" si="18"/>
        <v>1.0265433729634523</v>
      </c>
    </row>
    <row r="547" spans="1:7">
      <c r="A547">
        <v>546</v>
      </c>
      <c r="B547">
        <v>29292</v>
      </c>
      <c r="C547">
        <f t="shared" si="17"/>
        <v>28394.48</v>
      </c>
      <c r="D547">
        <f t="shared" si="18"/>
        <v>1.0316089606148802</v>
      </c>
    </row>
    <row r="548" spans="1:7">
      <c r="A548">
        <v>547</v>
      </c>
      <c r="B548">
        <v>28518</v>
      </c>
      <c r="C548">
        <f t="shared" si="17"/>
        <v>28401.42</v>
      </c>
      <c r="D548">
        <f t="shared" si="18"/>
        <v>1.0041047243412478</v>
      </c>
    </row>
    <row r="549" spans="1:7">
      <c r="A549">
        <v>548</v>
      </c>
      <c r="B549">
        <v>27864</v>
      </c>
      <c r="C549">
        <f t="shared" si="17"/>
        <v>28408.32</v>
      </c>
      <c r="D549">
        <f t="shared" si="18"/>
        <v>0.9808394160583942</v>
      </c>
    </row>
    <row r="550" spans="1:7">
      <c r="A550">
        <v>549</v>
      </c>
      <c r="B550">
        <v>26896</v>
      </c>
      <c r="C550">
        <f t="shared" si="17"/>
        <v>28415.18</v>
      </c>
      <c r="D550">
        <f t="shared" si="18"/>
        <v>0.94653632319063263</v>
      </c>
    </row>
    <row r="551" spans="1:7">
      <c r="A551">
        <v>550</v>
      </c>
      <c r="B551">
        <v>26283</v>
      </c>
      <c r="C551">
        <f t="shared" si="17"/>
        <v>28422</v>
      </c>
      <c r="D551">
        <f t="shared" si="18"/>
        <v>0.92474139750897189</v>
      </c>
    </row>
    <row r="552" spans="1:7">
      <c r="A552">
        <v>551</v>
      </c>
      <c r="B552">
        <v>25834</v>
      </c>
      <c r="C552">
        <f t="shared" si="17"/>
        <v>28428.78</v>
      </c>
      <c r="D552">
        <f t="shared" si="18"/>
        <v>0.90872700129938744</v>
      </c>
    </row>
    <row r="553" spans="1:7">
      <c r="A553">
        <v>552</v>
      </c>
      <c r="B553">
        <v>24892</v>
      </c>
      <c r="C553">
        <f t="shared" si="17"/>
        <v>28435.52</v>
      </c>
      <c r="D553">
        <f t="shared" si="18"/>
        <v>0.87538402673838911</v>
      </c>
    </row>
    <row r="554" spans="1:7">
      <c r="A554">
        <v>553</v>
      </c>
      <c r="B554">
        <v>23492</v>
      </c>
      <c r="C554">
        <f t="shared" si="17"/>
        <v>28442.22</v>
      </c>
      <c r="D554">
        <f t="shared" si="18"/>
        <v>0.82595521727910126</v>
      </c>
    </row>
    <row r="555" spans="1:7">
      <c r="A555">
        <v>554</v>
      </c>
      <c r="B555">
        <v>21283</v>
      </c>
      <c r="C555">
        <f t="shared" si="17"/>
        <v>28448.880000000001</v>
      </c>
      <c r="D555">
        <f t="shared" si="18"/>
        <v>0.74811380975279163</v>
      </c>
    </row>
    <row r="556" spans="1:7" ht="17.25">
      <c r="A556">
        <v>555</v>
      </c>
      <c r="B556">
        <v>19955</v>
      </c>
      <c r="C556">
        <f t="shared" si="17"/>
        <v>28455.5</v>
      </c>
      <c r="D556">
        <f t="shared" si="18"/>
        <v>0.70127040466693613</v>
      </c>
      <c r="F556">
        <v>555.5</v>
      </c>
      <c r="G556" t="s">
        <v>70</v>
      </c>
    </row>
    <row r="557" spans="1:7">
      <c r="A557">
        <v>556</v>
      </c>
      <c r="B557">
        <v>19889</v>
      </c>
      <c r="C557">
        <f t="shared" si="17"/>
        <v>28462.080000000002</v>
      </c>
      <c r="D557">
        <f t="shared" si="18"/>
        <v>0.69878940681777291</v>
      </c>
    </row>
    <row r="558" spans="1:7">
      <c r="A558">
        <v>557</v>
      </c>
      <c r="B558">
        <v>21014</v>
      </c>
      <c r="C558">
        <f t="shared" si="17"/>
        <v>28468.62</v>
      </c>
      <c r="D558">
        <f t="shared" si="18"/>
        <v>0.73814607100730556</v>
      </c>
    </row>
    <row r="559" spans="1:7">
      <c r="A559">
        <v>558</v>
      </c>
      <c r="B559">
        <v>22517</v>
      </c>
      <c r="C559">
        <f t="shared" si="17"/>
        <v>28475.119999999999</v>
      </c>
      <c r="D559">
        <f t="shared" si="18"/>
        <v>0.79076049547815785</v>
      </c>
    </row>
    <row r="560" spans="1:7">
      <c r="A560">
        <v>559</v>
      </c>
      <c r="B560">
        <v>24280</v>
      </c>
      <c r="C560">
        <f t="shared" si="17"/>
        <v>28481.58</v>
      </c>
      <c r="D560">
        <f t="shared" si="18"/>
        <v>0.85248079636031426</v>
      </c>
    </row>
    <row r="561" spans="1:4">
      <c r="A561">
        <v>560</v>
      </c>
      <c r="B561">
        <v>25529</v>
      </c>
      <c r="C561">
        <f t="shared" si="17"/>
        <v>28488</v>
      </c>
      <c r="D561">
        <f t="shared" si="18"/>
        <v>0.89613170457736591</v>
      </c>
    </row>
    <row r="562" spans="1:4">
      <c r="A562">
        <v>561</v>
      </c>
      <c r="B562">
        <v>26255</v>
      </c>
      <c r="C562">
        <f t="shared" si="17"/>
        <v>28494.38</v>
      </c>
      <c r="D562">
        <f t="shared" si="18"/>
        <v>0.92140976571520417</v>
      </c>
    </row>
    <row r="563" spans="1:4">
      <c r="A563">
        <v>562</v>
      </c>
      <c r="B563">
        <v>26660</v>
      </c>
      <c r="C563">
        <f t="shared" si="17"/>
        <v>28500.720000000001</v>
      </c>
      <c r="D563">
        <f t="shared" si="18"/>
        <v>0.93541496495527132</v>
      </c>
    </row>
    <row r="564" spans="1:4">
      <c r="A564">
        <v>563</v>
      </c>
      <c r="B564">
        <v>26994</v>
      </c>
      <c r="C564">
        <f t="shared" si="17"/>
        <v>28507.02</v>
      </c>
      <c r="D564">
        <f t="shared" si="18"/>
        <v>0.9469246522435526</v>
      </c>
    </row>
    <row r="565" spans="1:4">
      <c r="A565">
        <v>564</v>
      </c>
      <c r="B565">
        <v>27587</v>
      </c>
      <c r="C565">
        <f t="shared" si="17"/>
        <v>28513.279999999999</v>
      </c>
      <c r="D565">
        <f t="shared" si="18"/>
        <v>0.96751408466511046</v>
      </c>
    </row>
    <row r="566" spans="1:4">
      <c r="A566">
        <v>565</v>
      </c>
      <c r="B566">
        <v>27920</v>
      </c>
      <c r="C566">
        <f t="shared" si="17"/>
        <v>28519.5</v>
      </c>
      <c r="D566">
        <f t="shared" si="18"/>
        <v>0.97897929486842339</v>
      </c>
    </row>
    <row r="567" spans="1:4">
      <c r="A567">
        <v>566</v>
      </c>
      <c r="B567">
        <v>28298</v>
      </c>
      <c r="C567">
        <f t="shared" si="17"/>
        <v>28525.68</v>
      </c>
      <c r="D567">
        <f t="shared" si="18"/>
        <v>0.99201841989393413</v>
      </c>
    </row>
    <row r="568" spans="1:4">
      <c r="A568">
        <v>567</v>
      </c>
      <c r="B568">
        <v>28501</v>
      </c>
      <c r="C568">
        <f t="shared" si="17"/>
        <v>28531.82</v>
      </c>
      <c r="D568">
        <f t="shared" si="18"/>
        <v>0.99891980252223656</v>
      </c>
    </row>
    <row r="569" spans="1:4">
      <c r="A569">
        <v>568</v>
      </c>
      <c r="B569">
        <v>28232</v>
      </c>
      <c r="C569">
        <f t="shared" si="17"/>
        <v>28537.919999999998</v>
      </c>
      <c r="D569">
        <f t="shared" si="18"/>
        <v>0.98928022785122394</v>
      </c>
    </row>
    <row r="570" spans="1:4">
      <c r="A570">
        <v>569</v>
      </c>
      <c r="B570">
        <v>27583</v>
      </c>
      <c r="C570">
        <f t="shared" si="17"/>
        <v>28543.98</v>
      </c>
      <c r="D570">
        <f t="shared" si="18"/>
        <v>0.96633335645554685</v>
      </c>
    </row>
    <row r="571" spans="1:4">
      <c r="A571">
        <v>570</v>
      </c>
      <c r="B571">
        <v>26869</v>
      </c>
      <c r="C571">
        <f t="shared" si="17"/>
        <v>28550</v>
      </c>
      <c r="D571">
        <f t="shared" si="18"/>
        <v>0.94112084063047285</v>
      </c>
    </row>
    <row r="572" spans="1:4">
      <c r="A572">
        <v>571</v>
      </c>
      <c r="B572">
        <v>26530</v>
      </c>
      <c r="C572">
        <f t="shared" si="17"/>
        <v>28555.98</v>
      </c>
      <c r="D572">
        <f t="shared" si="18"/>
        <v>0.92905233859948078</v>
      </c>
    </row>
    <row r="573" spans="1:4">
      <c r="A573">
        <v>572</v>
      </c>
      <c r="B573">
        <v>26784</v>
      </c>
      <c r="C573">
        <f t="shared" si="17"/>
        <v>28561.919999999998</v>
      </c>
      <c r="D573">
        <f t="shared" si="18"/>
        <v>0.93775208389351983</v>
      </c>
    </row>
    <row r="574" spans="1:4">
      <c r="A574">
        <v>573</v>
      </c>
      <c r="B574">
        <v>26913</v>
      </c>
      <c r="C574">
        <f t="shared" si="17"/>
        <v>28567.82</v>
      </c>
      <c r="D574">
        <f t="shared" si="18"/>
        <v>0.94207398394417219</v>
      </c>
    </row>
    <row r="575" spans="1:4">
      <c r="A575">
        <v>574</v>
      </c>
      <c r="B575">
        <v>26961</v>
      </c>
      <c r="C575">
        <f t="shared" si="17"/>
        <v>28573.68</v>
      </c>
      <c r="D575">
        <f t="shared" si="18"/>
        <v>0.94356064742098322</v>
      </c>
    </row>
    <row r="576" spans="1:4">
      <c r="A576">
        <v>575</v>
      </c>
      <c r="B576">
        <v>27304</v>
      </c>
      <c r="C576">
        <f t="shared" si="17"/>
        <v>28579.5</v>
      </c>
      <c r="D576">
        <f t="shared" si="18"/>
        <v>0.95537010794450572</v>
      </c>
    </row>
    <row r="577" spans="1:7">
      <c r="A577">
        <v>576</v>
      </c>
      <c r="B577">
        <v>27550</v>
      </c>
      <c r="C577">
        <f t="shared" si="17"/>
        <v>28585.279999999999</v>
      </c>
      <c r="D577">
        <f t="shared" si="18"/>
        <v>0.96378275811886405</v>
      </c>
    </row>
    <row r="578" spans="1:7">
      <c r="A578">
        <v>577</v>
      </c>
      <c r="B578">
        <v>27532</v>
      </c>
      <c r="C578">
        <f t="shared" ref="C578:C641" si="19">29000-10000*(A578-720)*(A578-720)/500000</f>
        <v>28591.02</v>
      </c>
      <c r="D578">
        <f t="shared" ref="D578:D641" si="20">B578/C578</f>
        <v>0.96295969853471475</v>
      </c>
    </row>
    <row r="579" spans="1:7">
      <c r="A579">
        <v>578</v>
      </c>
      <c r="B579">
        <v>27437</v>
      </c>
      <c r="C579">
        <f t="shared" si="19"/>
        <v>28596.720000000001</v>
      </c>
      <c r="D579">
        <f t="shared" si="20"/>
        <v>0.95944569866753948</v>
      </c>
    </row>
    <row r="580" spans="1:7">
      <c r="A580">
        <v>579</v>
      </c>
      <c r="B580">
        <v>27051</v>
      </c>
      <c r="C580">
        <f t="shared" si="19"/>
        <v>28602.38</v>
      </c>
      <c r="D580">
        <f t="shared" si="20"/>
        <v>0.94576045769617767</v>
      </c>
    </row>
    <row r="581" spans="1:7">
      <c r="A581">
        <v>580</v>
      </c>
      <c r="B581">
        <v>26828</v>
      </c>
      <c r="C581">
        <f t="shared" si="19"/>
        <v>28608</v>
      </c>
      <c r="D581">
        <f t="shared" si="20"/>
        <v>0.93777964205816555</v>
      </c>
    </row>
    <row r="582" spans="1:7">
      <c r="A582">
        <v>581</v>
      </c>
      <c r="B582">
        <v>26437</v>
      </c>
      <c r="C582">
        <f t="shared" si="19"/>
        <v>28613.58</v>
      </c>
      <c r="D582">
        <f t="shared" si="20"/>
        <v>0.92393192323365336</v>
      </c>
    </row>
    <row r="583" spans="1:7">
      <c r="A583">
        <v>582</v>
      </c>
      <c r="B583">
        <v>25840</v>
      </c>
      <c r="C583">
        <f t="shared" si="19"/>
        <v>28619.119999999999</v>
      </c>
      <c r="D583">
        <f t="shared" si="20"/>
        <v>0.90289289118603233</v>
      </c>
    </row>
    <row r="584" spans="1:7">
      <c r="A584">
        <v>583</v>
      </c>
      <c r="B584">
        <v>24420</v>
      </c>
      <c r="C584">
        <f t="shared" si="19"/>
        <v>28624.62</v>
      </c>
      <c r="D584">
        <f t="shared" si="20"/>
        <v>0.85311176183299553</v>
      </c>
    </row>
    <row r="585" spans="1:7">
      <c r="A585">
        <v>584</v>
      </c>
      <c r="B585">
        <v>21830</v>
      </c>
      <c r="C585">
        <f t="shared" si="19"/>
        <v>28630.080000000002</v>
      </c>
      <c r="D585">
        <f t="shared" si="20"/>
        <v>0.76248477126155423</v>
      </c>
    </row>
    <row r="586" spans="1:7">
      <c r="A586">
        <v>585</v>
      </c>
      <c r="B586">
        <v>18919</v>
      </c>
      <c r="C586">
        <f t="shared" si="19"/>
        <v>28635.5</v>
      </c>
      <c r="D586">
        <f t="shared" si="20"/>
        <v>0.66068341743639891</v>
      </c>
    </row>
    <row r="587" spans="1:7">
      <c r="A587">
        <v>586</v>
      </c>
      <c r="B587">
        <v>16686</v>
      </c>
      <c r="C587">
        <f t="shared" si="19"/>
        <v>28640.880000000001</v>
      </c>
      <c r="D587">
        <f t="shared" si="20"/>
        <v>0.58259383091580985</v>
      </c>
    </row>
    <row r="588" spans="1:7" ht="17.25">
      <c r="A588">
        <v>587</v>
      </c>
      <c r="B588">
        <v>15893</v>
      </c>
      <c r="C588">
        <f t="shared" si="19"/>
        <v>28646.22</v>
      </c>
      <c r="D588">
        <f t="shared" si="20"/>
        <v>0.55480269299055862</v>
      </c>
      <c r="F588">
        <v>587</v>
      </c>
      <c r="G588" t="s">
        <v>71</v>
      </c>
    </row>
    <row r="589" spans="1:7">
      <c r="A589">
        <v>588</v>
      </c>
      <c r="B589">
        <v>17073</v>
      </c>
      <c r="C589">
        <f t="shared" si="19"/>
        <v>28651.52</v>
      </c>
      <c r="D589">
        <f t="shared" si="20"/>
        <v>0.59588461624374556</v>
      </c>
    </row>
    <row r="590" spans="1:7">
      <c r="A590">
        <v>589</v>
      </c>
      <c r="B590">
        <v>19692</v>
      </c>
      <c r="C590">
        <f t="shared" si="19"/>
        <v>28656.78</v>
      </c>
      <c r="D590">
        <f t="shared" si="20"/>
        <v>0.68716722534771879</v>
      </c>
    </row>
    <row r="591" spans="1:7">
      <c r="A591">
        <v>590</v>
      </c>
      <c r="B591">
        <v>22735</v>
      </c>
      <c r="C591">
        <f t="shared" si="19"/>
        <v>28662</v>
      </c>
      <c r="D591">
        <f t="shared" si="20"/>
        <v>0.79321052264322101</v>
      </c>
    </row>
    <row r="592" spans="1:7">
      <c r="A592">
        <v>591</v>
      </c>
      <c r="B592">
        <v>25095</v>
      </c>
      <c r="C592">
        <f t="shared" si="19"/>
        <v>28667.18</v>
      </c>
      <c r="D592">
        <f t="shared" si="20"/>
        <v>0.87539130113251462</v>
      </c>
    </row>
    <row r="593" spans="1:4">
      <c r="A593">
        <v>592</v>
      </c>
      <c r="B593">
        <v>26538</v>
      </c>
      <c r="C593">
        <f t="shared" si="19"/>
        <v>28672.32</v>
      </c>
      <c r="D593">
        <f t="shared" si="20"/>
        <v>0.92556165667793888</v>
      </c>
    </row>
    <row r="594" spans="1:4">
      <c r="A594">
        <v>593</v>
      </c>
      <c r="B594">
        <v>27166</v>
      </c>
      <c r="C594">
        <f t="shared" si="19"/>
        <v>28677.42</v>
      </c>
      <c r="D594">
        <f t="shared" si="20"/>
        <v>0.94729581670875562</v>
      </c>
    </row>
    <row r="595" spans="1:4">
      <c r="A595">
        <v>594</v>
      </c>
      <c r="B595">
        <v>27188</v>
      </c>
      <c r="C595">
        <f t="shared" si="19"/>
        <v>28682.48</v>
      </c>
      <c r="D595">
        <f t="shared" si="20"/>
        <v>0.94789571891970292</v>
      </c>
    </row>
    <row r="596" spans="1:4">
      <c r="A596">
        <v>595</v>
      </c>
      <c r="B596">
        <v>26691</v>
      </c>
      <c r="C596">
        <f t="shared" si="19"/>
        <v>28687.5</v>
      </c>
      <c r="D596">
        <f t="shared" si="20"/>
        <v>0.93040522875816989</v>
      </c>
    </row>
    <row r="597" spans="1:4">
      <c r="A597">
        <v>596</v>
      </c>
      <c r="B597">
        <v>26158</v>
      </c>
      <c r="C597">
        <f t="shared" si="19"/>
        <v>28692.48</v>
      </c>
      <c r="D597">
        <f t="shared" si="20"/>
        <v>0.91166744735902927</v>
      </c>
    </row>
    <row r="598" spans="1:4">
      <c r="A598">
        <v>597</v>
      </c>
      <c r="B598">
        <v>26147</v>
      </c>
      <c r="C598">
        <f t="shared" si="19"/>
        <v>28697.42</v>
      </c>
      <c r="D598">
        <f t="shared" si="20"/>
        <v>0.91112720237568401</v>
      </c>
    </row>
    <row r="599" spans="1:4">
      <c r="A599">
        <v>598</v>
      </c>
      <c r="B599">
        <v>26025</v>
      </c>
      <c r="C599">
        <f t="shared" si="19"/>
        <v>28702.32</v>
      </c>
      <c r="D599">
        <f t="shared" si="20"/>
        <v>0.90672112916307812</v>
      </c>
    </row>
    <row r="600" spans="1:4">
      <c r="A600">
        <v>599</v>
      </c>
      <c r="B600">
        <v>25401</v>
      </c>
      <c r="C600">
        <f t="shared" si="19"/>
        <v>28707.18</v>
      </c>
      <c r="D600">
        <f t="shared" si="20"/>
        <v>0.88483090293090438</v>
      </c>
    </row>
    <row r="601" spans="1:4">
      <c r="A601">
        <v>600</v>
      </c>
      <c r="B601">
        <v>24639</v>
      </c>
      <c r="C601">
        <f t="shared" si="19"/>
        <v>28712</v>
      </c>
      <c r="D601">
        <f t="shared" si="20"/>
        <v>0.85814293675118414</v>
      </c>
    </row>
    <row r="602" spans="1:4">
      <c r="A602">
        <v>601</v>
      </c>
      <c r="B602">
        <v>24340</v>
      </c>
      <c r="C602">
        <f t="shared" si="19"/>
        <v>28716.78</v>
      </c>
      <c r="D602">
        <f t="shared" si="20"/>
        <v>0.84758806523572627</v>
      </c>
    </row>
    <row r="603" spans="1:4">
      <c r="A603">
        <v>602</v>
      </c>
      <c r="B603">
        <v>24277</v>
      </c>
      <c r="C603">
        <f t="shared" si="19"/>
        <v>28721.52</v>
      </c>
      <c r="D603">
        <f t="shared" si="20"/>
        <v>0.84525470796810198</v>
      </c>
    </row>
    <row r="604" spans="1:4">
      <c r="A604">
        <v>603</v>
      </c>
      <c r="B604">
        <v>24930</v>
      </c>
      <c r="C604">
        <f t="shared" si="19"/>
        <v>28726.22</v>
      </c>
      <c r="D604">
        <f t="shared" si="20"/>
        <v>0.86784825848997882</v>
      </c>
    </row>
    <row r="605" spans="1:4">
      <c r="A605">
        <v>604</v>
      </c>
      <c r="B605">
        <v>24963</v>
      </c>
      <c r="C605">
        <f t="shared" si="19"/>
        <v>28730.880000000001</v>
      </c>
      <c r="D605">
        <f t="shared" si="20"/>
        <v>0.86885608794439984</v>
      </c>
    </row>
    <row r="606" spans="1:4">
      <c r="A606">
        <v>605</v>
      </c>
      <c r="B606">
        <v>24261</v>
      </c>
      <c r="C606">
        <f t="shared" si="19"/>
        <v>28735.5</v>
      </c>
      <c r="D606">
        <f t="shared" si="20"/>
        <v>0.84428668371874516</v>
      </c>
    </row>
    <row r="607" spans="1:4">
      <c r="A607">
        <v>606</v>
      </c>
      <c r="B607">
        <v>23611</v>
      </c>
      <c r="C607">
        <f t="shared" si="19"/>
        <v>28740.080000000002</v>
      </c>
      <c r="D607">
        <f t="shared" si="20"/>
        <v>0.82153563942758678</v>
      </c>
    </row>
    <row r="608" spans="1:4">
      <c r="A608">
        <v>607</v>
      </c>
      <c r="B608">
        <v>24183</v>
      </c>
      <c r="C608">
        <f t="shared" si="19"/>
        <v>28744.62</v>
      </c>
      <c r="D608">
        <f t="shared" si="20"/>
        <v>0.84130525990602767</v>
      </c>
    </row>
    <row r="609" spans="1:4">
      <c r="A609">
        <v>608</v>
      </c>
      <c r="B609">
        <v>25438</v>
      </c>
      <c r="C609">
        <f t="shared" si="19"/>
        <v>28749.119999999999</v>
      </c>
      <c r="D609">
        <f t="shared" si="20"/>
        <v>0.88482708340290073</v>
      </c>
    </row>
    <row r="610" spans="1:4">
      <c r="A610">
        <v>609</v>
      </c>
      <c r="B610">
        <v>26459</v>
      </c>
      <c r="C610">
        <f t="shared" si="19"/>
        <v>28753.58</v>
      </c>
      <c r="D610">
        <f t="shared" si="20"/>
        <v>0.92019845876583017</v>
      </c>
    </row>
    <row r="611" spans="1:4">
      <c r="A611">
        <v>610</v>
      </c>
      <c r="B611">
        <v>27502</v>
      </c>
      <c r="C611">
        <f t="shared" si="19"/>
        <v>28758</v>
      </c>
      <c r="D611">
        <f t="shared" si="20"/>
        <v>0.95632519646707004</v>
      </c>
    </row>
    <row r="612" spans="1:4">
      <c r="A612">
        <v>611</v>
      </c>
      <c r="B612">
        <v>25788</v>
      </c>
      <c r="C612">
        <f t="shared" si="19"/>
        <v>28762.38</v>
      </c>
      <c r="D612">
        <f t="shared" si="20"/>
        <v>0.8965878345255156</v>
      </c>
    </row>
    <row r="613" spans="1:4">
      <c r="A613">
        <v>612</v>
      </c>
      <c r="B613">
        <v>29007</v>
      </c>
      <c r="C613">
        <f t="shared" si="19"/>
        <v>28766.720000000001</v>
      </c>
      <c r="D613">
        <f t="shared" si="20"/>
        <v>1.0083527075731957</v>
      </c>
    </row>
    <row r="614" spans="1:4">
      <c r="A614">
        <v>613</v>
      </c>
      <c r="B614">
        <v>29444</v>
      </c>
      <c r="C614">
        <f t="shared" si="19"/>
        <v>28771.02</v>
      </c>
      <c r="D614">
        <f t="shared" si="20"/>
        <v>1.0233908982024273</v>
      </c>
    </row>
    <row r="615" spans="1:4">
      <c r="A615">
        <v>614</v>
      </c>
      <c r="B615">
        <v>29705</v>
      </c>
      <c r="C615">
        <f t="shared" si="19"/>
        <v>28775.279999999999</v>
      </c>
      <c r="D615">
        <f t="shared" si="20"/>
        <v>1.0323096769171316</v>
      </c>
    </row>
    <row r="616" spans="1:4">
      <c r="A616">
        <v>615</v>
      </c>
      <c r="B616">
        <v>29698</v>
      </c>
      <c r="C616">
        <f t="shared" si="19"/>
        <v>28779.5</v>
      </c>
      <c r="D616">
        <f t="shared" si="20"/>
        <v>1.0319150784412516</v>
      </c>
    </row>
    <row r="617" spans="1:4">
      <c r="A617">
        <v>616</v>
      </c>
      <c r="B617">
        <v>29776</v>
      </c>
      <c r="C617">
        <f t="shared" si="19"/>
        <v>28783.68</v>
      </c>
      <c r="D617">
        <f t="shared" si="20"/>
        <v>1.0344750914407053</v>
      </c>
    </row>
    <row r="618" spans="1:4">
      <c r="A618">
        <v>617</v>
      </c>
      <c r="B618">
        <v>29837</v>
      </c>
      <c r="C618">
        <f t="shared" si="19"/>
        <v>28787.82</v>
      </c>
      <c r="D618">
        <f t="shared" si="20"/>
        <v>1.0364452744250867</v>
      </c>
    </row>
    <row r="619" spans="1:4">
      <c r="A619">
        <v>618</v>
      </c>
      <c r="B619">
        <v>29912</v>
      </c>
      <c r="C619">
        <f t="shared" si="19"/>
        <v>28791.919999999998</v>
      </c>
      <c r="D619">
        <f t="shared" si="20"/>
        <v>1.0389025810018924</v>
      </c>
    </row>
    <row r="620" spans="1:4">
      <c r="A620">
        <v>619</v>
      </c>
      <c r="B620">
        <v>29336</v>
      </c>
      <c r="C620">
        <f t="shared" si="19"/>
        <v>28795.98</v>
      </c>
      <c r="D620">
        <f t="shared" si="20"/>
        <v>1.0187533120942576</v>
      </c>
    </row>
    <row r="621" spans="1:4">
      <c r="A621">
        <v>620</v>
      </c>
      <c r="B621">
        <v>28084</v>
      </c>
      <c r="C621">
        <f t="shared" si="19"/>
        <v>28800</v>
      </c>
      <c r="D621">
        <f t="shared" si="20"/>
        <v>0.97513888888888889</v>
      </c>
    </row>
    <row r="622" spans="1:4">
      <c r="A622">
        <v>621</v>
      </c>
      <c r="B622">
        <v>26494</v>
      </c>
      <c r="C622">
        <f t="shared" si="19"/>
        <v>28803.98</v>
      </c>
      <c r="D622">
        <f t="shared" si="20"/>
        <v>0.91980344382963741</v>
      </c>
    </row>
    <row r="623" spans="1:4">
      <c r="A623">
        <v>622</v>
      </c>
      <c r="B623">
        <v>25039</v>
      </c>
      <c r="C623">
        <f t="shared" si="19"/>
        <v>28807.919999999998</v>
      </c>
      <c r="D623">
        <f t="shared" si="20"/>
        <v>0.86917070027964538</v>
      </c>
    </row>
    <row r="624" spans="1:4">
      <c r="A624">
        <v>623</v>
      </c>
      <c r="B624">
        <v>24480</v>
      </c>
      <c r="C624">
        <f t="shared" si="19"/>
        <v>28811.82</v>
      </c>
      <c r="D624">
        <f t="shared" si="20"/>
        <v>0.84965128895016007</v>
      </c>
    </row>
    <row r="625" spans="1:4">
      <c r="A625">
        <v>624</v>
      </c>
      <c r="B625">
        <v>24931</v>
      </c>
      <c r="C625">
        <f t="shared" si="19"/>
        <v>28815.68</v>
      </c>
      <c r="D625">
        <f t="shared" si="20"/>
        <v>0.86518867505469244</v>
      </c>
    </row>
    <row r="626" spans="1:4">
      <c r="A626">
        <v>625</v>
      </c>
      <c r="B626">
        <v>25348</v>
      </c>
      <c r="C626">
        <f t="shared" si="19"/>
        <v>28819.5</v>
      </c>
      <c r="D626">
        <f t="shared" si="20"/>
        <v>0.8795433647356824</v>
      </c>
    </row>
    <row r="627" spans="1:4">
      <c r="A627">
        <v>626</v>
      </c>
      <c r="B627">
        <v>25917</v>
      </c>
      <c r="C627">
        <f t="shared" si="19"/>
        <v>28823.279999999999</v>
      </c>
      <c r="D627">
        <f t="shared" si="20"/>
        <v>0.89916900505424791</v>
      </c>
    </row>
    <row r="628" spans="1:4">
      <c r="A628">
        <v>627</v>
      </c>
      <c r="B628">
        <v>25898</v>
      </c>
      <c r="C628">
        <f t="shared" si="19"/>
        <v>28827.02</v>
      </c>
      <c r="D628">
        <f t="shared" si="20"/>
        <v>0.89839324356107564</v>
      </c>
    </row>
    <row r="629" spans="1:4">
      <c r="A629">
        <v>628</v>
      </c>
      <c r="B629">
        <v>25519</v>
      </c>
      <c r="C629">
        <f t="shared" si="19"/>
        <v>28830.720000000001</v>
      </c>
      <c r="D629">
        <f t="shared" si="20"/>
        <v>0.8851322478245427</v>
      </c>
    </row>
    <row r="630" spans="1:4">
      <c r="A630">
        <v>629</v>
      </c>
      <c r="B630">
        <v>25221</v>
      </c>
      <c r="C630">
        <f t="shared" si="19"/>
        <v>28834.38</v>
      </c>
      <c r="D630">
        <f t="shared" si="20"/>
        <v>0.87468501143426702</v>
      </c>
    </row>
    <row r="631" spans="1:4">
      <c r="A631">
        <v>630</v>
      </c>
      <c r="B631">
        <v>25181</v>
      </c>
      <c r="C631">
        <f t="shared" si="19"/>
        <v>28838</v>
      </c>
      <c r="D631">
        <f t="shared" si="20"/>
        <v>0.87318815451834386</v>
      </c>
    </row>
    <row r="632" spans="1:4">
      <c r="A632">
        <v>631</v>
      </c>
      <c r="B632">
        <v>25482</v>
      </c>
      <c r="C632">
        <f t="shared" si="19"/>
        <v>28841.58</v>
      </c>
      <c r="D632">
        <f t="shared" si="20"/>
        <v>0.88351609031127976</v>
      </c>
    </row>
    <row r="633" spans="1:4">
      <c r="A633">
        <v>632</v>
      </c>
      <c r="B633">
        <v>26073</v>
      </c>
      <c r="C633">
        <f t="shared" si="19"/>
        <v>28845.119999999999</v>
      </c>
      <c r="D633">
        <f t="shared" si="20"/>
        <v>0.90389639564682001</v>
      </c>
    </row>
    <row r="634" spans="1:4">
      <c r="A634">
        <v>633</v>
      </c>
      <c r="B634">
        <v>26786</v>
      </c>
      <c r="C634">
        <f t="shared" si="19"/>
        <v>28848.62</v>
      </c>
      <c r="D634">
        <f t="shared" si="20"/>
        <v>0.92850195260639856</v>
      </c>
    </row>
    <row r="635" spans="1:4">
      <c r="A635">
        <v>634</v>
      </c>
      <c r="B635">
        <v>27430</v>
      </c>
      <c r="C635">
        <f t="shared" si="19"/>
        <v>28852.080000000002</v>
      </c>
      <c r="D635">
        <f t="shared" si="20"/>
        <v>0.9507113525264036</v>
      </c>
    </row>
    <row r="636" spans="1:4">
      <c r="A636">
        <v>635</v>
      </c>
      <c r="B636">
        <v>27866</v>
      </c>
      <c r="C636">
        <f t="shared" si="19"/>
        <v>28855.5</v>
      </c>
      <c r="D636">
        <f t="shared" si="20"/>
        <v>0.96570844379754295</v>
      </c>
    </row>
    <row r="637" spans="1:4">
      <c r="A637">
        <v>636</v>
      </c>
      <c r="B637">
        <v>27730</v>
      </c>
      <c r="C637">
        <f t="shared" si="19"/>
        <v>28858.880000000001</v>
      </c>
      <c r="D637">
        <f t="shared" si="20"/>
        <v>0.96088275082054464</v>
      </c>
    </row>
    <row r="638" spans="1:4">
      <c r="A638">
        <v>637</v>
      </c>
      <c r="B638">
        <v>27297</v>
      </c>
      <c r="C638">
        <f t="shared" si="19"/>
        <v>28862.22</v>
      </c>
      <c r="D638">
        <f t="shared" si="20"/>
        <v>0.94576924436166032</v>
      </c>
    </row>
    <row r="639" spans="1:4">
      <c r="A639">
        <v>638</v>
      </c>
      <c r="B639">
        <v>26970</v>
      </c>
      <c r="C639">
        <f t="shared" si="19"/>
        <v>28865.52</v>
      </c>
      <c r="D639">
        <f t="shared" si="20"/>
        <v>0.93433272638081699</v>
      </c>
    </row>
    <row r="640" spans="1:4">
      <c r="A640">
        <v>639</v>
      </c>
      <c r="B640">
        <v>26534</v>
      </c>
      <c r="C640">
        <f t="shared" si="19"/>
        <v>28868.78</v>
      </c>
      <c r="D640">
        <f t="shared" si="20"/>
        <v>0.91912439666657197</v>
      </c>
    </row>
    <row r="641" spans="1:7">
      <c r="A641">
        <v>640</v>
      </c>
      <c r="B641">
        <v>25949</v>
      </c>
      <c r="C641">
        <f t="shared" si="19"/>
        <v>28872</v>
      </c>
      <c r="D641">
        <f t="shared" si="20"/>
        <v>0.89876004433361045</v>
      </c>
    </row>
    <row r="642" spans="1:7">
      <c r="A642">
        <v>641</v>
      </c>
      <c r="B642">
        <v>24691</v>
      </c>
      <c r="C642">
        <f t="shared" ref="C642:C705" si="21">29000-10000*(A642-720)*(A642-720)/500000</f>
        <v>28875.18</v>
      </c>
      <c r="D642">
        <f t="shared" ref="D642:D705" si="22">B642/C642</f>
        <v>0.85509423664198803</v>
      </c>
    </row>
    <row r="643" spans="1:7">
      <c r="A643">
        <v>642</v>
      </c>
      <c r="B643">
        <v>22696</v>
      </c>
      <c r="C643">
        <f t="shared" si="21"/>
        <v>28878.32</v>
      </c>
      <c r="D643">
        <f t="shared" si="22"/>
        <v>0.78591829441601868</v>
      </c>
    </row>
    <row r="644" spans="1:7">
      <c r="A644">
        <v>643</v>
      </c>
      <c r="B644">
        <v>20670</v>
      </c>
      <c r="C644">
        <f t="shared" si="21"/>
        <v>28881.42</v>
      </c>
      <c r="D644">
        <f t="shared" si="22"/>
        <v>0.71568503210714718</v>
      </c>
    </row>
    <row r="645" spans="1:7">
      <c r="A645">
        <v>644</v>
      </c>
      <c r="B645">
        <v>18923</v>
      </c>
      <c r="C645">
        <f t="shared" si="21"/>
        <v>28884.48</v>
      </c>
      <c r="D645">
        <f t="shared" si="22"/>
        <v>0.65512690552158115</v>
      </c>
    </row>
    <row r="646" spans="1:7" ht="17.25">
      <c r="A646">
        <v>645</v>
      </c>
      <c r="B646">
        <v>18190</v>
      </c>
      <c r="C646">
        <f t="shared" si="21"/>
        <v>28887.5</v>
      </c>
      <c r="D646">
        <f t="shared" si="22"/>
        <v>0.62968411942881874</v>
      </c>
      <c r="F646">
        <v>645</v>
      </c>
      <c r="G646" t="s">
        <v>72</v>
      </c>
    </row>
    <row r="647" spans="1:7">
      <c r="A647">
        <v>646</v>
      </c>
      <c r="B647">
        <v>18572</v>
      </c>
      <c r="C647">
        <f t="shared" si="21"/>
        <v>28890.48</v>
      </c>
      <c r="D647">
        <f t="shared" si="22"/>
        <v>0.64284151734412165</v>
      </c>
    </row>
    <row r="648" spans="1:7">
      <c r="A648">
        <v>647</v>
      </c>
      <c r="B648">
        <v>19990</v>
      </c>
      <c r="C648">
        <f t="shared" si="21"/>
        <v>28893.42</v>
      </c>
      <c r="D648">
        <f t="shared" si="22"/>
        <v>0.69185302397570103</v>
      </c>
    </row>
    <row r="649" spans="1:7">
      <c r="A649">
        <v>648</v>
      </c>
      <c r="B649">
        <v>20940</v>
      </c>
      <c r="C649">
        <f t="shared" si="21"/>
        <v>28896.32</v>
      </c>
      <c r="D649">
        <f t="shared" si="22"/>
        <v>0.72465974906147224</v>
      </c>
    </row>
    <row r="650" spans="1:7">
      <c r="A650">
        <v>649</v>
      </c>
      <c r="B650">
        <v>22032</v>
      </c>
      <c r="C650">
        <f t="shared" si="21"/>
        <v>28899.18</v>
      </c>
      <c r="D650">
        <f t="shared" si="22"/>
        <v>0.76237457256572672</v>
      </c>
    </row>
    <row r="651" spans="1:7">
      <c r="A651">
        <v>650</v>
      </c>
      <c r="B651">
        <v>24207</v>
      </c>
      <c r="C651">
        <f t="shared" si="21"/>
        <v>28902</v>
      </c>
      <c r="D651">
        <f t="shared" si="22"/>
        <v>0.8375544944986506</v>
      </c>
    </row>
    <row r="652" spans="1:7">
      <c r="A652">
        <v>651</v>
      </c>
      <c r="B652">
        <v>26175</v>
      </c>
      <c r="C652">
        <f t="shared" si="21"/>
        <v>28904.78</v>
      </c>
      <c r="D652">
        <f t="shared" si="22"/>
        <v>0.90555956488857559</v>
      </c>
    </row>
    <row r="653" spans="1:7">
      <c r="A653">
        <v>652</v>
      </c>
      <c r="B653">
        <v>27555</v>
      </c>
      <c r="C653">
        <f t="shared" si="21"/>
        <v>28907.52</v>
      </c>
      <c r="D653">
        <f t="shared" si="22"/>
        <v>0.95321217454835283</v>
      </c>
    </row>
    <row r="654" spans="1:7">
      <c r="A654">
        <v>653</v>
      </c>
      <c r="B654">
        <v>27722</v>
      </c>
      <c r="C654">
        <f t="shared" si="21"/>
        <v>28910.22</v>
      </c>
      <c r="D654">
        <f t="shared" si="22"/>
        <v>0.95889965555433332</v>
      </c>
    </row>
    <row r="655" spans="1:7">
      <c r="A655">
        <v>654</v>
      </c>
      <c r="B655">
        <v>27388</v>
      </c>
      <c r="C655">
        <f t="shared" si="21"/>
        <v>28912.880000000001</v>
      </c>
      <c r="D655">
        <f t="shared" si="22"/>
        <v>0.94725949127171005</v>
      </c>
    </row>
    <row r="656" spans="1:7">
      <c r="A656">
        <v>655</v>
      </c>
      <c r="B656">
        <v>27028</v>
      </c>
      <c r="C656">
        <f t="shared" si="21"/>
        <v>28915.5</v>
      </c>
      <c r="D656">
        <f t="shared" si="22"/>
        <v>0.93472359115353354</v>
      </c>
    </row>
    <row r="657" spans="1:4">
      <c r="A657">
        <v>656</v>
      </c>
      <c r="B657">
        <v>27005</v>
      </c>
      <c r="C657">
        <f t="shared" si="21"/>
        <v>28918.080000000002</v>
      </c>
      <c r="D657">
        <f t="shared" si="22"/>
        <v>0.93384484723743755</v>
      </c>
    </row>
    <row r="658" spans="1:4">
      <c r="A658">
        <v>657</v>
      </c>
      <c r="B658">
        <v>27012</v>
      </c>
      <c r="C658">
        <f t="shared" si="21"/>
        <v>28920.62</v>
      </c>
      <c r="D658">
        <f t="shared" si="22"/>
        <v>0.93400487264795851</v>
      </c>
    </row>
    <row r="659" spans="1:4">
      <c r="A659">
        <v>658</v>
      </c>
      <c r="B659">
        <v>26818</v>
      </c>
      <c r="C659">
        <f t="shared" si="21"/>
        <v>28923.119999999999</v>
      </c>
      <c r="D659">
        <f t="shared" si="22"/>
        <v>0.9272167041453343</v>
      </c>
    </row>
    <row r="660" spans="1:4">
      <c r="A660">
        <v>659</v>
      </c>
      <c r="B660">
        <v>26564</v>
      </c>
      <c r="C660">
        <f t="shared" si="21"/>
        <v>28925.58</v>
      </c>
      <c r="D660">
        <f t="shared" si="22"/>
        <v>0.91835669327978897</v>
      </c>
    </row>
    <row r="661" spans="1:4">
      <c r="A661">
        <v>660</v>
      </c>
      <c r="B661">
        <v>26309</v>
      </c>
      <c r="C661">
        <f t="shared" si="21"/>
        <v>28928</v>
      </c>
      <c r="D661">
        <f t="shared" si="22"/>
        <v>0.90946487831858402</v>
      </c>
    </row>
    <row r="662" spans="1:4">
      <c r="A662">
        <v>661</v>
      </c>
      <c r="B662">
        <v>26091</v>
      </c>
      <c r="C662">
        <f t="shared" si="21"/>
        <v>28930.38</v>
      </c>
      <c r="D662">
        <f t="shared" si="22"/>
        <v>0.90185472848956694</v>
      </c>
    </row>
    <row r="663" spans="1:4">
      <c r="A663">
        <v>662</v>
      </c>
      <c r="B663">
        <v>26517</v>
      </c>
      <c r="C663">
        <f t="shared" si="21"/>
        <v>28932.720000000001</v>
      </c>
      <c r="D663">
        <f t="shared" si="22"/>
        <v>0.91650560334458697</v>
      </c>
    </row>
    <row r="664" spans="1:4">
      <c r="A664">
        <v>663</v>
      </c>
      <c r="B664">
        <v>27380</v>
      </c>
      <c r="C664">
        <f t="shared" si="21"/>
        <v>28935.02</v>
      </c>
      <c r="D664">
        <f t="shared" si="22"/>
        <v>0.9462582019988236</v>
      </c>
    </row>
    <row r="665" spans="1:4">
      <c r="A665">
        <v>664</v>
      </c>
      <c r="B665">
        <v>27940</v>
      </c>
      <c r="C665">
        <f t="shared" si="21"/>
        <v>28937.279999999999</v>
      </c>
      <c r="D665">
        <f t="shared" si="22"/>
        <v>0.96553649824724375</v>
      </c>
    </row>
    <row r="666" spans="1:4">
      <c r="A666">
        <v>665</v>
      </c>
      <c r="B666">
        <v>28008</v>
      </c>
      <c r="C666">
        <f t="shared" si="21"/>
        <v>28939.5</v>
      </c>
      <c r="D666">
        <f t="shared" si="22"/>
        <v>0.96781215985072311</v>
      </c>
    </row>
    <row r="667" spans="1:4">
      <c r="A667">
        <v>666</v>
      </c>
      <c r="B667">
        <v>27686</v>
      </c>
      <c r="C667">
        <f t="shared" si="21"/>
        <v>28941.68</v>
      </c>
      <c r="D667">
        <f t="shared" si="22"/>
        <v>0.95661343778246455</v>
      </c>
    </row>
    <row r="668" spans="1:4">
      <c r="A668">
        <v>667</v>
      </c>
      <c r="B668">
        <v>26830</v>
      </c>
      <c r="C668">
        <f t="shared" si="21"/>
        <v>28943.82</v>
      </c>
      <c r="D668">
        <f t="shared" si="22"/>
        <v>0.92696817489882122</v>
      </c>
    </row>
    <row r="669" spans="1:4">
      <c r="A669">
        <v>668</v>
      </c>
      <c r="B669">
        <v>26233</v>
      </c>
      <c r="C669">
        <f t="shared" si="21"/>
        <v>28945.919999999998</v>
      </c>
      <c r="D669">
        <f t="shared" si="22"/>
        <v>0.90627625585920235</v>
      </c>
    </row>
    <row r="670" spans="1:4">
      <c r="A670">
        <v>669</v>
      </c>
      <c r="B670">
        <v>25184</v>
      </c>
      <c r="C670">
        <f t="shared" si="21"/>
        <v>28947.98</v>
      </c>
      <c r="D670">
        <f t="shared" si="22"/>
        <v>0.8699743470874306</v>
      </c>
    </row>
    <row r="671" spans="1:4">
      <c r="A671">
        <v>670</v>
      </c>
      <c r="B671">
        <v>23507</v>
      </c>
      <c r="C671">
        <f t="shared" si="21"/>
        <v>28950</v>
      </c>
      <c r="D671">
        <f t="shared" si="22"/>
        <v>0.81198618307426595</v>
      </c>
    </row>
    <row r="672" spans="1:4">
      <c r="A672">
        <v>671</v>
      </c>
      <c r="B672">
        <v>21015</v>
      </c>
      <c r="C672">
        <f t="shared" si="21"/>
        <v>28951.98</v>
      </c>
      <c r="D672">
        <f t="shared" si="22"/>
        <v>0.72585709163932832</v>
      </c>
    </row>
    <row r="673" spans="1:7">
      <c r="A673">
        <v>672</v>
      </c>
      <c r="B673">
        <v>18539</v>
      </c>
      <c r="C673">
        <f t="shared" si="21"/>
        <v>28953.919999999998</v>
      </c>
      <c r="D673">
        <f t="shared" si="22"/>
        <v>0.64029326598954484</v>
      </c>
    </row>
    <row r="674" spans="1:7" ht="17.25">
      <c r="A674">
        <v>673</v>
      </c>
      <c r="B674">
        <v>17564</v>
      </c>
      <c r="C674">
        <f t="shared" si="21"/>
        <v>28955.82</v>
      </c>
      <c r="D674">
        <f t="shared" si="22"/>
        <v>0.60657926454854327</v>
      </c>
      <c r="F674">
        <v>673</v>
      </c>
      <c r="G674" t="s">
        <v>73</v>
      </c>
    </row>
    <row r="675" spans="1:7">
      <c r="A675">
        <v>674</v>
      </c>
      <c r="B675">
        <v>18428</v>
      </c>
      <c r="C675">
        <f t="shared" si="21"/>
        <v>28957.68</v>
      </c>
      <c r="D675">
        <f t="shared" si="22"/>
        <v>0.63637694732450945</v>
      </c>
    </row>
    <row r="676" spans="1:7">
      <c r="A676">
        <v>675</v>
      </c>
      <c r="B676">
        <v>20750</v>
      </c>
      <c r="C676">
        <f t="shared" si="21"/>
        <v>28959.5</v>
      </c>
      <c r="D676">
        <f t="shared" si="22"/>
        <v>0.71651789568190061</v>
      </c>
    </row>
    <row r="677" spans="1:7">
      <c r="A677">
        <v>676</v>
      </c>
      <c r="B677">
        <v>23326</v>
      </c>
      <c r="C677">
        <f t="shared" si="21"/>
        <v>28961.279999999999</v>
      </c>
      <c r="D677">
        <f t="shared" si="22"/>
        <v>0.80542020242199241</v>
      </c>
    </row>
    <row r="678" spans="1:7">
      <c r="A678">
        <v>677</v>
      </c>
      <c r="B678">
        <v>25518</v>
      </c>
      <c r="C678">
        <f t="shared" si="21"/>
        <v>28963.02</v>
      </c>
      <c r="D678">
        <f t="shared" si="22"/>
        <v>0.88105453091562969</v>
      </c>
    </row>
    <row r="679" spans="1:7">
      <c r="A679">
        <v>678</v>
      </c>
      <c r="B679">
        <v>26569</v>
      </c>
      <c r="C679">
        <f t="shared" si="21"/>
        <v>28964.720000000001</v>
      </c>
      <c r="D679">
        <f t="shared" si="22"/>
        <v>0.91728834250771274</v>
      </c>
    </row>
    <row r="680" spans="1:7">
      <c r="A680">
        <v>679</v>
      </c>
      <c r="B680">
        <v>26985</v>
      </c>
      <c r="C680">
        <f t="shared" si="21"/>
        <v>28966.38</v>
      </c>
      <c r="D680">
        <f t="shared" si="22"/>
        <v>0.93159725171043117</v>
      </c>
    </row>
    <row r="681" spans="1:7">
      <c r="A681">
        <v>680</v>
      </c>
      <c r="B681">
        <v>27025</v>
      </c>
      <c r="C681">
        <f t="shared" si="21"/>
        <v>28968</v>
      </c>
      <c r="D681">
        <f t="shared" si="22"/>
        <v>0.93292598729632703</v>
      </c>
    </row>
    <row r="682" spans="1:7">
      <c r="A682">
        <v>681</v>
      </c>
      <c r="B682">
        <v>27356</v>
      </c>
      <c r="C682">
        <f t="shared" si="21"/>
        <v>28969.58</v>
      </c>
      <c r="D682">
        <f t="shared" si="22"/>
        <v>0.94430088389269018</v>
      </c>
    </row>
    <row r="683" spans="1:7">
      <c r="A683">
        <v>682</v>
      </c>
      <c r="B683">
        <v>27501</v>
      </c>
      <c r="C683">
        <f t="shared" si="21"/>
        <v>28971.119999999999</v>
      </c>
      <c r="D683">
        <f t="shared" si="22"/>
        <v>0.94925567254562482</v>
      </c>
    </row>
    <row r="684" spans="1:7">
      <c r="A684">
        <v>683</v>
      </c>
      <c r="B684">
        <v>27520</v>
      </c>
      <c r="C684">
        <f t="shared" si="21"/>
        <v>28972.62</v>
      </c>
      <c r="D684">
        <f t="shared" si="22"/>
        <v>0.94986231828533285</v>
      </c>
    </row>
    <row r="685" spans="1:7">
      <c r="A685">
        <v>684</v>
      </c>
      <c r="B685">
        <v>27378</v>
      </c>
      <c r="C685">
        <f t="shared" si="21"/>
        <v>28974.080000000002</v>
      </c>
      <c r="D685">
        <f t="shared" si="22"/>
        <v>0.94491352270719198</v>
      </c>
    </row>
    <row r="686" spans="1:7">
      <c r="A686">
        <v>685</v>
      </c>
      <c r="B686">
        <v>27173</v>
      </c>
      <c r="C686">
        <f t="shared" si="21"/>
        <v>28975.5</v>
      </c>
      <c r="D686">
        <f t="shared" si="22"/>
        <v>0.93779227278217803</v>
      </c>
    </row>
    <row r="687" spans="1:7">
      <c r="A687">
        <v>686</v>
      </c>
      <c r="B687">
        <v>26636</v>
      </c>
      <c r="C687">
        <f t="shared" si="21"/>
        <v>28976.880000000001</v>
      </c>
      <c r="D687">
        <f t="shared" si="22"/>
        <v>0.91921559532979391</v>
      </c>
    </row>
    <row r="688" spans="1:7">
      <c r="A688">
        <v>687</v>
      </c>
      <c r="B688">
        <v>25986</v>
      </c>
      <c r="C688">
        <f t="shared" si="21"/>
        <v>28978.22</v>
      </c>
      <c r="D688">
        <f t="shared" si="22"/>
        <v>0.89674245001935937</v>
      </c>
    </row>
    <row r="689" spans="1:7">
      <c r="A689">
        <v>688</v>
      </c>
      <c r="B689">
        <v>24818</v>
      </c>
      <c r="C689">
        <f t="shared" si="21"/>
        <v>28979.52</v>
      </c>
      <c r="D689">
        <f t="shared" si="22"/>
        <v>0.85639789754971785</v>
      </c>
    </row>
    <row r="690" spans="1:7">
      <c r="A690">
        <v>689</v>
      </c>
      <c r="B690">
        <v>22979</v>
      </c>
      <c r="C690">
        <f t="shared" si="21"/>
        <v>28980.78</v>
      </c>
      <c r="D690">
        <f t="shared" si="22"/>
        <v>0.7929048148462533</v>
      </c>
    </row>
    <row r="691" spans="1:7">
      <c r="A691">
        <v>690</v>
      </c>
      <c r="B691">
        <v>20346</v>
      </c>
      <c r="C691">
        <f t="shared" si="21"/>
        <v>28982</v>
      </c>
      <c r="D691">
        <f t="shared" si="22"/>
        <v>0.70202194465530332</v>
      </c>
    </row>
    <row r="692" spans="1:7">
      <c r="A692">
        <v>691</v>
      </c>
      <c r="B692">
        <v>17306</v>
      </c>
      <c r="C692">
        <f t="shared" si="21"/>
        <v>28983.18</v>
      </c>
      <c r="D692">
        <f t="shared" si="22"/>
        <v>0.59710494155575755</v>
      </c>
    </row>
    <row r="693" spans="1:7" ht="17.25">
      <c r="A693">
        <v>692</v>
      </c>
      <c r="B693">
        <v>14971</v>
      </c>
      <c r="C693">
        <f t="shared" si="21"/>
        <v>28984.32</v>
      </c>
      <c r="D693">
        <f t="shared" si="22"/>
        <v>0.51652065668609792</v>
      </c>
      <c r="F693">
        <v>692.5</v>
      </c>
      <c r="G693" t="s">
        <v>74</v>
      </c>
    </row>
    <row r="694" spans="1:7">
      <c r="A694">
        <v>693</v>
      </c>
      <c r="B694">
        <v>14490</v>
      </c>
      <c r="C694">
        <f t="shared" si="21"/>
        <v>28985.42</v>
      </c>
      <c r="D694">
        <f t="shared" si="22"/>
        <v>0.49990650471857923</v>
      </c>
    </row>
    <row r="695" spans="1:7">
      <c r="A695">
        <v>694</v>
      </c>
      <c r="B695">
        <v>16094</v>
      </c>
      <c r="C695">
        <f t="shared" si="21"/>
        <v>28986.48</v>
      </c>
      <c r="D695">
        <f t="shared" si="22"/>
        <v>0.55522436667025454</v>
      </c>
    </row>
    <row r="696" spans="1:7">
      <c r="A696">
        <v>695</v>
      </c>
      <c r="B696">
        <v>19137</v>
      </c>
      <c r="C696">
        <f t="shared" si="21"/>
        <v>28987.5</v>
      </c>
      <c r="D696">
        <f t="shared" si="22"/>
        <v>0.66018111254851231</v>
      </c>
    </row>
    <row r="697" spans="1:7">
      <c r="A697">
        <v>696</v>
      </c>
      <c r="B697">
        <v>22536</v>
      </c>
      <c r="C697">
        <f t="shared" si="21"/>
        <v>28988.48</v>
      </c>
      <c r="D697">
        <f t="shared" si="22"/>
        <v>0.7774122685977326</v>
      </c>
    </row>
    <row r="698" spans="1:7">
      <c r="A698">
        <v>697</v>
      </c>
      <c r="B698">
        <v>24937</v>
      </c>
      <c r="C698">
        <f t="shared" si="21"/>
        <v>28989.42</v>
      </c>
      <c r="D698">
        <f t="shared" si="22"/>
        <v>0.86021038020077678</v>
      </c>
    </row>
    <row r="699" spans="1:7">
      <c r="A699">
        <v>698</v>
      </c>
      <c r="B699">
        <v>26234</v>
      </c>
      <c r="C699">
        <f t="shared" si="21"/>
        <v>28990.32</v>
      </c>
      <c r="D699">
        <f t="shared" si="22"/>
        <v>0.90492274662715</v>
      </c>
    </row>
    <row r="700" spans="1:7">
      <c r="A700">
        <v>699</v>
      </c>
      <c r="B700">
        <v>27135</v>
      </c>
      <c r="C700">
        <f t="shared" si="21"/>
        <v>28991.18</v>
      </c>
      <c r="D700">
        <f t="shared" si="22"/>
        <v>0.93597432046574169</v>
      </c>
    </row>
    <row r="701" spans="1:7">
      <c r="A701">
        <v>700</v>
      </c>
      <c r="B701">
        <v>27730</v>
      </c>
      <c r="C701">
        <f t="shared" si="21"/>
        <v>28992</v>
      </c>
      <c r="D701">
        <f t="shared" si="22"/>
        <v>0.95647075055187636</v>
      </c>
    </row>
    <row r="702" spans="1:7">
      <c r="A702">
        <v>701</v>
      </c>
      <c r="B702">
        <v>27798</v>
      </c>
      <c r="C702">
        <f t="shared" si="21"/>
        <v>28992.78</v>
      </c>
      <c r="D702">
        <f t="shared" si="22"/>
        <v>0.95879042989323549</v>
      </c>
    </row>
    <row r="703" spans="1:7">
      <c r="A703">
        <v>702</v>
      </c>
      <c r="B703">
        <v>27876</v>
      </c>
      <c r="C703">
        <f t="shared" si="21"/>
        <v>28993.52</v>
      </c>
      <c r="D703">
        <f t="shared" si="22"/>
        <v>0.96145621504391321</v>
      </c>
    </row>
    <row r="704" spans="1:7">
      <c r="A704">
        <v>703</v>
      </c>
      <c r="B704">
        <v>27789</v>
      </c>
      <c r="C704">
        <f t="shared" si="21"/>
        <v>28994.22</v>
      </c>
      <c r="D704">
        <f t="shared" si="22"/>
        <v>0.95843240480344005</v>
      </c>
    </row>
    <row r="705" spans="1:4">
      <c r="A705">
        <v>704</v>
      </c>
      <c r="B705">
        <v>27470</v>
      </c>
      <c r="C705">
        <f t="shared" si="21"/>
        <v>28994.880000000001</v>
      </c>
      <c r="D705">
        <f t="shared" si="22"/>
        <v>0.94740864594024876</v>
      </c>
    </row>
    <row r="706" spans="1:4">
      <c r="A706">
        <v>705</v>
      </c>
      <c r="B706">
        <v>26629</v>
      </c>
      <c r="C706">
        <f t="shared" ref="C706:C769" si="23">29000-10000*(A706-720)*(A706-720)/500000</f>
        <v>28995.5</v>
      </c>
      <c r="D706">
        <f t="shared" ref="D706:D769" si="24">B706/C706</f>
        <v>0.91838388715490338</v>
      </c>
    </row>
    <row r="707" spans="1:4">
      <c r="A707">
        <v>706</v>
      </c>
      <c r="B707">
        <v>25878</v>
      </c>
      <c r="C707">
        <f t="shared" si="23"/>
        <v>28996.080000000002</v>
      </c>
      <c r="D707">
        <f t="shared" si="24"/>
        <v>0.89246546429724294</v>
      </c>
    </row>
    <row r="708" spans="1:4">
      <c r="A708">
        <v>707</v>
      </c>
      <c r="B708">
        <v>25324</v>
      </c>
      <c r="C708">
        <f t="shared" si="23"/>
        <v>28996.62</v>
      </c>
      <c r="D708">
        <f t="shared" si="24"/>
        <v>0.87334316896245157</v>
      </c>
    </row>
    <row r="709" spans="1:4">
      <c r="A709">
        <v>708</v>
      </c>
      <c r="B709">
        <v>25550</v>
      </c>
      <c r="C709">
        <f t="shared" si="23"/>
        <v>28997.119999999999</v>
      </c>
      <c r="D709">
        <f t="shared" si="24"/>
        <v>0.88112198728701341</v>
      </c>
    </row>
    <row r="710" spans="1:4">
      <c r="A710">
        <v>709</v>
      </c>
      <c r="B710">
        <v>26350</v>
      </c>
      <c r="C710">
        <f t="shared" si="23"/>
        <v>28997.58</v>
      </c>
      <c r="D710">
        <f t="shared" si="24"/>
        <v>0.90869651881294922</v>
      </c>
    </row>
    <row r="711" spans="1:4">
      <c r="A711">
        <v>710</v>
      </c>
      <c r="B711">
        <v>26824</v>
      </c>
      <c r="C711">
        <f t="shared" si="23"/>
        <v>28998</v>
      </c>
      <c r="D711">
        <f t="shared" si="24"/>
        <v>0.92502931236637009</v>
      </c>
    </row>
    <row r="712" spans="1:4">
      <c r="A712">
        <v>711</v>
      </c>
      <c r="B712">
        <v>26743</v>
      </c>
      <c r="C712">
        <f t="shared" si="23"/>
        <v>28998.38</v>
      </c>
      <c r="D712">
        <f t="shared" si="24"/>
        <v>0.92222393112994583</v>
      </c>
    </row>
    <row r="713" spans="1:4">
      <c r="A713">
        <v>712</v>
      </c>
      <c r="B713">
        <v>25431</v>
      </c>
      <c r="C713">
        <f t="shared" si="23"/>
        <v>28998.720000000001</v>
      </c>
      <c r="D713">
        <f t="shared" si="24"/>
        <v>0.87696974211275525</v>
      </c>
    </row>
    <row r="714" spans="1:4">
      <c r="A714">
        <v>713</v>
      </c>
      <c r="B714">
        <v>24237</v>
      </c>
      <c r="C714">
        <f t="shared" si="23"/>
        <v>28999.02</v>
      </c>
      <c r="D714">
        <f t="shared" si="24"/>
        <v>0.83578686452162865</v>
      </c>
    </row>
    <row r="715" spans="1:4">
      <c r="A715">
        <v>714</v>
      </c>
      <c r="B715">
        <v>23524</v>
      </c>
      <c r="C715">
        <f t="shared" si="23"/>
        <v>28999.279999999999</v>
      </c>
      <c r="D715">
        <f t="shared" si="24"/>
        <v>0.81119255374616206</v>
      </c>
    </row>
    <row r="716" spans="1:4">
      <c r="A716">
        <v>715</v>
      </c>
      <c r="B716">
        <v>23929</v>
      </c>
      <c r="C716">
        <f t="shared" si="23"/>
        <v>28999.5</v>
      </c>
      <c r="D716">
        <f t="shared" si="24"/>
        <v>0.82515215779582407</v>
      </c>
    </row>
    <row r="717" spans="1:4">
      <c r="A717">
        <v>716</v>
      </c>
      <c r="B717">
        <v>25233</v>
      </c>
      <c r="C717">
        <f t="shared" si="23"/>
        <v>28999.68</v>
      </c>
      <c r="D717">
        <f t="shared" si="24"/>
        <v>0.87011304952330504</v>
      </c>
    </row>
    <row r="718" spans="1:4">
      <c r="A718">
        <v>717</v>
      </c>
      <c r="B718">
        <v>26450</v>
      </c>
      <c r="C718">
        <f t="shared" si="23"/>
        <v>28999.82</v>
      </c>
      <c r="D718">
        <f t="shared" si="24"/>
        <v>0.91207462667009653</v>
      </c>
    </row>
    <row r="719" spans="1:4">
      <c r="A719">
        <v>718</v>
      </c>
      <c r="B719">
        <v>27498</v>
      </c>
      <c r="C719">
        <f t="shared" si="23"/>
        <v>28999.919999999998</v>
      </c>
      <c r="D719">
        <f t="shared" si="24"/>
        <v>0.94820951230210293</v>
      </c>
    </row>
    <row r="720" spans="1:4">
      <c r="A720">
        <v>719</v>
      </c>
      <c r="B720">
        <v>27964</v>
      </c>
      <c r="C720">
        <f t="shared" si="23"/>
        <v>28999.98</v>
      </c>
      <c r="D720">
        <f t="shared" si="24"/>
        <v>0.96427652708726008</v>
      </c>
    </row>
    <row r="721" spans="1:4">
      <c r="A721">
        <v>720</v>
      </c>
      <c r="B721">
        <v>28216</v>
      </c>
      <c r="C721">
        <f t="shared" si="23"/>
        <v>29000</v>
      </c>
      <c r="D721">
        <f t="shared" si="24"/>
        <v>0.97296551724137936</v>
      </c>
    </row>
    <row r="722" spans="1:4">
      <c r="A722">
        <v>721</v>
      </c>
      <c r="B722">
        <v>28300</v>
      </c>
      <c r="C722">
        <f t="shared" si="23"/>
        <v>28999.98</v>
      </c>
      <c r="D722">
        <f t="shared" si="24"/>
        <v>0.97586274197430478</v>
      </c>
    </row>
    <row r="723" spans="1:4">
      <c r="A723">
        <v>722</v>
      </c>
      <c r="B723">
        <v>28493</v>
      </c>
      <c r="C723">
        <f t="shared" si="23"/>
        <v>28999.919999999998</v>
      </c>
      <c r="D723">
        <f t="shared" si="24"/>
        <v>0.98251995177917739</v>
      </c>
    </row>
    <row r="724" spans="1:4">
      <c r="A724">
        <v>723</v>
      </c>
      <c r="B724">
        <v>28864</v>
      </c>
      <c r="C724">
        <f t="shared" si="23"/>
        <v>28999.82</v>
      </c>
      <c r="D724">
        <f t="shared" si="24"/>
        <v>0.9953165226542785</v>
      </c>
    </row>
    <row r="725" spans="1:4">
      <c r="A725">
        <v>724</v>
      </c>
      <c r="B725">
        <v>29514</v>
      </c>
      <c r="C725">
        <f t="shared" si="23"/>
        <v>28999.68</v>
      </c>
      <c r="D725">
        <f t="shared" si="24"/>
        <v>1.0177353681144068</v>
      </c>
    </row>
    <row r="726" spans="1:4">
      <c r="A726">
        <v>725</v>
      </c>
      <c r="B726">
        <v>30268</v>
      </c>
      <c r="C726">
        <f t="shared" si="23"/>
        <v>28999.5</v>
      </c>
      <c r="D726">
        <f t="shared" si="24"/>
        <v>1.0437421334850601</v>
      </c>
    </row>
    <row r="727" spans="1:4">
      <c r="A727">
        <v>726</v>
      </c>
      <c r="B727">
        <v>30792</v>
      </c>
      <c r="C727">
        <f t="shared" si="23"/>
        <v>28999.279999999999</v>
      </c>
      <c r="D727">
        <f t="shared" si="24"/>
        <v>1.0618194658626008</v>
      </c>
    </row>
    <row r="728" spans="1:4">
      <c r="A728">
        <v>727</v>
      </c>
      <c r="B728">
        <v>30564</v>
      </c>
      <c r="C728">
        <f t="shared" si="23"/>
        <v>28999.02</v>
      </c>
      <c r="D728">
        <f t="shared" si="24"/>
        <v>1.0539666512868366</v>
      </c>
    </row>
    <row r="729" spans="1:4">
      <c r="A729">
        <v>728</v>
      </c>
      <c r="B729">
        <v>29718</v>
      </c>
      <c r="C729">
        <f t="shared" si="23"/>
        <v>28998.720000000001</v>
      </c>
      <c r="D729">
        <f t="shared" si="24"/>
        <v>1.024803853411461</v>
      </c>
    </row>
    <row r="730" spans="1:4">
      <c r="A730">
        <v>729</v>
      </c>
      <c r="B730">
        <v>28336</v>
      </c>
      <c r="C730">
        <f t="shared" si="23"/>
        <v>28998.38</v>
      </c>
      <c r="D730">
        <f t="shared" si="24"/>
        <v>0.97715803434536685</v>
      </c>
    </row>
    <row r="731" spans="1:4">
      <c r="A731">
        <v>730</v>
      </c>
      <c r="B731">
        <v>26609</v>
      </c>
      <c r="C731">
        <f t="shared" si="23"/>
        <v>28998</v>
      </c>
      <c r="D731">
        <f t="shared" si="24"/>
        <v>0.91761500793158146</v>
      </c>
    </row>
    <row r="732" spans="1:4">
      <c r="A732">
        <v>731</v>
      </c>
      <c r="B732">
        <v>25827</v>
      </c>
      <c r="C732">
        <f t="shared" si="23"/>
        <v>28997.58</v>
      </c>
      <c r="D732">
        <f t="shared" si="24"/>
        <v>0.89066053098224052</v>
      </c>
    </row>
    <row r="733" spans="1:4">
      <c r="A733">
        <v>732</v>
      </c>
      <c r="B733">
        <v>25878</v>
      </c>
      <c r="C733">
        <f t="shared" si="23"/>
        <v>28997.119999999999</v>
      </c>
      <c r="D733">
        <f t="shared" si="24"/>
        <v>0.89243345546040442</v>
      </c>
    </row>
    <row r="734" spans="1:4">
      <c r="A734">
        <v>733</v>
      </c>
      <c r="B734">
        <v>26183</v>
      </c>
      <c r="C734">
        <f t="shared" si="23"/>
        <v>28996.62</v>
      </c>
      <c r="D734">
        <f t="shared" si="24"/>
        <v>0.90296731136249675</v>
      </c>
    </row>
    <row r="735" spans="1:4">
      <c r="A735">
        <v>734</v>
      </c>
      <c r="B735">
        <v>26878</v>
      </c>
      <c r="C735">
        <f t="shared" si="23"/>
        <v>28996.080000000002</v>
      </c>
      <c r="D735">
        <f t="shared" si="24"/>
        <v>0.92695288466578929</v>
      </c>
    </row>
    <row r="736" spans="1:4">
      <c r="A736">
        <v>735</v>
      </c>
      <c r="B736">
        <v>27599</v>
      </c>
      <c r="C736">
        <f t="shared" si="23"/>
        <v>28995.5</v>
      </c>
      <c r="D736">
        <f t="shared" si="24"/>
        <v>0.95183735407218362</v>
      </c>
    </row>
    <row r="737" spans="1:4">
      <c r="A737">
        <v>736</v>
      </c>
      <c r="B737">
        <v>27793</v>
      </c>
      <c r="C737">
        <f t="shared" si="23"/>
        <v>28994.880000000001</v>
      </c>
      <c r="D737">
        <f t="shared" si="24"/>
        <v>0.95854854374289522</v>
      </c>
    </row>
    <row r="738" spans="1:4">
      <c r="A738">
        <v>737</v>
      </c>
      <c r="B738">
        <v>27673</v>
      </c>
      <c r="C738">
        <f t="shared" si="23"/>
        <v>28994.22</v>
      </c>
      <c r="D738">
        <f t="shared" si="24"/>
        <v>0.9544316074031306</v>
      </c>
    </row>
    <row r="739" spans="1:4">
      <c r="A739">
        <v>738</v>
      </c>
      <c r="B739">
        <v>27386</v>
      </c>
      <c r="C739">
        <f t="shared" si="23"/>
        <v>28993.52</v>
      </c>
      <c r="D739">
        <f t="shared" si="24"/>
        <v>0.94455588697060588</v>
      </c>
    </row>
    <row r="740" spans="1:4">
      <c r="A740">
        <v>739</v>
      </c>
      <c r="B740">
        <v>27447</v>
      </c>
      <c r="C740">
        <f t="shared" si="23"/>
        <v>28992.78</v>
      </c>
      <c r="D740">
        <f t="shared" si="24"/>
        <v>0.94668396752570816</v>
      </c>
    </row>
    <row r="741" spans="1:4">
      <c r="A741">
        <v>740</v>
      </c>
      <c r="B741">
        <v>27492</v>
      </c>
      <c r="C741">
        <f t="shared" si="23"/>
        <v>28992</v>
      </c>
      <c r="D741">
        <f t="shared" si="24"/>
        <v>0.94826158940397354</v>
      </c>
    </row>
    <row r="742" spans="1:4">
      <c r="A742">
        <v>741</v>
      </c>
      <c r="B742">
        <v>27488</v>
      </c>
      <c r="C742">
        <f t="shared" si="23"/>
        <v>28991.18</v>
      </c>
      <c r="D742">
        <f t="shared" si="24"/>
        <v>0.94815043747788119</v>
      </c>
    </row>
    <row r="743" spans="1:4">
      <c r="A743">
        <v>742</v>
      </c>
      <c r="B743">
        <v>27891</v>
      </c>
      <c r="C743">
        <f t="shared" si="23"/>
        <v>28990.32</v>
      </c>
      <c r="D743">
        <f t="shared" si="24"/>
        <v>0.96207975627726772</v>
      </c>
    </row>
    <row r="744" spans="1:4">
      <c r="A744">
        <v>743</v>
      </c>
      <c r="B744">
        <v>28524</v>
      </c>
      <c r="C744">
        <f t="shared" si="23"/>
        <v>28989.42</v>
      </c>
      <c r="D744">
        <f t="shared" si="24"/>
        <v>0.98394517724052433</v>
      </c>
    </row>
    <row r="745" spans="1:4">
      <c r="A745">
        <v>744</v>
      </c>
      <c r="B745">
        <v>29174</v>
      </c>
      <c r="C745">
        <f t="shared" si="23"/>
        <v>28988.48</v>
      </c>
      <c r="D745">
        <f t="shared" si="24"/>
        <v>1.0063997836381902</v>
      </c>
    </row>
    <row r="746" spans="1:4">
      <c r="A746">
        <v>745</v>
      </c>
      <c r="B746">
        <v>29929</v>
      </c>
      <c r="C746">
        <f t="shared" si="23"/>
        <v>28987.5</v>
      </c>
      <c r="D746">
        <f t="shared" si="24"/>
        <v>1.032479517033204</v>
      </c>
    </row>
    <row r="747" spans="1:4">
      <c r="A747">
        <v>746</v>
      </c>
      <c r="B747">
        <v>30780</v>
      </c>
      <c r="C747">
        <f t="shared" si="23"/>
        <v>28986.48</v>
      </c>
      <c r="D747">
        <f t="shared" si="24"/>
        <v>1.061874363496361</v>
      </c>
    </row>
    <row r="748" spans="1:4">
      <c r="A748">
        <v>747</v>
      </c>
      <c r="B748">
        <v>31179</v>
      </c>
      <c r="C748">
        <f t="shared" si="23"/>
        <v>28985.42</v>
      </c>
      <c r="D748">
        <f t="shared" si="24"/>
        <v>1.0756787377930008</v>
      </c>
    </row>
    <row r="749" spans="1:4">
      <c r="A749">
        <v>748</v>
      </c>
      <c r="B749">
        <v>31812</v>
      </c>
      <c r="C749">
        <f t="shared" si="23"/>
        <v>28984.32</v>
      </c>
      <c r="D749">
        <f t="shared" si="24"/>
        <v>1.0975589560148384</v>
      </c>
    </row>
    <row r="750" spans="1:4">
      <c r="A750">
        <v>749</v>
      </c>
      <c r="B750">
        <v>32081</v>
      </c>
      <c r="C750">
        <f t="shared" si="23"/>
        <v>28983.18</v>
      </c>
      <c r="D750">
        <f t="shared" si="24"/>
        <v>1.106883371665911</v>
      </c>
    </row>
    <row r="751" spans="1:4">
      <c r="A751">
        <v>750</v>
      </c>
      <c r="B751">
        <v>32288</v>
      </c>
      <c r="C751">
        <f t="shared" si="23"/>
        <v>28982</v>
      </c>
      <c r="D751">
        <f t="shared" si="24"/>
        <v>1.1140708025671107</v>
      </c>
    </row>
    <row r="752" spans="1:4">
      <c r="A752">
        <v>751</v>
      </c>
      <c r="B752">
        <v>32620</v>
      </c>
      <c r="C752">
        <f t="shared" si="23"/>
        <v>28980.78</v>
      </c>
      <c r="D752">
        <f t="shared" si="24"/>
        <v>1.1255735697934977</v>
      </c>
    </row>
    <row r="753" spans="1:23">
      <c r="A753">
        <v>752</v>
      </c>
      <c r="B753">
        <v>32766</v>
      </c>
      <c r="C753">
        <f t="shared" si="23"/>
        <v>28979.52</v>
      </c>
      <c r="D753">
        <f t="shared" si="24"/>
        <v>1.1306605492430517</v>
      </c>
    </row>
    <row r="754" spans="1:23">
      <c r="A754">
        <v>753</v>
      </c>
      <c r="B754">
        <v>32618</v>
      </c>
      <c r="C754">
        <f t="shared" si="23"/>
        <v>28978.22</v>
      </c>
      <c r="D754">
        <f t="shared" si="24"/>
        <v>1.1256039880986479</v>
      </c>
    </row>
    <row r="755" spans="1:23">
      <c r="A755">
        <v>754</v>
      </c>
      <c r="B755">
        <v>31454</v>
      </c>
      <c r="C755">
        <f t="shared" si="23"/>
        <v>28976.880000000001</v>
      </c>
      <c r="D755">
        <f t="shared" si="24"/>
        <v>1.0854860840780649</v>
      </c>
    </row>
    <row r="756" spans="1:23">
      <c r="A756">
        <v>755</v>
      </c>
      <c r="B756">
        <v>29782</v>
      </c>
      <c r="C756">
        <f t="shared" si="23"/>
        <v>28975.5</v>
      </c>
      <c r="D756">
        <f t="shared" si="24"/>
        <v>1.0278338596400407</v>
      </c>
    </row>
    <row r="757" spans="1:23">
      <c r="A757">
        <v>756</v>
      </c>
      <c r="B757">
        <v>27187</v>
      </c>
      <c r="C757">
        <f t="shared" si="23"/>
        <v>28974.080000000002</v>
      </c>
      <c r="D757">
        <f t="shared" si="24"/>
        <v>0.93832142383813388</v>
      </c>
    </row>
    <row r="758" spans="1:23">
      <c r="A758">
        <v>757</v>
      </c>
      <c r="B758">
        <v>24070</v>
      </c>
      <c r="C758">
        <f t="shared" si="23"/>
        <v>28972.62</v>
      </c>
      <c r="D758">
        <f t="shared" si="24"/>
        <v>0.83078437504098701</v>
      </c>
    </row>
    <row r="759" spans="1:23">
      <c r="A759">
        <v>758</v>
      </c>
      <c r="B759">
        <v>20112</v>
      </c>
      <c r="C759">
        <f t="shared" si="23"/>
        <v>28971.119999999999</v>
      </c>
      <c r="D759">
        <f t="shared" si="24"/>
        <v>0.69420857736946318</v>
      </c>
      <c r="E759">
        <f t="shared" ref="E752:E793" si="25" xml:space="preserve"> 1.39394098683175E-18*A759*A759*A759*A759*A759*A759 - 6.58044383788171E-15*A759*A759*A759*A759*A759 + 1.16354508506345E-11*A759*A759*A759*A759 - 9.29864698195214E-09*A759*A759*A759 + 3.02469198127472E-06*A759*A759 + 0.0924365570558958*A759 + 6492.49282015586</f>
        <v>6562.7067556690545</v>
      </c>
      <c r="F759">
        <f t="shared" ref="F752:F793" si="26">E759-E$766</f>
        <v>-0.64747599954262114</v>
      </c>
      <c r="G759">
        <f t="shared" ref="G752:G793" si="27">D759</f>
        <v>0.69420857736946318</v>
      </c>
    </row>
    <row r="760" spans="1:23">
      <c r="A760">
        <v>759</v>
      </c>
      <c r="B760">
        <v>15843</v>
      </c>
      <c r="C760">
        <f t="shared" si="23"/>
        <v>28969.58</v>
      </c>
      <c r="D760">
        <f t="shared" si="24"/>
        <v>0.54688400729316744</v>
      </c>
      <c r="E760">
        <f t="shared" si="25"/>
        <v>6562.799250816347</v>
      </c>
      <c r="F760">
        <f t="shared" si="26"/>
        <v>-0.55498085225008253</v>
      </c>
      <c r="G760">
        <f t="shared" si="27"/>
        <v>0.54688400729316744</v>
      </c>
    </row>
    <row r="761" spans="1:23">
      <c r="A761">
        <v>760</v>
      </c>
      <c r="B761">
        <v>12004</v>
      </c>
      <c r="C761">
        <f t="shared" si="23"/>
        <v>28968</v>
      </c>
      <c r="D761">
        <f t="shared" si="24"/>
        <v>0.41438829052747861</v>
      </c>
      <c r="E761">
        <f t="shared" si="25"/>
        <v>6562.8917464353299</v>
      </c>
      <c r="F761">
        <f t="shared" si="26"/>
        <v>-0.46248523326721624</v>
      </c>
      <c r="G761">
        <f t="shared" si="27"/>
        <v>0.41438829052747861</v>
      </c>
    </row>
    <row r="762" spans="1:23">
      <c r="A762">
        <v>761</v>
      </c>
      <c r="B762">
        <v>9034</v>
      </c>
      <c r="C762">
        <f t="shared" si="23"/>
        <v>28966.38</v>
      </c>
      <c r="D762">
        <f t="shared" si="24"/>
        <v>0.31187880570509674</v>
      </c>
      <c r="E762">
        <f t="shared" si="25"/>
        <v>6562.9842425278339</v>
      </c>
      <c r="F762">
        <f t="shared" si="26"/>
        <v>-0.36998914076320943</v>
      </c>
      <c r="G762">
        <f t="shared" si="27"/>
        <v>0.31187880570509674</v>
      </c>
    </row>
    <row r="763" spans="1:23">
      <c r="A763">
        <v>762</v>
      </c>
      <c r="B763">
        <v>6944</v>
      </c>
      <c r="C763">
        <f t="shared" si="23"/>
        <v>28964.720000000001</v>
      </c>
      <c r="D763">
        <f t="shared" si="24"/>
        <v>0.23973993188955389</v>
      </c>
      <c r="E763">
        <f t="shared" si="25"/>
        <v>6563.0767390956589</v>
      </c>
      <c r="F763">
        <f t="shared" si="26"/>
        <v>-0.27749257293817209</v>
      </c>
      <c r="G763">
        <f t="shared" si="27"/>
        <v>0.23973993188955389</v>
      </c>
    </row>
    <row r="764" spans="1:23">
      <c r="A764">
        <v>763</v>
      </c>
      <c r="B764">
        <v>5853</v>
      </c>
      <c r="C764">
        <f t="shared" si="23"/>
        <v>28963.02</v>
      </c>
      <c r="D764">
        <f t="shared" si="24"/>
        <v>0.20208527978090682</v>
      </c>
      <c r="E764">
        <f t="shared" si="25"/>
        <v>6563.169236140574</v>
      </c>
      <c r="F764">
        <f t="shared" si="26"/>
        <v>-0.18499552802313701</v>
      </c>
      <c r="G764">
        <f t="shared" si="27"/>
        <v>0.20208527978090682</v>
      </c>
    </row>
    <row r="765" spans="1:23">
      <c r="A765">
        <v>764</v>
      </c>
      <c r="B765">
        <v>5302</v>
      </c>
      <c r="C765">
        <f t="shared" si="23"/>
        <v>28961.279999999999</v>
      </c>
      <c r="D765">
        <f t="shared" si="24"/>
        <v>0.18307201891629099</v>
      </c>
      <c r="E765">
        <f t="shared" si="25"/>
        <v>6563.2617336643179</v>
      </c>
      <c r="F765">
        <f t="shared" si="26"/>
        <v>-9.2498004279150337E-2</v>
      </c>
      <c r="G765">
        <f t="shared" si="27"/>
        <v>0.18307201891629099</v>
      </c>
      <c r="H765">
        <v>6563.3542319999997</v>
      </c>
      <c r="O765">
        <v>10</v>
      </c>
    </row>
    <row r="766" spans="1:23" ht="17.25">
      <c r="A766" s="5">
        <v>765</v>
      </c>
      <c r="B766" s="5">
        <v>5194</v>
      </c>
      <c r="C766" s="5">
        <f t="shared" si="23"/>
        <v>28959.5</v>
      </c>
      <c r="D766" s="5">
        <f t="shared" si="24"/>
        <v>0.17935392530948394</v>
      </c>
      <c r="E766" s="5">
        <f t="shared" si="25"/>
        <v>6563.3542316685971</v>
      </c>
      <c r="F766" s="5">
        <f t="shared" si="26"/>
        <v>0</v>
      </c>
      <c r="G766" s="5">
        <f t="shared" si="27"/>
        <v>0.17935392530948394</v>
      </c>
      <c r="H766" s="5">
        <v>6562.79</v>
      </c>
      <c r="K766" s="8">
        <v>0.31749070000000001</v>
      </c>
      <c r="L766" s="8">
        <v>-0.67936960000000002</v>
      </c>
      <c r="M766" s="8">
        <v>0.57788919999999999</v>
      </c>
      <c r="N766" s="8">
        <v>-2.0481359999999999E-3</v>
      </c>
      <c r="O766" s="8">
        <v>0.177926</v>
      </c>
    </row>
    <row r="767" spans="1:23">
      <c r="A767">
        <v>766</v>
      </c>
      <c r="B767">
        <v>5287</v>
      </c>
      <c r="C767">
        <f t="shared" si="23"/>
        <v>28957.68</v>
      </c>
      <c r="D767">
        <f t="shared" si="24"/>
        <v>0.18257678101284358</v>
      </c>
      <c r="E767">
        <f t="shared" si="25"/>
        <v>6563.4467301550867</v>
      </c>
      <c r="F767">
        <f t="shared" si="26"/>
        <v>9.2498486489603238E-2</v>
      </c>
      <c r="G767">
        <f t="shared" si="27"/>
        <v>0.18257678101284358</v>
      </c>
      <c r="I767" s="10"/>
      <c r="J767" s="11"/>
      <c r="K767" s="10"/>
      <c r="L767" s="10"/>
      <c r="M767" s="10"/>
      <c r="N767" s="10"/>
      <c r="O767" s="10"/>
      <c r="P767" s="10"/>
      <c r="Q767" s="10">
        <f>H766</f>
        <v>6562.79</v>
      </c>
      <c r="R767" s="10">
        <f>P769</f>
        <v>26.328084480820024</v>
      </c>
      <c r="S767" s="10">
        <f>J771</f>
        <v>0.1779802894446379</v>
      </c>
      <c r="T767" s="10">
        <f>N773</f>
        <v>49.437367589729348</v>
      </c>
      <c r="U767" s="10">
        <f>J772</f>
        <v>1.108527259807887</v>
      </c>
      <c r="V767" s="11">
        <f>O765</f>
        <v>10</v>
      </c>
      <c r="W767" s="10">
        <f>MIN(J768:J770)*MAX(J768:J770)</f>
        <v>-1.1265400433747932E-2</v>
      </c>
    </row>
    <row r="768" spans="1:23" ht="18">
      <c r="A768">
        <v>767</v>
      </c>
      <c r="B768">
        <v>5565</v>
      </c>
      <c r="C768">
        <f t="shared" si="23"/>
        <v>28955.82</v>
      </c>
      <c r="D768">
        <f t="shared" si="24"/>
        <v>0.192189342246222</v>
      </c>
      <c r="E768">
        <f t="shared" si="25"/>
        <v>6563.5392291254329</v>
      </c>
      <c r="F768">
        <f t="shared" si="26"/>
        <v>0.18499745683584479</v>
      </c>
      <c r="G768">
        <f t="shared" si="27"/>
        <v>0.192189342246222</v>
      </c>
      <c r="I768" s="12" t="s">
        <v>100</v>
      </c>
      <c r="J768" s="12">
        <f>6*I766*F765*F765*F765*F765*F765+5*J766*F765*F765*F765*F765+4*K766*F765*F765*F765+3*L766*F765*F765+2*M766*F765+N766</f>
        <v>-0.12739819830114069</v>
      </c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 spans="1:23" ht="18">
      <c r="A769">
        <v>768</v>
      </c>
      <c r="B769">
        <v>6048</v>
      </c>
      <c r="C769">
        <f t="shared" si="23"/>
        <v>28953.919999999998</v>
      </c>
      <c r="D769">
        <f t="shared" si="24"/>
        <v>0.20888363302792853</v>
      </c>
      <c r="E769">
        <f t="shared" si="25"/>
        <v>6563.6317285812474</v>
      </c>
      <c r="F769">
        <f t="shared" si="26"/>
        <v>0.27749691265034926</v>
      </c>
      <c r="G769">
        <f t="shared" si="27"/>
        <v>0.20888363302792853</v>
      </c>
      <c r="I769" s="12" t="s">
        <v>100</v>
      </c>
      <c r="J769" s="12">
        <f>6*I766*F766*F766*F766*F766*F766+5*J766*F766*F766*F766*F766+4*K766*F766*F766*F766+3*L766*F766*F766+2*M766*F766+N766</f>
        <v>-2.0481359999999999E-3</v>
      </c>
      <c r="K769" s="11" t="s">
        <v>101</v>
      </c>
      <c r="L769" s="11">
        <f>((F765+F766+F767)*(F765*J768+F766*J769+F767*J770)-(J768+J769+J770)*(F765*F765+F766*F766+F767*F767))/(3*(F765*J768+F766*J769+F767*J770)-(F765+F766+F767)*(J768+J769+J770))</f>
        <v>1.1720298500371429E-2</v>
      </c>
      <c r="M769" s="12" t="s">
        <v>102</v>
      </c>
      <c r="N769" s="12">
        <f>H765+L769</f>
        <v>6563.3659522984999</v>
      </c>
      <c r="O769" s="11" t="s">
        <v>103</v>
      </c>
      <c r="P769" s="11">
        <f>300000*(N769/H766-1)</f>
        <v>26.328084480820024</v>
      </c>
      <c r="Q769" s="10"/>
      <c r="R769" s="10"/>
      <c r="S769" s="10"/>
      <c r="T769" s="10"/>
      <c r="U769" s="10"/>
      <c r="V769" s="10"/>
      <c r="W769" s="10"/>
    </row>
    <row r="770" spans="1:23" ht="18">
      <c r="A770">
        <v>769</v>
      </c>
      <c r="B770">
        <v>6610</v>
      </c>
      <c r="C770">
        <f t="shared" ref="C770:C833" si="28">29000-10000*(A770-720)*(A770-720)/500000</f>
        <v>28951.98</v>
      </c>
      <c r="D770">
        <f t="shared" ref="D770:D833" si="29">B770/C770</f>
        <v>0.22830908283302212</v>
      </c>
      <c r="E770">
        <f t="shared" si="25"/>
        <v>6563.7242285241136</v>
      </c>
      <c r="F770">
        <f t="shared" si="26"/>
        <v>0.36999685551654693</v>
      </c>
      <c r="G770">
        <f t="shared" si="27"/>
        <v>0.22830908283302212</v>
      </c>
      <c r="I770" s="12" t="s">
        <v>100</v>
      </c>
      <c r="J770" s="12">
        <f>6*I766*F767*F767*F767*F767*F767+5*J766*F767*F767*F767*F767+4*K766*F767*F767*F767+3*L766*F767*F767+2*M766*F767+N766</f>
        <v>8.8426685651543199E-2</v>
      </c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spans="1:23" ht="18">
      <c r="A771">
        <v>770</v>
      </c>
      <c r="B771">
        <v>7186</v>
      </c>
      <c r="C771">
        <f t="shared" si="28"/>
        <v>28950</v>
      </c>
      <c r="D771">
        <f t="shared" si="29"/>
        <v>0.24822107081174438</v>
      </c>
      <c r="E771">
        <f t="shared" si="25"/>
        <v>6563.8167289555822</v>
      </c>
      <c r="F771">
        <f t="shared" si="26"/>
        <v>0.46249728698512627</v>
      </c>
      <c r="G771">
        <f t="shared" si="27"/>
        <v>0.24822107081174438</v>
      </c>
      <c r="I771" s="11" t="s">
        <v>104</v>
      </c>
      <c r="J771" s="10">
        <f>I766*L769*L769*L769*L769*L769*L769+J766*L769*L769*L769*L769*L769+K766*L769*L769*L769*L769+L766*L769*L769*L769+M766*L769*L769+N766*L769+O766</f>
        <v>0.1779802894446379</v>
      </c>
      <c r="K771" s="13" t="s">
        <v>105</v>
      </c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spans="1:23" ht="18">
      <c r="A772">
        <v>771</v>
      </c>
      <c r="B772">
        <v>7774</v>
      </c>
      <c r="C772">
        <f t="shared" si="28"/>
        <v>28947.98</v>
      </c>
      <c r="D772">
        <f t="shared" si="29"/>
        <v>0.2685506898926972</v>
      </c>
      <c r="E772">
        <f t="shared" si="25"/>
        <v>6563.9092298771729</v>
      </c>
      <c r="F772">
        <f t="shared" si="26"/>
        <v>0.55499820857585291</v>
      </c>
      <c r="G772">
        <f t="shared" si="27"/>
        <v>0.2685506898926972</v>
      </c>
      <c r="I772" s="11" t="s">
        <v>106</v>
      </c>
      <c r="J772" s="10">
        <f>30*I766*L769*L769*L769*L769+20*J766*L769*L769*L769+12*K766*L769*L769+6*L766*L769+2*M766</f>
        <v>1.108527259807887</v>
      </c>
      <c r="K772" s="13" t="s">
        <v>107</v>
      </c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 spans="1:23" ht="18">
      <c r="A773">
        <v>772</v>
      </c>
      <c r="B773">
        <v>8553</v>
      </c>
      <c r="C773">
        <f t="shared" si="28"/>
        <v>28945.919999999998</v>
      </c>
      <c r="D773">
        <f t="shared" si="29"/>
        <v>0.2954820575749536</v>
      </c>
      <c r="E773">
        <f t="shared" si="25"/>
        <v>6564.0017312903738</v>
      </c>
      <c r="F773">
        <f t="shared" si="26"/>
        <v>0.64749962177666021</v>
      </c>
      <c r="G773">
        <f t="shared" si="27"/>
        <v>0.2954820575749536</v>
      </c>
      <c r="I773" s="11" t="s">
        <v>108</v>
      </c>
      <c r="J773" s="11">
        <f>120*I766*L769*L769*L769+60*J766*L769*L769+24*K766*L769+6*L766</f>
        <v>-3.9869115413977947</v>
      </c>
      <c r="K773" s="14" t="s">
        <v>109</v>
      </c>
      <c r="L773" s="14">
        <f>-J773/(3*J772*J772)</f>
        <v>1.0814902054806663</v>
      </c>
      <c r="M773" s="15" t="s">
        <v>110</v>
      </c>
      <c r="N773" s="14">
        <f>300000*L773/H766</f>
        <v>49.437367589729348</v>
      </c>
      <c r="O773" s="10"/>
      <c r="P773" s="10"/>
      <c r="Q773" s="16" t="s">
        <v>111</v>
      </c>
      <c r="R773" s="11" t="s">
        <v>93</v>
      </c>
      <c r="S773" s="11" t="s">
        <v>112</v>
      </c>
      <c r="T773" s="11" t="s">
        <v>113</v>
      </c>
      <c r="U773" s="11" t="s">
        <v>114</v>
      </c>
      <c r="V773" s="11" t="s">
        <v>115</v>
      </c>
      <c r="W773" s="11" t="s">
        <v>116</v>
      </c>
    </row>
    <row r="774" spans="1:23">
      <c r="A774">
        <v>773</v>
      </c>
      <c r="B774">
        <v>9359</v>
      </c>
      <c r="C774">
        <f t="shared" si="28"/>
        <v>28943.82</v>
      </c>
      <c r="D774">
        <f t="shared" si="29"/>
        <v>0.32335054598874646</v>
      </c>
      <c r="E774">
        <f t="shared" si="25"/>
        <v>6564.0942331966435</v>
      </c>
      <c r="F774">
        <f t="shared" si="26"/>
        <v>0.74000152804637764</v>
      </c>
      <c r="G774">
        <f t="shared" si="27"/>
        <v>0.32335054598874646</v>
      </c>
    </row>
    <row r="775" spans="1:23">
      <c r="A775">
        <v>774</v>
      </c>
      <c r="B775">
        <v>10861</v>
      </c>
      <c r="C775">
        <f t="shared" si="28"/>
        <v>28941.68</v>
      </c>
      <c r="D775">
        <f t="shared" si="29"/>
        <v>0.37527192616323585</v>
      </c>
      <c r="E775">
        <f t="shared" si="25"/>
        <v>6564.1867355974064</v>
      </c>
      <c r="F775">
        <f t="shared" si="26"/>
        <v>0.83250392880927393</v>
      </c>
      <c r="G775">
        <f t="shared" si="27"/>
        <v>0.37527192616323585</v>
      </c>
    </row>
    <row r="776" spans="1:23">
      <c r="A776">
        <v>775</v>
      </c>
      <c r="B776">
        <v>13003</v>
      </c>
      <c r="C776">
        <f t="shared" si="28"/>
        <v>28939.5</v>
      </c>
      <c r="D776">
        <f t="shared" si="29"/>
        <v>0.44931667789699198</v>
      </c>
      <c r="E776">
        <f t="shared" si="25"/>
        <v>6564.2792384940576</v>
      </c>
      <c r="F776">
        <f t="shared" si="26"/>
        <v>0.92500682546051394</v>
      </c>
      <c r="G776">
        <f t="shared" si="27"/>
        <v>0.44931667789699198</v>
      </c>
    </row>
    <row r="777" spans="1:23">
      <c r="A777">
        <v>776</v>
      </c>
      <c r="B777">
        <v>15475</v>
      </c>
      <c r="C777">
        <f t="shared" si="28"/>
        <v>28937.279999999999</v>
      </c>
      <c r="D777">
        <f t="shared" si="29"/>
        <v>0.53477728383593759</v>
      </c>
      <c r="E777">
        <f t="shared" si="25"/>
        <v>6564.3717418879605</v>
      </c>
      <c r="F777">
        <f t="shared" si="26"/>
        <v>1.0175102193634302</v>
      </c>
      <c r="G777">
        <f t="shared" si="27"/>
        <v>0.53477728383593759</v>
      </c>
    </row>
    <row r="778" spans="1:23">
      <c r="A778">
        <v>777</v>
      </c>
      <c r="B778">
        <v>18124</v>
      </c>
      <c r="C778">
        <f t="shared" si="28"/>
        <v>28935.02</v>
      </c>
      <c r="D778">
        <f t="shared" si="29"/>
        <v>0.62636901581543747</v>
      </c>
      <c r="E778">
        <f t="shared" si="25"/>
        <v>6564.4642457804475</v>
      </c>
      <c r="F778">
        <f t="shared" si="26"/>
        <v>1.1100141118504325</v>
      </c>
      <c r="G778">
        <f t="shared" si="27"/>
        <v>0.62636901581543747</v>
      </c>
    </row>
    <row r="779" spans="1:23">
      <c r="A779">
        <v>778</v>
      </c>
      <c r="B779">
        <v>20241</v>
      </c>
      <c r="C779">
        <f t="shared" si="28"/>
        <v>28932.720000000001</v>
      </c>
      <c r="D779">
        <f t="shared" si="29"/>
        <v>0.69958856270685921</v>
      </c>
      <c r="E779">
        <f t="shared" si="25"/>
        <v>6564.5567501728183</v>
      </c>
      <c r="F779">
        <f t="shared" si="26"/>
        <v>1.2025185042211888</v>
      </c>
      <c r="G779">
        <f t="shared" si="27"/>
        <v>0.69958856270685921</v>
      </c>
    </row>
    <row r="780" spans="1:23">
      <c r="A780">
        <v>779</v>
      </c>
      <c r="B780">
        <v>22239</v>
      </c>
      <c r="C780">
        <f t="shared" si="28"/>
        <v>28930.38</v>
      </c>
      <c r="D780">
        <f t="shared" si="29"/>
        <v>0.76870749710166264</v>
      </c>
    </row>
    <row r="781" spans="1:23">
      <c r="A781">
        <v>780</v>
      </c>
      <c r="B781">
        <v>23769</v>
      </c>
      <c r="C781">
        <f t="shared" si="28"/>
        <v>28928</v>
      </c>
      <c r="D781">
        <f t="shared" si="29"/>
        <v>0.82166067477876104</v>
      </c>
    </row>
    <row r="782" spans="1:23">
      <c r="A782">
        <v>781</v>
      </c>
      <c r="B782">
        <v>24956</v>
      </c>
      <c r="C782">
        <f t="shared" si="28"/>
        <v>28925.58</v>
      </c>
      <c r="D782">
        <f t="shared" si="29"/>
        <v>0.86276575958027457</v>
      </c>
    </row>
    <row r="783" spans="1:23">
      <c r="A783">
        <v>782</v>
      </c>
      <c r="B783">
        <v>25963</v>
      </c>
      <c r="C783">
        <f t="shared" si="28"/>
        <v>28923.119999999999</v>
      </c>
      <c r="D783">
        <f t="shared" si="29"/>
        <v>0.89765557795977757</v>
      </c>
    </row>
    <row r="784" spans="1:23">
      <c r="A784">
        <v>783</v>
      </c>
      <c r="B784">
        <v>26831</v>
      </c>
      <c r="C784">
        <f t="shared" si="28"/>
        <v>28920.62</v>
      </c>
      <c r="D784">
        <f t="shared" si="29"/>
        <v>0.92774636228407281</v>
      </c>
    </row>
    <row r="785" spans="1:7">
      <c r="A785">
        <v>784</v>
      </c>
      <c r="B785">
        <v>27696</v>
      </c>
      <c r="C785">
        <f t="shared" si="28"/>
        <v>28918.080000000002</v>
      </c>
      <c r="D785">
        <f t="shared" si="29"/>
        <v>0.95773993294160598</v>
      </c>
    </row>
    <row r="786" spans="1:7">
      <c r="A786">
        <v>785</v>
      </c>
      <c r="B786">
        <v>28164</v>
      </c>
      <c r="C786">
        <f t="shared" si="28"/>
        <v>28915.5</v>
      </c>
      <c r="D786">
        <f t="shared" si="29"/>
        <v>0.97401047880894331</v>
      </c>
    </row>
    <row r="787" spans="1:7">
      <c r="A787">
        <v>786</v>
      </c>
      <c r="B787">
        <v>28226</v>
      </c>
      <c r="C787">
        <f t="shared" si="28"/>
        <v>28912.880000000001</v>
      </c>
      <c r="D787">
        <f t="shared" si="29"/>
        <v>0.97624311379565087</v>
      </c>
    </row>
    <row r="788" spans="1:7">
      <c r="A788">
        <v>787</v>
      </c>
      <c r="B788">
        <v>28479</v>
      </c>
      <c r="C788">
        <f t="shared" si="28"/>
        <v>28910.22</v>
      </c>
      <c r="D788">
        <f t="shared" si="29"/>
        <v>0.98508416746742156</v>
      </c>
    </row>
    <row r="789" spans="1:7">
      <c r="A789">
        <v>788</v>
      </c>
      <c r="B789">
        <v>28734</v>
      </c>
      <c r="C789">
        <f t="shared" si="28"/>
        <v>28907.52</v>
      </c>
      <c r="D789">
        <f t="shared" si="29"/>
        <v>0.99399740967056327</v>
      </c>
    </row>
    <row r="790" spans="1:7">
      <c r="A790">
        <v>789</v>
      </c>
      <c r="B790">
        <v>29059</v>
      </c>
      <c r="C790">
        <f t="shared" si="28"/>
        <v>28904.78</v>
      </c>
      <c r="D790">
        <f t="shared" si="29"/>
        <v>1.0053354497076263</v>
      </c>
    </row>
    <row r="791" spans="1:7">
      <c r="A791">
        <v>790</v>
      </c>
      <c r="B791">
        <v>29763</v>
      </c>
      <c r="C791">
        <f t="shared" si="28"/>
        <v>28902</v>
      </c>
      <c r="D791">
        <f t="shared" si="29"/>
        <v>1.0297903259290015</v>
      </c>
    </row>
    <row r="792" spans="1:7">
      <c r="A792">
        <v>791</v>
      </c>
      <c r="B792">
        <v>30121</v>
      </c>
      <c r="C792">
        <f t="shared" si="28"/>
        <v>28899.18</v>
      </c>
      <c r="D792">
        <f t="shared" si="29"/>
        <v>1.0422787082540057</v>
      </c>
    </row>
    <row r="793" spans="1:7">
      <c r="A793">
        <v>792</v>
      </c>
      <c r="B793">
        <v>29883</v>
      </c>
      <c r="C793">
        <f t="shared" si="28"/>
        <v>28896.32</v>
      </c>
      <c r="D793">
        <f t="shared" si="29"/>
        <v>1.0341455244127973</v>
      </c>
    </row>
    <row r="794" spans="1:7">
      <c r="A794">
        <v>793</v>
      </c>
      <c r="B794">
        <v>28764</v>
      </c>
      <c r="C794">
        <f t="shared" si="28"/>
        <v>28893.42</v>
      </c>
      <c r="D794">
        <f t="shared" si="29"/>
        <v>0.99552077947158912</v>
      </c>
    </row>
    <row r="795" spans="1:7">
      <c r="A795">
        <v>794</v>
      </c>
      <c r="B795">
        <v>27224</v>
      </c>
      <c r="C795">
        <f t="shared" si="28"/>
        <v>28890.48</v>
      </c>
      <c r="D795">
        <f t="shared" si="29"/>
        <v>0.94231733083008662</v>
      </c>
    </row>
    <row r="796" spans="1:7">
      <c r="A796">
        <v>795</v>
      </c>
      <c r="B796">
        <v>25891</v>
      </c>
      <c r="C796">
        <f t="shared" si="28"/>
        <v>28887.5</v>
      </c>
      <c r="D796">
        <f t="shared" si="29"/>
        <v>0.8962700129813933</v>
      </c>
    </row>
    <row r="797" spans="1:7">
      <c r="A797">
        <v>796</v>
      </c>
      <c r="B797">
        <v>25094</v>
      </c>
      <c r="C797">
        <f t="shared" si="28"/>
        <v>28884.48</v>
      </c>
      <c r="D797">
        <f t="shared" si="29"/>
        <v>0.86877104936630334</v>
      </c>
    </row>
    <row r="798" spans="1:7">
      <c r="A798">
        <v>797</v>
      </c>
      <c r="B798">
        <v>24398</v>
      </c>
      <c r="C798">
        <f t="shared" si="28"/>
        <v>28881.42</v>
      </c>
      <c r="D798">
        <f t="shared" si="29"/>
        <v>0.84476455797533501</v>
      </c>
    </row>
    <row r="799" spans="1:7" ht="17.25">
      <c r="A799">
        <v>798</v>
      </c>
      <c r="B799">
        <v>24028</v>
      </c>
      <c r="C799">
        <f t="shared" si="28"/>
        <v>28878.32</v>
      </c>
      <c r="D799">
        <f t="shared" si="29"/>
        <v>0.83204286121907367</v>
      </c>
      <c r="F799">
        <v>798</v>
      </c>
      <c r="G799" t="s">
        <v>75</v>
      </c>
    </row>
    <row r="800" spans="1:7">
      <c r="A800">
        <v>799</v>
      </c>
      <c r="B800">
        <v>24409</v>
      </c>
      <c r="C800">
        <f t="shared" si="28"/>
        <v>28875.18</v>
      </c>
      <c r="D800">
        <f t="shared" si="29"/>
        <v>0.84532806375579306</v>
      </c>
    </row>
    <row r="801" spans="1:4">
      <c r="A801">
        <v>800</v>
      </c>
      <c r="B801">
        <v>25564</v>
      </c>
      <c r="C801">
        <f t="shared" si="28"/>
        <v>28872</v>
      </c>
      <c r="D801">
        <f t="shared" si="29"/>
        <v>0.88542532557495146</v>
      </c>
    </row>
    <row r="802" spans="1:4">
      <c r="A802">
        <v>801</v>
      </c>
      <c r="B802">
        <v>27128</v>
      </c>
      <c r="C802">
        <f t="shared" si="28"/>
        <v>28868.78</v>
      </c>
      <c r="D802">
        <f t="shared" si="29"/>
        <v>0.93970025751001607</v>
      </c>
    </row>
    <row r="803" spans="1:4">
      <c r="A803">
        <v>802</v>
      </c>
      <c r="B803">
        <v>28515</v>
      </c>
      <c r="C803">
        <f t="shared" si="28"/>
        <v>28865.52</v>
      </c>
      <c r="D803">
        <f t="shared" si="29"/>
        <v>0.98785679246381153</v>
      </c>
    </row>
    <row r="804" spans="1:4">
      <c r="A804">
        <v>803</v>
      </c>
      <c r="B804">
        <v>29518</v>
      </c>
      <c r="C804">
        <f t="shared" si="28"/>
        <v>28862.22</v>
      </c>
      <c r="D804">
        <f t="shared" si="29"/>
        <v>1.0227210519495729</v>
      </c>
    </row>
    <row r="805" spans="1:4">
      <c r="A805">
        <v>804</v>
      </c>
      <c r="B805">
        <v>29819</v>
      </c>
      <c r="C805">
        <f t="shared" si="28"/>
        <v>28858.880000000001</v>
      </c>
      <c r="D805">
        <f t="shared" si="29"/>
        <v>1.0332694823915549</v>
      </c>
    </row>
    <row r="806" spans="1:4">
      <c r="A806">
        <v>805</v>
      </c>
      <c r="B806">
        <v>29521</v>
      </c>
      <c r="C806">
        <f t="shared" si="28"/>
        <v>28855.5</v>
      </c>
      <c r="D806">
        <f t="shared" si="29"/>
        <v>1.0230631941917485</v>
      </c>
    </row>
    <row r="807" spans="1:4">
      <c r="A807">
        <v>806</v>
      </c>
      <c r="B807">
        <v>28903</v>
      </c>
      <c r="C807">
        <f t="shared" si="28"/>
        <v>28852.080000000002</v>
      </c>
      <c r="D807">
        <f t="shared" si="29"/>
        <v>1.0017648640929873</v>
      </c>
    </row>
    <row r="808" spans="1:4">
      <c r="A808">
        <v>807</v>
      </c>
      <c r="B808">
        <v>27879</v>
      </c>
      <c r="C808">
        <f t="shared" si="28"/>
        <v>28848.62</v>
      </c>
      <c r="D808">
        <f t="shared" si="29"/>
        <v>0.96638938015059306</v>
      </c>
    </row>
    <row r="809" spans="1:4">
      <c r="A809">
        <v>808</v>
      </c>
      <c r="B809">
        <v>26863</v>
      </c>
      <c r="C809">
        <f t="shared" si="28"/>
        <v>28845.119999999999</v>
      </c>
      <c r="D809">
        <f t="shared" si="29"/>
        <v>0.93128404388679964</v>
      </c>
    </row>
    <row r="810" spans="1:4">
      <c r="A810">
        <v>809</v>
      </c>
      <c r="B810">
        <v>26711</v>
      </c>
      <c r="C810">
        <f t="shared" si="28"/>
        <v>28841.58</v>
      </c>
      <c r="D810">
        <f t="shared" si="29"/>
        <v>0.92612818021758858</v>
      </c>
    </row>
    <row r="811" spans="1:4">
      <c r="A811">
        <v>810</v>
      </c>
      <c r="B811">
        <v>27031</v>
      </c>
      <c r="C811">
        <f t="shared" si="28"/>
        <v>28838</v>
      </c>
      <c r="D811">
        <f t="shared" si="29"/>
        <v>0.93733962133296345</v>
      </c>
    </row>
    <row r="812" spans="1:4">
      <c r="A812">
        <v>811</v>
      </c>
      <c r="B812">
        <v>28062</v>
      </c>
      <c r="C812">
        <f t="shared" si="28"/>
        <v>28834.38</v>
      </c>
      <c r="D812">
        <f t="shared" si="29"/>
        <v>0.97321322671061417</v>
      </c>
    </row>
    <row r="813" spans="1:4">
      <c r="A813">
        <v>812</v>
      </c>
      <c r="B813">
        <v>28742</v>
      </c>
      <c r="C813">
        <f t="shared" si="28"/>
        <v>28830.720000000001</v>
      </c>
      <c r="D813">
        <f t="shared" si="29"/>
        <v>0.99692272686911731</v>
      </c>
    </row>
    <row r="814" spans="1:4">
      <c r="A814">
        <v>813</v>
      </c>
      <c r="B814">
        <v>28722</v>
      </c>
      <c r="C814">
        <f t="shared" si="28"/>
        <v>28827.02</v>
      </c>
      <c r="D814">
        <f t="shared" si="29"/>
        <v>0.99635689016762741</v>
      </c>
    </row>
    <row r="815" spans="1:4">
      <c r="A815">
        <v>814</v>
      </c>
      <c r="B815">
        <v>28837</v>
      </c>
      <c r="C815">
        <f t="shared" si="28"/>
        <v>28823.279999999999</v>
      </c>
      <c r="D815">
        <f t="shared" si="29"/>
        <v>1.0004760041188929</v>
      </c>
    </row>
    <row r="816" spans="1:4">
      <c r="A816">
        <v>815</v>
      </c>
      <c r="B816">
        <v>28749</v>
      </c>
      <c r="C816">
        <f t="shared" si="28"/>
        <v>28819.5</v>
      </c>
      <c r="D816">
        <f t="shared" si="29"/>
        <v>0.99755373965544158</v>
      </c>
    </row>
    <row r="817" spans="1:4">
      <c r="A817">
        <v>816</v>
      </c>
      <c r="B817">
        <v>28640</v>
      </c>
      <c r="C817">
        <f t="shared" si="28"/>
        <v>28815.68</v>
      </c>
      <c r="D817">
        <f t="shared" si="29"/>
        <v>0.9939033193039345</v>
      </c>
    </row>
    <row r="818" spans="1:4">
      <c r="A818">
        <v>817</v>
      </c>
      <c r="B818">
        <v>28870</v>
      </c>
      <c r="C818">
        <f t="shared" si="28"/>
        <v>28811.82</v>
      </c>
      <c r="D818">
        <f t="shared" si="29"/>
        <v>1.0020193101303563</v>
      </c>
    </row>
    <row r="819" spans="1:4">
      <c r="A819">
        <v>818</v>
      </c>
      <c r="B819">
        <v>29615</v>
      </c>
      <c r="C819">
        <f t="shared" si="28"/>
        <v>28807.919999999998</v>
      </c>
      <c r="D819">
        <f t="shared" si="29"/>
        <v>1.0280159067367585</v>
      </c>
    </row>
    <row r="820" spans="1:4">
      <c r="A820">
        <v>819</v>
      </c>
      <c r="B820">
        <v>29904</v>
      </c>
      <c r="C820">
        <f t="shared" si="28"/>
        <v>28803.98</v>
      </c>
      <c r="D820">
        <f t="shared" si="29"/>
        <v>1.0381898612622285</v>
      </c>
    </row>
    <row r="821" spans="1:4">
      <c r="A821">
        <v>820</v>
      </c>
      <c r="B821">
        <v>30033</v>
      </c>
      <c r="C821">
        <f t="shared" si="28"/>
        <v>28800</v>
      </c>
      <c r="D821">
        <f t="shared" si="29"/>
        <v>1.0428124999999999</v>
      </c>
    </row>
    <row r="822" spans="1:4">
      <c r="A822">
        <v>821</v>
      </c>
      <c r="B822">
        <v>29950</v>
      </c>
      <c r="C822">
        <f t="shared" si="28"/>
        <v>28795.98</v>
      </c>
      <c r="D822">
        <f t="shared" si="29"/>
        <v>1.0400757327932579</v>
      </c>
    </row>
    <row r="823" spans="1:4">
      <c r="A823">
        <v>822</v>
      </c>
      <c r="B823">
        <v>29892</v>
      </c>
      <c r="C823">
        <f t="shared" si="28"/>
        <v>28791.919999999998</v>
      </c>
      <c r="D823">
        <f t="shared" si="29"/>
        <v>1.0382079416725249</v>
      </c>
    </row>
    <row r="824" spans="1:4">
      <c r="A824">
        <v>823</v>
      </c>
      <c r="B824">
        <v>29927</v>
      </c>
      <c r="C824">
        <f t="shared" si="28"/>
        <v>28787.82</v>
      </c>
      <c r="D824">
        <f t="shared" si="29"/>
        <v>1.0395715965988395</v>
      </c>
    </row>
    <row r="825" spans="1:4">
      <c r="A825">
        <v>824</v>
      </c>
      <c r="B825">
        <v>30162</v>
      </c>
      <c r="C825">
        <f t="shared" si="28"/>
        <v>28783.68</v>
      </c>
      <c r="D825">
        <f t="shared" si="29"/>
        <v>1.0478854684321115</v>
      </c>
    </row>
    <row r="826" spans="1:4">
      <c r="A826">
        <v>825</v>
      </c>
      <c r="B826">
        <v>30518</v>
      </c>
      <c r="C826">
        <f t="shared" si="28"/>
        <v>28779.5</v>
      </c>
      <c r="D826">
        <f t="shared" si="29"/>
        <v>1.060407581785646</v>
      </c>
    </row>
    <row r="827" spans="1:4">
      <c r="A827">
        <v>826</v>
      </c>
      <c r="B827">
        <v>30526</v>
      </c>
      <c r="C827">
        <f t="shared" si="28"/>
        <v>28775.279999999999</v>
      </c>
      <c r="D827">
        <f t="shared" si="29"/>
        <v>1.0608411108423619</v>
      </c>
    </row>
    <row r="828" spans="1:4">
      <c r="A828">
        <v>827</v>
      </c>
      <c r="B828">
        <v>30226</v>
      </c>
      <c r="C828">
        <f t="shared" si="28"/>
        <v>28771.02</v>
      </c>
      <c r="D828">
        <f t="shared" si="29"/>
        <v>1.050571025983785</v>
      </c>
    </row>
    <row r="829" spans="1:4">
      <c r="A829">
        <v>828</v>
      </c>
      <c r="B829">
        <v>29402</v>
      </c>
      <c r="C829">
        <f t="shared" si="28"/>
        <v>28766.720000000001</v>
      </c>
      <c r="D829">
        <f t="shared" si="29"/>
        <v>1.022083852451722</v>
      </c>
    </row>
    <row r="830" spans="1:4">
      <c r="A830">
        <v>829</v>
      </c>
      <c r="B830">
        <v>28302</v>
      </c>
      <c r="C830">
        <f t="shared" si="28"/>
        <v>28762.38</v>
      </c>
      <c r="D830">
        <f t="shared" si="29"/>
        <v>0.98399367507139535</v>
      </c>
    </row>
    <row r="831" spans="1:4">
      <c r="A831">
        <v>830</v>
      </c>
      <c r="B831">
        <v>26978</v>
      </c>
      <c r="C831">
        <f t="shared" si="28"/>
        <v>28758</v>
      </c>
      <c r="D831">
        <f t="shared" si="29"/>
        <v>0.93810417970651649</v>
      </c>
    </row>
    <row r="832" spans="1:4">
      <c r="A832">
        <v>831</v>
      </c>
      <c r="B832">
        <v>26101</v>
      </c>
      <c r="C832">
        <f t="shared" si="28"/>
        <v>28753.58</v>
      </c>
      <c r="D832">
        <f t="shared" si="29"/>
        <v>0.90774783522608304</v>
      </c>
    </row>
    <row r="833" spans="1:7">
      <c r="A833">
        <v>832</v>
      </c>
      <c r="B833">
        <v>24974</v>
      </c>
      <c r="C833">
        <f t="shared" si="28"/>
        <v>28749.119999999999</v>
      </c>
      <c r="D833">
        <f t="shared" si="29"/>
        <v>0.86868745895526545</v>
      </c>
    </row>
    <row r="834" spans="1:7">
      <c r="A834">
        <v>833</v>
      </c>
      <c r="B834">
        <v>23637</v>
      </c>
      <c r="C834">
        <f t="shared" ref="C834:C897" si="30">29000-10000*(A834-720)*(A834-720)/500000</f>
        <v>28744.62</v>
      </c>
      <c r="D834">
        <f t="shared" ref="D834:D897" si="31">B834/C834</f>
        <v>0.8223104010420037</v>
      </c>
    </row>
    <row r="835" spans="1:7">
      <c r="A835">
        <v>834</v>
      </c>
      <c r="B835">
        <v>22355</v>
      </c>
      <c r="C835">
        <f t="shared" si="30"/>
        <v>28740.080000000002</v>
      </c>
      <c r="D835">
        <f t="shared" si="31"/>
        <v>0.77783360380346889</v>
      </c>
    </row>
    <row r="836" spans="1:7" ht="17.25">
      <c r="A836">
        <v>835</v>
      </c>
      <c r="B836">
        <v>21481</v>
      </c>
      <c r="C836">
        <f t="shared" si="30"/>
        <v>28735.5</v>
      </c>
      <c r="D836">
        <f t="shared" si="31"/>
        <v>0.74754223869429803</v>
      </c>
      <c r="F836">
        <v>835.5</v>
      </c>
      <c r="G836" t="s">
        <v>77</v>
      </c>
    </row>
    <row r="837" spans="1:7">
      <c r="A837">
        <v>836</v>
      </c>
      <c r="B837">
        <v>21555</v>
      </c>
      <c r="C837">
        <f t="shared" si="30"/>
        <v>28730.880000000001</v>
      </c>
      <c r="D837">
        <f t="shared" si="31"/>
        <v>0.75023807137129106</v>
      </c>
    </row>
    <row r="838" spans="1:7">
      <c r="A838">
        <v>837</v>
      </c>
      <c r="B838">
        <v>22279</v>
      </c>
      <c r="C838">
        <f t="shared" si="30"/>
        <v>28726.22</v>
      </c>
      <c r="D838">
        <f t="shared" si="31"/>
        <v>0.77556323108296177</v>
      </c>
    </row>
    <row r="839" spans="1:7">
      <c r="A839">
        <v>838</v>
      </c>
      <c r="B839">
        <v>23901</v>
      </c>
      <c r="C839">
        <f t="shared" si="30"/>
        <v>28721.52</v>
      </c>
      <c r="D839">
        <f t="shared" si="31"/>
        <v>0.83216347881309904</v>
      </c>
    </row>
    <row r="840" spans="1:7">
      <c r="A840">
        <v>839</v>
      </c>
      <c r="B840">
        <v>25633</v>
      </c>
      <c r="C840">
        <f t="shared" si="30"/>
        <v>28716.78</v>
      </c>
      <c r="D840">
        <f t="shared" si="31"/>
        <v>0.89261400477351571</v>
      </c>
    </row>
    <row r="841" spans="1:7">
      <c r="A841">
        <v>840</v>
      </c>
      <c r="B841">
        <v>27097</v>
      </c>
      <c r="C841">
        <f t="shared" si="30"/>
        <v>28712</v>
      </c>
      <c r="D841">
        <f t="shared" si="31"/>
        <v>0.94375174143215379</v>
      </c>
    </row>
    <row r="842" spans="1:7">
      <c r="A842">
        <v>841</v>
      </c>
      <c r="B842">
        <v>27621</v>
      </c>
      <c r="C842">
        <f t="shared" si="30"/>
        <v>28707.18</v>
      </c>
      <c r="D842">
        <f t="shared" si="31"/>
        <v>0.9621634726921976</v>
      </c>
    </row>
    <row r="843" spans="1:7">
      <c r="A843">
        <v>842</v>
      </c>
      <c r="B843">
        <v>27506</v>
      </c>
      <c r="C843">
        <f t="shared" si="30"/>
        <v>28702.32</v>
      </c>
      <c r="D843">
        <f t="shared" si="31"/>
        <v>0.95831974558154187</v>
      </c>
    </row>
    <row r="844" spans="1:7">
      <c r="A844">
        <v>843</v>
      </c>
      <c r="B844">
        <v>27347</v>
      </c>
      <c r="C844">
        <f t="shared" si="30"/>
        <v>28697.42</v>
      </c>
      <c r="D844">
        <f t="shared" si="31"/>
        <v>0.95294280809912535</v>
      </c>
    </row>
    <row r="845" spans="1:7">
      <c r="A845">
        <v>844</v>
      </c>
      <c r="B845">
        <v>27240</v>
      </c>
      <c r="C845">
        <f t="shared" si="30"/>
        <v>28692.48</v>
      </c>
      <c r="D845">
        <f t="shared" si="31"/>
        <v>0.94937767665952888</v>
      </c>
    </row>
    <row r="846" spans="1:7">
      <c r="A846">
        <v>845</v>
      </c>
      <c r="B846">
        <v>27398</v>
      </c>
      <c r="C846">
        <f t="shared" si="30"/>
        <v>28687.5</v>
      </c>
      <c r="D846">
        <f t="shared" si="31"/>
        <v>0.95505010893246189</v>
      </c>
    </row>
    <row r="847" spans="1:7">
      <c r="A847">
        <v>846</v>
      </c>
      <c r="B847">
        <v>27939</v>
      </c>
      <c r="C847">
        <f t="shared" si="30"/>
        <v>28682.48</v>
      </c>
      <c r="D847">
        <f t="shared" si="31"/>
        <v>0.97407894993738342</v>
      </c>
    </row>
    <row r="848" spans="1:7">
      <c r="A848">
        <v>847</v>
      </c>
      <c r="B848">
        <v>28566</v>
      </c>
      <c r="C848">
        <f t="shared" si="30"/>
        <v>28677.42</v>
      </c>
      <c r="D848">
        <f t="shared" si="31"/>
        <v>0.99611471324826295</v>
      </c>
    </row>
    <row r="849" spans="1:4">
      <c r="A849">
        <v>848</v>
      </c>
      <c r="B849">
        <v>28859</v>
      </c>
      <c r="C849">
        <f t="shared" si="30"/>
        <v>28672.32</v>
      </c>
      <c r="D849">
        <f t="shared" si="31"/>
        <v>1.0065108090311492</v>
      </c>
    </row>
    <row r="850" spans="1:4">
      <c r="A850">
        <v>849</v>
      </c>
      <c r="B850">
        <v>28653</v>
      </c>
      <c r="C850">
        <f t="shared" si="30"/>
        <v>28667.18</v>
      </c>
      <c r="D850">
        <f t="shared" si="31"/>
        <v>0.99950535769475757</v>
      </c>
    </row>
    <row r="851" spans="1:4">
      <c r="A851">
        <v>850</v>
      </c>
      <c r="B851">
        <v>28149</v>
      </c>
      <c r="C851">
        <f t="shared" si="30"/>
        <v>28662</v>
      </c>
      <c r="D851">
        <f t="shared" si="31"/>
        <v>0.98210173749214991</v>
      </c>
    </row>
    <row r="852" spans="1:4">
      <c r="A852">
        <v>851</v>
      </c>
      <c r="B852">
        <v>27645</v>
      </c>
      <c r="C852">
        <f t="shared" si="30"/>
        <v>28656.78</v>
      </c>
      <c r="D852">
        <f t="shared" si="31"/>
        <v>0.96469317208702443</v>
      </c>
    </row>
    <row r="853" spans="1:4">
      <c r="A853">
        <v>852</v>
      </c>
      <c r="B853">
        <v>27253</v>
      </c>
      <c r="C853">
        <f t="shared" si="30"/>
        <v>28651.52</v>
      </c>
      <c r="D853">
        <f t="shared" si="31"/>
        <v>0.95118862803788418</v>
      </c>
    </row>
    <row r="854" spans="1:4">
      <c r="A854">
        <v>853</v>
      </c>
      <c r="B854">
        <v>26968</v>
      </c>
      <c r="C854">
        <f t="shared" si="30"/>
        <v>28646.22</v>
      </c>
      <c r="D854">
        <f t="shared" si="31"/>
        <v>0.94141565623666923</v>
      </c>
    </row>
    <row r="855" spans="1:4">
      <c r="A855">
        <v>854</v>
      </c>
      <c r="B855">
        <v>26663</v>
      </c>
      <c r="C855">
        <f t="shared" si="30"/>
        <v>28640.880000000001</v>
      </c>
      <c r="D855">
        <f t="shared" si="31"/>
        <v>0.93094206602590424</v>
      </c>
    </row>
    <row r="856" spans="1:4">
      <c r="A856">
        <v>855</v>
      </c>
      <c r="B856">
        <v>26117</v>
      </c>
      <c r="C856">
        <f t="shared" si="30"/>
        <v>28635.5</v>
      </c>
      <c r="D856">
        <f t="shared" si="31"/>
        <v>0.91204972848387489</v>
      </c>
    </row>
    <row r="857" spans="1:4">
      <c r="A857">
        <v>856</v>
      </c>
      <c r="B857">
        <v>25859</v>
      </c>
      <c r="C857">
        <f t="shared" si="30"/>
        <v>28630.080000000002</v>
      </c>
      <c r="D857">
        <f t="shared" si="31"/>
        <v>0.90321088868770183</v>
      </c>
    </row>
    <row r="858" spans="1:4">
      <c r="A858">
        <v>857</v>
      </c>
      <c r="B858">
        <v>25842</v>
      </c>
      <c r="C858">
        <f t="shared" si="30"/>
        <v>28624.62</v>
      </c>
      <c r="D858">
        <f t="shared" si="31"/>
        <v>0.90278927720263191</v>
      </c>
    </row>
    <row r="859" spans="1:4">
      <c r="A859">
        <v>858</v>
      </c>
      <c r="B859">
        <v>25529</v>
      </c>
      <c r="C859">
        <f t="shared" si="30"/>
        <v>28619.119999999999</v>
      </c>
      <c r="D859">
        <f t="shared" si="31"/>
        <v>0.89202603015047288</v>
      </c>
    </row>
    <row r="860" spans="1:4">
      <c r="A860">
        <v>859</v>
      </c>
      <c r="B860">
        <v>25555</v>
      </c>
      <c r="C860">
        <f t="shared" si="30"/>
        <v>28613.58</v>
      </c>
      <c r="D860">
        <f t="shared" si="31"/>
        <v>0.89310739865476452</v>
      </c>
    </row>
    <row r="861" spans="1:4">
      <c r="A861">
        <v>860</v>
      </c>
      <c r="B861">
        <v>26721</v>
      </c>
      <c r="C861">
        <f t="shared" si="30"/>
        <v>28608</v>
      </c>
      <c r="D861">
        <f t="shared" si="31"/>
        <v>0.93403942953020136</v>
      </c>
    </row>
    <row r="862" spans="1:4">
      <c r="A862">
        <v>861</v>
      </c>
      <c r="B862">
        <v>28446</v>
      </c>
      <c r="C862">
        <f t="shared" si="30"/>
        <v>28602.38</v>
      </c>
      <c r="D862">
        <f t="shared" si="31"/>
        <v>0.99453262280971022</v>
      </c>
    </row>
    <row r="863" spans="1:4">
      <c r="A863">
        <v>862</v>
      </c>
      <c r="B863">
        <v>29949</v>
      </c>
      <c r="C863">
        <f t="shared" si="30"/>
        <v>28596.720000000001</v>
      </c>
      <c r="D863">
        <f t="shared" si="31"/>
        <v>1.0472879407148792</v>
      </c>
    </row>
    <row r="864" spans="1:4">
      <c r="A864">
        <v>863</v>
      </c>
      <c r="B864">
        <v>30483</v>
      </c>
      <c r="C864">
        <f t="shared" si="30"/>
        <v>28591.02</v>
      </c>
      <c r="D864">
        <f t="shared" si="31"/>
        <v>1.0661739245399429</v>
      </c>
    </row>
    <row r="865" spans="1:7">
      <c r="A865">
        <v>864</v>
      </c>
      <c r="B865">
        <v>30696</v>
      </c>
      <c r="C865">
        <f t="shared" si="30"/>
        <v>28585.279999999999</v>
      </c>
      <c r="D865">
        <f t="shared" si="31"/>
        <v>1.0738394026575917</v>
      </c>
    </row>
    <row r="866" spans="1:7">
      <c r="A866">
        <v>865</v>
      </c>
      <c r="B866">
        <v>30491</v>
      </c>
      <c r="C866">
        <f t="shared" si="30"/>
        <v>28579.5</v>
      </c>
      <c r="D866">
        <f t="shared" si="31"/>
        <v>1.0668836053814796</v>
      </c>
    </row>
    <row r="867" spans="1:7">
      <c r="A867">
        <v>866</v>
      </c>
      <c r="B867">
        <v>30182</v>
      </c>
      <c r="C867">
        <f t="shared" si="30"/>
        <v>28573.68</v>
      </c>
      <c r="D867">
        <f t="shared" si="31"/>
        <v>1.0562867646029492</v>
      </c>
    </row>
    <row r="868" spans="1:7">
      <c r="A868">
        <v>867</v>
      </c>
      <c r="B868">
        <v>29315</v>
      </c>
      <c r="C868">
        <f t="shared" si="30"/>
        <v>28567.82</v>
      </c>
      <c r="D868">
        <f t="shared" si="31"/>
        <v>1.0261546033264002</v>
      </c>
    </row>
    <row r="869" spans="1:7">
      <c r="A869">
        <v>868</v>
      </c>
      <c r="B869">
        <v>27908</v>
      </c>
      <c r="C869">
        <f t="shared" si="30"/>
        <v>28561.919999999998</v>
      </c>
      <c r="D869">
        <f t="shared" si="31"/>
        <v>0.97710518060410512</v>
      </c>
    </row>
    <row r="870" spans="1:7">
      <c r="A870">
        <v>869</v>
      </c>
      <c r="B870">
        <v>26191</v>
      </c>
      <c r="C870">
        <f t="shared" si="30"/>
        <v>28555.98</v>
      </c>
      <c r="D870">
        <f t="shared" si="31"/>
        <v>0.91718091972329441</v>
      </c>
    </row>
    <row r="871" spans="1:7">
      <c r="A871">
        <v>870</v>
      </c>
      <c r="B871">
        <v>23568</v>
      </c>
      <c r="C871">
        <f t="shared" si="30"/>
        <v>28550</v>
      </c>
      <c r="D871">
        <f t="shared" si="31"/>
        <v>0.82549912434325745</v>
      </c>
    </row>
    <row r="872" spans="1:7">
      <c r="A872">
        <v>871</v>
      </c>
      <c r="B872">
        <v>19865</v>
      </c>
      <c r="C872">
        <f t="shared" si="30"/>
        <v>28543.98</v>
      </c>
      <c r="D872">
        <f t="shared" si="31"/>
        <v>0.69594359300980457</v>
      </c>
    </row>
    <row r="873" spans="1:7">
      <c r="A873">
        <v>872</v>
      </c>
      <c r="B873">
        <v>16587</v>
      </c>
      <c r="C873">
        <f t="shared" si="30"/>
        <v>28537.919999999998</v>
      </c>
      <c r="D873">
        <f t="shared" si="31"/>
        <v>0.58122666262993239</v>
      </c>
    </row>
    <row r="874" spans="1:7">
      <c r="A874">
        <v>873</v>
      </c>
      <c r="B874">
        <v>14170</v>
      </c>
      <c r="C874">
        <f t="shared" si="30"/>
        <v>28531.82</v>
      </c>
      <c r="D874">
        <f t="shared" si="31"/>
        <v>0.49663848993860188</v>
      </c>
    </row>
    <row r="875" spans="1:7" ht="17.25">
      <c r="A875">
        <v>874</v>
      </c>
      <c r="B875">
        <v>13637</v>
      </c>
      <c r="C875">
        <f t="shared" si="30"/>
        <v>28525.68</v>
      </c>
      <c r="D875">
        <f t="shared" si="31"/>
        <v>0.47806047042524491</v>
      </c>
      <c r="F875">
        <v>874</v>
      </c>
      <c r="G875" t="s">
        <v>78</v>
      </c>
    </row>
    <row r="876" spans="1:7">
      <c r="A876">
        <v>875</v>
      </c>
      <c r="B876">
        <v>14957</v>
      </c>
      <c r="C876">
        <f t="shared" si="30"/>
        <v>28519.5</v>
      </c>
      <c r="D876">
        <f t="shared" si="31"/>
        <v>0.52444818457546594</v>
      </c>
    </row>
    <row r="877" spans="1:7">
      <c r="A877">
        <v>876</v>
      </c>
      <c r="B877">
        <v>17598</v>
      </c>
      <c r="C877">
        <f t="shared" si="30"/>
        <v>28513.279999999999</v>
      </c>
      <c r="D877">
        <f t="shared" si="31"/>
        <v>0.61718609714490935</v>
      </c>
    </row>
    <row r="878" spans="1:7">
      <c r="A878">
        <v>877</v>
      </c>
      <c r="B878">
        <v>21014</v>
      </c>
      <c r="C878">
        <f t="shared" si="30"/>
        <v>28507.02</v>
      </c>
      <c r="D878">
        <f t="shared" si="31"/>
        <v>0.73715176121530768</v>
      </c>
    </row>
    <row r="879" spans="1:7">
      <c r="A879">
        <v>878</v>
      </c>
      <c r="B879">
        <v>24627</v>
      </c>
      <c r="C879">
        <f t="shared" si="30"/>
        <v>28500.720000000001</v>
      </c>
      <c r="D879">
        <f t="shared" si="31"/>
        <v>0.86408343368167539</v>
      </c>
    </row>
    <row r="880" spans="1:7">
      <c r="A880">
        <v>879</v>
      </c>
      <c r="B880">
        <v>27473</v>
      </c>
      <c r="C880">
        <f t="shared" si="30"/>
        <v>28494.38</v>
      </c>
      <c r="D880">
        <f t="shared" si="31"/>
        <v>0.96415503688797577</v>
      </c>
    </row>
    <row r="881" spans="1:7">
      <c r="A881">
        <v>880</v>
      </c>
      <c r="B881">
        <v>29178</v>
      </c>
      <c r="C881">
        <f t="shared" si="30"/>
        <v>28488</v>
      </c>
      <c r="D881">
        <f t="shared" si="31"/>
        <v>1.0242207245155854</v>
      </c>
    </row>
    <row r="882" spans="1:7">
      <c r="A882">
        <v>881</v>
      </c>
      <c r="B882">
        <v>29739</v>
      </c>
      <c r="C882">
        <f t="shared" si="30"/>
        <v>28481.58</v>
      </c>
      <c r="D882">
        <f t="shared" si="31"/>
        <v>1.044148533894538</v>
      </c>
    </row>
    <row r="883" spans="1:7">
      <c r="A883">
        <v>882</v>
      </c>
      <c r="B883">
        <v>29422</v>
      </c>
      <c r="C883">
        <f t="shared" si="30"/>
        <v>28475.119999999999</v>
      </c>
      <c r="D883">
        <f t="shared" si="31"/>
        <v>1.0332528888376942</v>
      </c>
    </row>
    <row r="884" spans="1:7">
      <c r="A884">
        <v>883</v>
      </c>
      <c r="B884">
        <v>28575</v>
      </c>
      <c r="C884">
        <f t="shared" si="30"/>
        <v>28468.62</v>
      </c>
      <c r="D884">
        <f t="shared" si="31"/>
        <v>1.0037367459328903</v>
      </c>
    </row>
    <row r="885" spans="1:7">
      <c r="A885">
        <v>884</v>
      </c>
      <c r="B885">
        <v>27513</v>
      </c>
      <c r="C885">
        <f t="shared" si="30"/>
        <v>28462.080000000002</v>
      </c>
      <c r="D885">
        <f t="shared" si="31"/>
        <v>0.96665458041014563</v>
      </c>
    </row>
    <row r="886" spans="1:7">
      <c r="A886">
        <v>885</v>
      </c>
      <c r="B886">
        <v>25977</v>
      </c>
      <c r="C886">
        <f t="shared" si="30"/>
        <v>28455.5</v>
      </c>
      <c r="D886">
        <f t="shared" si="31"/>
        <v>0.91289908804976194</v>
      </c>
    </row>
    <row r="887" spans="1:7">
      <c r="A887">
        <v>886</v>
      </c>
      <c r="B887">
        <v>23581</v>
      </c>
      <c r="C887">
        <f t="shared" si="30"/>
        <v>28448.880000000001</v>
      </c>
      <c r="D887">
        <f t="shared" si="31"/>
        <v>0.82889027617255928</v>
      </c>
    </row>
    <row r="888" spans="1:7">
      <c r="A888">
        <v>887</v>
      </c>
      <c r="B888">
        <v>20005</v>
      </c>
      <c r="C888">
        <f t="shared" si="30"/>
        <v>28442.22</v>
      </c>
      <c r="D888">
        <f t="shared" si="31"/>
        <v>0.7033557858704419</v>
      </c>
    </row>
    <row r="889" spans="1:7">
      <c r="A889">
        <v>888</v>
      </c>
      <c r="B889">
        <v>16305</v>
      </c>
      <c r="C889">
        <f t="shared" si="30"/>
        <v>28435.52</v>
      </c>
      <c r="D889">
        <f t="shared" si="31"/>
        <v>0.573402561303609</v>
      </c>
    </row>
    <row r="890" spans="1:7" ht="17.25">
      <c r="A890">
        <v>889</v>
      </c>
      <c r="B890">
        <v>13900</v>
      </c>
      <c r="C890">
        <f t="shared" si="30"/>
        <v>28428.78</v>
      </c>
      <c r="D890">
        <f t="shared" si="31"/>
        <v>0.48894113641176301</v>
      </c>
      <c r="F890">
        <v>889.5</v>
      </c>
      <c r="G890" t="s">
        <v>79</v>
      </c>
    </row>
    <row r="891" spans="1:7">
      <c r="A891">
        <v>890</v>
      </c>
      <c r="B891">
        <v>14376</v>
      </c>
      <c r="C891">
        <f t="shared" si="30"/>
        <v>28422</v>
      </c>
      <c r="D891">
        <f t="shared" si="31"/>
        <v>0.50580536204348747</v>
      </c>
    </row>
    <row r="892" spans="1:7">
      <c r="A892">
        <v>891</v>
      </c>
      <c r="B892">
        <v>16931</v>
      </c>
      <c r="C892">
        <f t="shared" si="30"/>
        <v>28415.18</v>
      </c>
      <c r="D892">
        <f t="shared" si="31"/>
        <v>0.59584348928987951</v>
      </c>
    </row>
    <row r="893" spans="1:7">
      <c r="A893">
        <v>892</v>
      </c>
      <c r="B893">
        <v>20130</v>
      </c>
      <c r="C893">
        <f t="shared" si="30"/>
        <v>28408.32</v>
      </c>
      <c r="D893">
        <f t="shared" si="31"/>
        <v>0.70859522844011891</v>
      </c>
    </row>
    <row r="894" spans="1:7">
      <c r="A894">
        <v>893</v>
      </c>
      <c r="B894">
        <v>22647</v>
      </c>
      <c r="C894">
        <f t="shared" si="30"/>
        <v>28401.42</v>
      </c>
      <c r="D894">
        <f t="shared" si="31"/>
        <v>0.79738970797938979</v>
      </c>
    </row>
    <row r="895" spans="1:7">
      <c r="A895">
        <v>894</v>
      </c>
      <c r="B895">
        <v>23668</v>
      </c>
      <c r="C895">
        <f t="shared" si="30"/>
        <v>28394.48</v>
      </c>
      <c r="D895">
        <f t="shared" si="31"/>
        <v>0.8335422941360433</v>
      </c>
    </row>
    <row r="896" spans="1:7">
      <c r="A896">
        <v>895</v>
      </c>
      <c r="B896">
        <v>22968</v>
      </c>
      <c r="C896">
        <f t="shared" si="30"/>
        <v>28387.5</v>
      </c>
      <c r="D896">
        <f t="shared" si="31"/>
        <v>0.80908850726552184</v>
      </c>
    </row>
    <row r="897" spans="1:4">
      <c r="A897">
        <v>896</v>
      </c>
      <c r="B897">
        <v>20995</v>
      </c>
      <c r="C897">
        <f t="shared" si="30"/>
        <v>28380.48</v>
      </c>
      <c r="D897">
        <f t="shared" si="31"/>
        <v>0.73976902434349245</v>
      </c>
    </row>
    <row r="898" spans="1:4">
      <c r="A898">
        <v>897</v>
      </c>
      <c r="B898">
        <v>18853</v>
      </c>
      <c r="C898">
        <f t="shared" ref="C898:C961" si="32">29000-10000*(A898-720)*(A898-720)/500000</f>
        <v>28373.42</v>
      </c>
      <c r="D898">
        <f t="shared" ref="D898:D961" si="33">B898/C898</f>
        <v>0.66445990648994735</v>
      </c>
    </row>
    <row r="899" spans="1:4">
      <c r="A899">
        <v>898</v>
      </c>
      <c r="B899">
        <v>18002</v>
      </c>
      <c r="C899">
        <f t="shared" si="32"/>
        <v>28366.32</v>
      </c>
      <c r="D899">
        <f t="shared" si="33"/>
        <v>0.63462585206681732</v>
      </c>
    </row>
    <row r="900" spans="1:4">
      <c r="A900">
        <v>899</v>
      </c>
      <c r="B900">
        <v>18577</v>
      </c>
      <c r="C900">
        <f t="shared" si="32"/>
        <v>28359.18</v>
      </c>
      <c r="D900">
        <f t="shared" si="33"/>
        <v>0.65506125353412903</v>
      </c>
    </row>
    <row r="901" spans="1:4">
      <c r="A901">
        <v>900</v>
      </c>
      <c r="B901">
        <v>20373</v>
      </c>
      <c r="C901">
        <f t="shared" si="32"/>
        <v>28352</v>
      </c>
      <c r="D901">
        <f t="shared" si="33"/>
        <v>0.71857364559819414</v>
      </c>
    </row>
    <row r="902" spans="1:4">
      <c r="A902">
        <v>901</v>
      </c>
      <c r="B902">
        <v>22765</v>
      </c>
      <c r="C902">
        <f t="shared" si="32"/>
        <v>28344.78</v>
      </c>
      <c r="D902">
        <f t="shared" si="33"/>
        <v>0.8031461172039438</v>
      </c>
    </row>
    <row r="903" spans="1:4">
      <c r="A903">
        <v>902</v>
      </c>
      <c r="B903">
        <v>25395</v>
      </c>
      <c r="C903">
        <f t="shared" si="32"/>
        <v>28337.52</v>
      </c>
      <c r="D903">
        <f t="shared" si="33"/>
        <v>0.89616169657754097</v>
      </c>
    </row>
    <row r="904" spans="1:4">
      <c r="A904">
        <v>903</v>
      </c>
      <c r="B904">
        <v>27381</v>
      </c>
      <c r="C904">
        <f t="shared" si="32"/>
        <v>28330.22</v>
      </c>
      <c r="D904">
        <f t="shared" si="33"/>
        <v>0.96649443597684725</v>
      </c>
    </row>
    <row r="905" spans="1:4">
      <c r="A905">
        <v>904</v>
      </c>
      <c r="B905">
        <v>28698</v>
      </c>
      <c r="C905">
        <f t="shared" si="32"/>
        <v>28322.880000000001</v>
      </c>
      <c r="D905">
        <f t="shared" si="33"/>
        <v>1.0132444158221197</v>
      </c>
    </row>
    <row r="906" spans="1:4">
      <c r="A906">
        <v>905</v>
      </c>
      <c r="B906">
        <v>29056</v>
      </c>
      <c r="C906">
        <f t="shared" si="32"/>
        <v>28315.5</v>
      </c>
      <c r="D906">
        <f t="shared" si="33"/>
        <v>1.026151754339496</v>
      </c>
    </row>
    <row r="907" spans="1:4">
      <c r="A907">
        <v>906</v>
      </c>
      <c r="B907">
        <v>28845</v>
      </c>
      <c r="C907">
        <f t="shared" si="32"/>
        <v>28308.080000000002</v>
      </c>
      <c r="D907">
        <f t="shared" si="33"/>
        <v>1.0189670228429479</v>
      </c>
    </row>
    <row r="908" spans="1:4">
      <c r="A908">
        <v>907</v>
      </c>
      <c r="B908">
        <v>28280</v>
      </c>
      <c r="C908">
        <f t="shared" si="32"/>
        <v>28300.62</v>
      </c>
      <c r="D908">
        <f t="shared" si="33"/>
        <v>0.99927139405426457</v>
      </c>
    </row>
    <row r="909" spans="1:4">
      <c r="A909">
        <v>908</v>
      </c>
      <c r="B909">
        <v>27848</v>
      </c>
      <c r="C909">
        <f t="shared" si="32"/>
        <v>28293.119999999999</v>
      </c>
      <c r="D909">
        <f t="shared" si="33"/>
        <v>0.98426755338400296</v>
      </c>
    </row>
    <row r="910" spans="1:4">
      <c r="A910">
        <v>909</v>
      </c>
      <c r="B910">
        <v>27383</v>
      </c>
      <c r="C910">
        <f t="shared" si="32"/>
        <v>28285.58</v>
      </c>
      <c r="D910">
        <f t="shared" si="33"/>
        <v>0.96809045457084486</v>
      </c>
    </row>
    <row r="911" spans="1:4">
      <c r="A911">
        <v>910</v>
      </c>
      <c r="B911">
        <v>26630</v>
      </c>
      <c r="C911">
        <f t="shared" si="32"/>
        <v>28278</v>
      </c>
      <c r="D911">
        <f t="shared" si="33"/>
        <v>0.94172147959544528</v>
      </c>
    </row>
    <row r="912" spans="1:4">
      <c r="A912">
        <v>911</v>
      </c>
      <c r="B912">
        <v>25699</v>
      </c>
      <c r="C912">
        <f t="shared" si="32"/>
        <v>28270.38</v>
      </c>
      <c r="D912">
        <f t="shared" si="33"/>
        <v>0.90904331671523342</v>
      </c>
    </row>
    <row r="913" spans="1:7">
      <c r="A913">
        <v>912</v>
      </c>
      <c r="B913">
        <v>24462</v>
      </c>
      <c r="C913">
        <f t="shared" si="32"/>
        <v>28262.720000000001</v>
      </c>
      <c r="D913">
        <f t="shared" si="33"/>
        <v>0.8655217898348071</v>
      </c>
    </row>
    <row r="914" spans="1:7">
      <c r="A914">
        <v>913</v>
      </c>
      <c r="B914">
        <v>23640</v>
      </c>
      <c r="C914">
        <f t="shared" si="32"/>
        <v>28255.02</v>
      </c>
      <c r="D914">
        <f t="shared" si="33"/>
        <v>0.83666548457583823</v>
      </c>
    </row>
    <row r="915" spans="1:7" ht="17.25">
      <c r="A915">
        <v>914</v>
      </c>
      <c r="B915">
        <v>23261</v>
      </c>
      <c r="C915">
        <f t="shared" si="32"/>
        <v>28247.279999999999</v>
      </c>
      <c r="D915">
        <f t="shared" si="33"/>
        <v>0.82347751712731287</v>
      </c>
      <c r="F915">
        <v>914</v>
      </c>
      <c r="G915" t="s">
        <v>80</v>
      </c>
    </row>
    <row r="916" spans="1:7">
      <c r="A916">
        <v>915</v>
      </c>
      <c r="B916">
        <v>23587</v>
      </c>
      <c r="C916">
        <f t="shared" si="32"/>
        <v>28239.5</v>
      </c>
      <c r="D916">
        <f t="shared" si="33"/>
        <v>0.83524849944227053</v>
      </c>
    </row>
    <row r="917" spans="1:7">
      <c r="A917">
        <v>916</v>
      </c>
      <c r="B917">
        <v>24734</v>
      </c>
      <c r="C917">
        <f t="shared" si="32"/>
        <v>28231.68</v>
      </c>
      <c r="D917">
        <f t="shared" si="33"/>
        <v>0.87610797515415306</v>
      </c>
    </row>
    <row r="918" spans="1:7">
      <c r="A918">
        <v>917</v>
      </c>
      <c r="B918">
        <v>25849</v>
      </c>
      <c r="C918">
        <f t="shared" si="32"/>
        <v>28223.82</v>
      </c>
      <c r="D918">
        <f t="shared" si="33"/>
        <v>0.91585759829817515</v>
      </c>
    </row>
    <row r="919" spans="1:7">
      <c r="A919">
        <v>918</v>
      </c>
      <c r="B919">
        <v>26765</v>
      </c>
      <c r="C919">
        <f t="shared" si="32"/>
        <v>28215.919999999998</v>
      </c>
      <c r="D919">
        <f t="shared" si="33"/>
        <v>0.94857796591427823</v>
      </c>
    </row>
    <row r="920" spans="1:7">
      <c r="A920">
        <v>919</v>
      </c>
      <c r="B920">
        <v>27772</v>
      </c>
      <c r="C920">
        <f t="shared" si="32"/>
        <v>28207.98</v>
      </c>
      <c r="D920">
        <f t="shared" si="33"/>
        <v>0.98454409000573595</v>
      </c>
    </row>
    <row r="921" spans="1:7">
      <c r="A921">
        <v>920</v>
      </c>
      <c r="B921">
        <v>28596</v>
      </c>
      <c r="C921">
        <f t="shared" si="32"/>
        <v>28200</v>
      </c>
      <c r="D921">
        <f t="shared" si="33"/>
        <v>1.0140425531914894</v>
      </c>
    </row>
    <row r="922" spans="1:7">
      <c r="A922">
        <v>921</v>
      </c>
      <c r="B922">
        <v>29305</v>
      </c>
      <c r="C922">
        <f t="shared" si="32"/>
        <v>28191.98</v>
      </c>
      <c r="D922">
        <f t="shared" si="33"/>
        <v>1.0394800223325924</v>
      </c>
    </row>
    <row r="923" spans="1:7">
      <c r="A923">
        <v>922</v>
      </c>
      <c r="B923">
        <v>29858</v>
      </c>
      <c r="C923">
        <f t="shared" si="32"/>
        <v>28183.919999999998</v>
      </c>
      <c r="D923">
        <f t="shared" si="33"/>
        <v>1.0593984087380321</v>
      </c>
    </row>
    <row r="924" spans="1:7">
      <c r="A924">
        <v>923</v>
      </c>
      <c r="B924">
        <v>29784</v>
      </c>
      <c r="C924">
        <f t="shared" si="32"/>
        <v>28175.82</v>
      </c>
      <c r="D924">
        <f t="shared" si="33"/>
        <v>1.0570765997227409</v>
      </c>
    </row>
    <row r="925" spans="1:7">
      <c r="A925">
        <v>924</v>
      </c>
      <c r="B925">
        <v>29242</v>
      </c>
      <c r="C925">
        <f t="shared" si="32"/>
        <v>28167.68</v>
      </c>
      <c r="D925">
        <f t="shared" si="33"/>
        <v>1.0381401663182768</v>
      </c>
    </row>
    <row r="926" spans="1:7">
      <c r="A926">
        <v>925</v>
      </c>
      <c r="B926">
        <v>28448</v>
      </c>
      <c r="C926">
        <f t="shared" si="32"/>
        <v>28159.5</v>
      </c>
      <c r="D926">
        <f t="shared" si="33"/>
        <v>1.0102452103197854</v>
      </c>
    </row>
    <row r="927" spans="1:7">
      <c r="A927">
        <v>926</v>
      </c>
      <c r="B927">
        <v>27728</v>
      </c>
      <c r="C927">
        <f t="shared" si="32"/>
        <v>28151.279999999999</v>
      </c>
      <c r="D927">
        <f t="shared" si="33"/>
        <v>0.9849640939950155</v>
      </c>
    </row>
    <row r="928" spans="1:7">
      <c r="A928">
        <v>927</v>
      </c>
      <c r="B928">
        <v>27226</v>
      </c>
      <c r="C928">
        <f t="shared" si="32"/>
        <v>28143.02</v>
      </c>
      <c r="D928">
        <f t="shared" si="33"/>
        <v>0.96741572155369249</v>
      </c>
    </row>
    <row r="929" spans="1:7">
      <c r="A929">
        <v>928</v>
      </c>
      <c r="B929">
        <v>26929</v>
      </c>
      <c r="C929">
        <f t="shared" si="32"/>
        <v>28134.720000000001</v>
      </c>
      <c r="D929">
        <f t="shared" si="33"/>
        <v>0.95714476632431378</v>
      </c>
    </row>
    <row r="930" spans="1:7">
      <c r="A930">
        <v>929</v>
      </c>
      <c r="B930">
        <v>26848</v>
      </c>
      <c r="C930">
        <f t="shared" si="32"/>
        <v>28126.38</v>
      </c>
      <c r="D930">
        <f t="shared" si="33"/>
        <v>0.95454871903174165</v>
      </c>
    </row>
    <row r="931" spans="1:7">
      <c r="A931">
        <v>930</v>
      </c>
      <c r="B931">
        <v>26906</v>
      </c>
      <c r="C931">
        <f t="shared" si="32"/>
        <v>28118</v>
      </c>
      <c r="D931">
        <f t="shared" si="33"/>
        <v>0.95689593854470445</v>
      </c>
    </row>
    <row r="932" spans="1:7">
      <c r="A932">
        <v>931</v>
      </c>
      <c r="B932">
        <v>27481</v>
      </c>
      <c r="C932">
        <f t="shared" si="32"/>
        <v>28109.58</v>
      </c>
      <c r="D932">
        <f t="shared" si="33"/>
        <v>0.97763822867506378</v>
      </c>
    </row>
    <row r="933" spans="1:7">
      <c r="A933">
        <v>932</v>
      </c>
      <c r="B933">
        <v>27879</v>
      </c>
      <c r="C933">
        <f t="shared" si="32"/>
        <v>28101.119999999999</v>
      </c>
      <c r="D933">
        <f t="shared" si="33"/>
        <v>0.9920956887127631</v>
      </c>
    </row>
    <row r="934" spans="1:7">
      <c r="A934">
        <v>933</v>
      </c>
      <c r="B934">
        <v>28082</v>
      </c>
      <c r="C934">
        <f t="shared" si="32"/>
        <v>28092.62</v>
      </c>
      <c r="D934">
        <f t="shared" si="33"/>
        <v>0.99962196477224274</v>
      </c>
    </row>
    <row r="935" spans="1:7">
      <c r="A935">
        <v>934</v>
      </c>
      <c r="B935">
        <v>28035</v>
      </c>
      <c r="C935">
        <f t="shared" si="32"/>
        <v>28084.080000000002</v>
      </c>
      <c r="D935">
        <f t="shared" si="33"/>
        <v>0.99825239067827742</v>
      </c>
    </row>
    <row r="936" spans="1:7">
      <c r="A936">
        <v>935</v>
      </c>
      <c r="B936">
        <v>27855</v>
      </c>
      <c r="C936">
        <f t="shared" si="32"/>
        <v>28075.5</v>
      </c>
      <c r="D936">
        <f t="shared" si="33"/>
        <v>0.99214617727199872</v>
      </c>
    </row>
    <row r="937" spans="1:7">
      <c r="A937">
        <v>936</v>
      </c>
      <c r="B937">
        <v>27266</v>
      </c>
      <c r="C937">
        <f t="shared" si="32"/>
        <v>28066.880000000001</v>
      </c>
      <c r="D937">
        <f t="shared" si="33"/>
        <v>0.971465300026223</v>
      </c>
    </row>
    <row r="938" spans="1:7">
      <c r="A938">
        <v>937</v>
      </c>
      <c r="B938">
        <v>26682</v>
      </c>
      <c r="C938">
        <f t="shared" si="32"/>
        <v>28058.22</v>
      </c>
      <c r="D938">
        <f t="shared" si="33"/>
        <v>0.95095127203365004</v>
      </c>
    </row>
    <row r="939" spans="1:7">
      <c r="A939">
        <v>938</v>
      </c>
      <c r="B939">
        <v>25619</v>
      </c>
      <c r="C939">
        <f t="shared" si="32"/>
        <v>28049.52</v>
      </c>
      <c r="D939">
        <f t="shared" si="33"/>
        <v>0.91334896283430156</v>
      </c>
    </row>
    <row r="940" spans="1:7">
      <c r="A940">
        <v>939</v>
      </c>
      <c r="B940">
        <v>24440</v>
      </c>
      <c r="C940">
        <f t="shared" si="32"/>
        <v>28040.78</v>
      </c>
      <c r="D940">
        <f t="shared" si="33"/>
        <v>0.87158773757363384</v>
      </c>
    </row>
    <row r="941" spans="1:7" ht="17.25">
      <c r="A941">
        <v>940</v>
      </c>
      <c r="B941">
        <v>23697</v>
      </c>
      <c r="C941">
        <f t="shared" si="32"/>
        <v>28032</v>
      </c>
      <c r="D941">
        <f t="shared" si="33"/>
        <v>0.84535530821917804</v>
      </c>
      <c r="F941">
        <v>940</v>
      </c>
      <c r="G941" t="s">
        <v>81</v>
      </c>
    </row>
    <row r="942" spans="1:7">
      <c r="A942">
        <v>941</v>
      </c>
      <c r="B942">
        <v>23659</v>
      </c>
      <c r="C942">
        <f t="shared" si="32"/>
        <v>28023.18</v>
      </c>
      <c r="D942">
        <f t="shared" si="33"/>
        <v>0.84426535461000496</v>
      </c>
    </row>
    <row r="943" spans="1:7">
      <c r="A943">
        <v>942</v>
      </c>
      <c r="B943">
        <v>24246</v>
      </c>
      <c r="C943">
        <f t="shared" si="32"/>
        <v>28014.32</v>
      </c>
      <c r="D943">
        <f t="shared" si="33"/>
        <v>0.86548593719212175</v>
      </c>
    </row>
    <row r="944" spans="1:7">
      <c r="A944">
        <v>943</v>
      </c>
      <c r="B944">
        <v>24793</v>
      </c>
      <c r="C944">
        <f t="shared" si="32"/>
        <v>28005.42</v>
      </c>
      <c r="D944">
        <f t="shared" si="33"/>
        <v>0.88529291829938639</v>
      </c>
    </row>
    <row r="945" spans="1:4">
      <c r="A945">
        <v>944</v>
      </c>
      <c r="B945">
        <v>25552</v>
      </c>
      <c r="C945">
        <f t="shared" si="32"/>
        <v>27996.48</v>
      </c>
      <c r="D945">
        <f t="shared" si="33"/>
        <v>0.91268616626090138</v>
      </c>
    </row>
    <row r="946" spans="1:4">
      <c r="A946">
        <v>945</v>
      </c>
      <c r="B946">
        <v>26012</v>
      </c>
      <c r="C946">
        <f t="shared" si="32"/>
        <v>27987.5</v>
      </c>
      <c r="D946">
        <f t="shared" si="33"/>
        <v>0.92941491737382764</v>
      </c>
    </row>
    <row r="947" spans="1:4">
      <c r="A947">
        <v>946</v>
      </c>
      <c r="B947">
        <v>26513</v>
      </c>
      <c r="C947">
        <f t="shared" si="32"/>
        <v>27978.48</v>
      </c>
      <c r="D947">
        <f t="shared" si="33"/>
        <v>0.94762117170053561</v>
      </c>
    </row>
    <row r="948" spans="1:4">
      <c r="A948">
        <v>947</v>
      </c>
      <c r="B948">
        <v>26995</v>
      </c>
      <c r="C948">
        <f t="shared" si="32"/>
        <v>27969.42</v>
      </c>
      <c r="D948">
        <f t="shared" si="33"/>
        <v>0.96516123680791388</v>
      </c>
    </row>
    <row r="949" spans="1:4">
      <c r="A949">
        <v>948</v>
      </c>
      <c r="B949">
        <v>27232</v>
      </c>
      <c r="C949">
        <f t="shared" si="32"/>
        <v>27960.32</v>
      </c>
      <c r="D949">
        <f t="shared" si="33"/>
        <v>0.97395165720564003</v>
      </c>
    </row>
    <row r="950" spans="1:4">
      <c r="A950">
        <v>949</v>
      </c>
      <c r="B950">
        <v>27502</v>
      </c>
      <c r="C950">
        <f t="shared" si="32"/>
        <v>27951.18</v>
      </c>
      <c r="D950">
        <f t="shared" si="33"/>
        <v>0.98392983766696074</v>
      </c>
    </row>
    <row r="951" spans="1:4">
      <c r="A951">
        <v>950</v>
      </c>
      <c r="B951">
        <v>27491</v>
      </c>
      <c r="C951">
        <f t="shared" si="32"/>
        <v>27942</v>
      </c>
      <c r="D951">
        <f t="shared" si="33"/>
        <v>0.98385942309068786</v>
      </c>
    </row>
    <row r="952" spans="1:4">
      <c r="A952">
        <v>951</v>
      </c>
      <c r="B952">
        <v>27145</v>
      </c>
      <c r="C952">
        <f t="shared" si="32"/>
        <v>27932.78</v>
      </c>
      <c r="D952">
        <f t="shared" si="33"/>
        <v>0.97179729335927179</v>
      </c>
    </row>
    <row r="953" spans="1:4">
      <c r="A953">
        <v>952</v>
      </c>
      <c r="B953">
        <v>26483</v>
      </c>
      <c r="C953">
        <f t="shared" si="32"/>
        <v>27923.52</v>
      </c>
      <c r="D953">
        <f t="shared" si="33"/>
        <v>0.94841194806385443</v>
      </c>
    </row>
    <row r="954" spans="1:4">
      <c r="A954">
        <v>953</v>
      </c>
      <c r="B954">
        <v>25865</v>
      </c>
      <c r="C954">
        <f t="shared" si="32"/>
        <v>27914.22</v>
      </c>
      <c r="D954">
        <f t="shared" si="33"/>
        <v>0.92658867057721828</v>
      </c>
    </row>
    <row r="955" spans="1:4">
      <c r="A955">
        <v>954</v>
      </c>
      <c r="B955">
        <v>25660</v>
      </c>
      <c r="C955">
        <f t="shared" si="32"/>
        <v>27904.880000000001</v>
      </c>
      <c r="D955">
        <f t="shared" si="33"/>
        <v>0.91955242237200085</v>
      </c>
    </row>
    <row r="956" spans="1:4">
      <c r="A956">
        <v>955</v>
      </c>
      <c r="B956">
        <v>26067</v>
      </c>
      <c r="C956">
        <f t="shared" si="32"/>
        <v>27895.5</v>
      </c>
      <c r="D956">
        <f t="shared" si="33"/>
        <v>0.93445179329999462</v>
      </c>
    </row>
    <row r="957" spans="1:4">
      <c r="A957">
        <v>956</v>
      </c>
      <c r="B957">
        <v>26504</v>
      </c>
      <c r="C957">
        <f t="shared" si="32"/>
        <v>27886.080000000002</v>
      </c>
      <c r="D957">
        <f t="shared" si="33"/>
        <v>0.95043835490682083</v>
      </c>
    </row>
    <row r="958" spans="1:4">
      <c r="A958">
        <v>957</v>
      </c>
      <c r="B958">
        <v>26534</v>
      </c>
      <c r="C958">
        <f t="shared" si="32"/>
        <v>27876.62</v>
      </c>
      <c r="D958">
        <f t="shared" si="33"/>
        <v>0.9518370591556653</v>
      </c>
    </row>
    <row r="959" spans="1:4">
      <c r="A959">
        <v>958</v>
      </c>
      <c r="B959">
        <v>26075</v>
      </c>
      <c r="C959">
        <f t="shared" si="32"/>
        <v>27867.119999999999</v>
      </c>
      <c r="D959">
        <f t="shared" si="33"/>
        <v>0.93569051986714091</v>
      </c>
    </row>
    <row r="960" spans="1:4">
      <c r="A960">
        <v>959</v>
      </c>
      <c r="B960">
        <v>24812</v>
      </c>
      <c r="C960">
        <f t="shared" si="32"/>
        <v>27857.58</v>
      </c>
      <c r="D960">
        <f t="shared" si="33"/>
        <v>0.89067320276922823</v>
      </c>
    </row>
    <row r="961" spans="1:7">
      <c r="A961">
        <v>960</v>
      </c>
      <c r="B961">
        <v>22839</v>
      </c>
      <c r="C961">
        <f t="shared" si="32"/>
        <v>27848</v>
      </c>
      <c r="D961">
        <f t="shared" si="33"/>
        <v>0.82013070956621659</v>
      </c>
    </row>
    <row r="962" spans="1:7">
      <c r="A962">
        <v>961</v>
      </c>
      <c r="B962">
        <v>20700</v>
      </c>
      <c r="C962">
        <f t="shared" ref="C962:C1025" si="34">29000-10000*(A962-720)*(A962-720)/500000</f>
        <v>27838.38</v>
      </c>
      <c r="D962">
        <f t="shared" ref="D962:D1025" si="35">B962/C962</f>
        <v>0.74357775129156223</v>
      </c>
    </row>
    <row r="963" spans="1:7">
      <c r="A963">
        <v>962</v>
      </c>
      <c r="B963">
        <v>18822</v>
      </c>
      <c r="C963">
        <f t="shared" si="34"/>
        <v>27828.720000000001</v>
      </c>
      <c r="D963">
        <f t="shared" si="35"/>
        <v>0.67635162522746284</v>
      </c>
    </row>
    <row r="964" spans="1:7">
      <c r="A964">
        <v>963</v>
      </c>
      <c r="B964">
        <v>17339</v>
      </c>
      <c r="C964">
        <f t="shared" si="34"/>
        <v>27819.02</v>
      </c>
      <c r="D964">
        <f t="shared" si="35"/>
        <v>0.62327860578841376</v>
      </c>
    </row>
    <row r="965" spans="1:7" ht="17.25">
      <c r="A965">
        <v>964</v>
      </c>
      <c r="B965">
        <v>16528</v>
      </c>
      <c r="C965">
        <f t="shared" si="34"/>
        <v>27809.279999999999</v>
      </c>
      <c r="D965">
        <f t="shared" si="35"/>
        <v>0.59433397772254448</v>
      </c>
      <c r="F965">
        <v>964</v>
      </c>
      <c r="G965" t="s">
        <v>82</v>
      </c>
    </row>
    <row r="966" spans="1:7">
      <c r="A966">
        <v>965</v>
      </c>
      <c r="B966">
        <v>16917</v>
      </c>
      <c r="C966">
        <f t="shared" si="34"/>
        <v>27799.5</v>
      </c>
      <c r="D966">
        <f t="shared" si="35"/>
        <v>0.60853612475044516</v>
      </c>
    </row>
    <row r="967" spans="1:7">
      <c r="A967">
        <v>966</v>
      </c>
      <c r="B967">
        <v>18429</v>
      </c>
      <c r="C967">
        <f t="shared" si="34"/>
        <v>27789.68</v>
      </c>
      <c r="D967">
        <f t="shared" si="35"/>
        <v>0.66315984926778571</v>
      </c>
    </row>
    <row r="968" spans="1:7">
      <c r="A968">
        <v>967</v>
      </c>
      <c r="B968">
        <v>20654</v>
      </c>
      <c r="C968">
        <f t="shared" si="34"/>
        <v>27779.82</v>
      </c>
      <c r="D968">
        <f t="shared" si="35"/>
        <v>0.7434893386638215</v>
      </c>
    </row>
    <row r="969" spans="1:7">
      <c r="A969">
        <v>968</v>
      </c>
      <c r="B969">
        <v>22771</v>
      </c>
      <c r="C969">
        <f t="shared" si="34"/>
        <v>27769.919999999998</v>
      </c>
      <c r="D969">
        <f t="shared" si="35"/>
        <v>0.81998795819361381</v>
      </c>
    </row>
    <row r="970" spans="1:7">
      <c r="A970">
        <v>969</v>
      </c>
      <c r="B970">
        <v>24396</v>
      </c>
      <c r="C970">
        <f t="shared" si="34"/>
        <v>27759.98</v>
      </c>
      <c r="D970">
        <f t="shared" si="35"/>
        <v>0.8788190769589892</v>
      </c>
    </row>
    <row r="971" spans="1:7">
      <c r="A971">
        <v>970</v>
      </c>
      <c r="B971">
        <v>25578</v>
      </c>
      <c r="C971">
        <f t="shared" si="34"/>
        <v>27750</v>
      </c>
      <c r="D971">
        <f t="shared" si="35"/>
        <v>0.92172972972972977</v>
      </c>
    </row>
    <row r="972" spans="1:7">
      <c r="A972">
        <v>971</v>
      </c>
      <c r="B972">
        <v>26284</v>
      </c>
      <c r="C972">
        <f t="shared" si="34"/>
        <v>27739.98</v>
      </c>
      <c r="D972">
        <f t="shared" si="35"/>
        <v>0.94751330029798153</v>
      </c>
    </row>
    <row r="973" spans="1:7">
      <c r="A973">
        <v>972</v>
      </c>
      <c r="B973">
        <v>26911</v>
      </c>
      <c r="C973">
        <f t="shared" si="34"/>
        <v>27729.919999999998</v>
      </c>
      <c r="D973">
        <f t="shared" si="35"/>
        <v>0.97046799990768096</v>
      </c>
    </row>
    <row r="974" spans="1:7">
      <c r="A974">
        <v>973</v>
      </c>
      <c r="B974">
        <v>26995</v>
      </c>
      <c r="C974">
        <f t="shared" si="34"/>
        <v>27719.82</v>
      </c>
      <c r="D974">
        <f t="shared" si="35"/>
        <v>0.97385192255938169</v>
      </c>
    </row>
    <row r="975" spans="1:7">
      <c r="A975">
        <v>974</v>
      </c>
      <c r="B975">
        <v>27274</v>
      </c>
      <c r="C975">
        <f t="shared" si="34"/>
        <v>27709.68</v>
      </c>
      <c r="D975">
        <f t="shared" si="35"/>
        <v>0.98427697468898956</v>
      </c>
    </row>
    <row r="976" spans="1:7">
      <c r="A976">
        <v>975</v>
      </c>
      <c r="B976">
        <v>27342</v>
      </c>
      <c r="C976">
        <f t="shared" si="34"/>
        <v>27699.5</v>
      </c>
      <c r="D976">
        <f t="shared" si="35"/>
        <v>0.98709362984891424</v>
      </c>
    </row>
    <row r="977" spans="1:4">
      <c r="A977">
        <v>976</v>
      </c>
      <c r="B977">
        <v>27651</v>
      </c>
      <c r="C977">
        <f t="shared" si="34"/>
        <v>27689.279999999999</v>
      </c>
      <c r="D977">
        <f t="shared" si="35"/>
        <v>0.99861751551502964</v>
      </c>
    </row>
    <row r="978" spans="1:4">
      <c r="A978">
        <v>977</v>
      </c>
      <c r="B978">
        <v>27732</v>
      </c>
      <c r="C978">
        <f t="shared" si="34"/>
        <v>27679.02</v>
      </c>
      <c r="D978">
        <f t="shared" si="35"/>
        <v>1.0019140851085044</v>
      </c>
    </row>
    <row r="979" spans="1:4">
      <c r="A979">
        <v>978</v>
      </c>
      <c r="B979">
        <v>27618</v>
      </c>
      <c r="C979">
        <f t="shared" si="34"/>
        <v>27668.720000000001</v>
      </c>
      <c r="D979">
        <f t="shared" si="35"/>
        <v>0.99816688303615053</v>
      </c>
    </row>
    <row r="980" spans="1:4">
      <c r="A980">
        <v>979</v>
      </c>
      <c r="B980">
        <v>27167</v>
      </c>
      <c r="C980">
        <f t="shared" si="34"/>
        <v>27658.38</v>
      </c>
      <c r="D980">
        <f t="shared" si="35"/>
        <v>0.9822339558571398</v>
      </c>
    </row>
    <row r="981" spans="1:4">
      <c r="A981">
        <v>980</v>
      </c>
      <c r="B981">
        <v>26654</v>
      </c>
      <c r="C981">
        <f t="shared" si="34"/>
        <v>27648</v>
      </c>
      <c r="D981">
        <f t="shared" si="35"/>
        <v>0.96404803240740744</v>
      </c>
    </row>
    <row r="982" spans="1:4">
      <c r="A982">
        <v>981</v>
      </c>
      <c r="B982">
        <v>26109</v>
      </c>
      <c r="C982">
        <f t="shared" si="34"/>
        <v>27637.58</v>
      </c>
      <c r="D982">
        <f t="shared" si="35"/>
        <v>0.94469197375457614</v>
      </c>
    </row>
    <row r="983" spans="1:4">
      <c r="A983">
        <v>982</v>
      </c>
      <c r="B983">
        <v>25600</v>
      </c>
      <c r="C983">
        <f t="shared" si="34"/>
        <v>27627.119999999999</v>
      </c>
      <c r="D983">
        <f t="shared" si="35"/>
        <v>0.92662572139260269</v>
      </c>
    </row>
    <row r="984" spans="1:4">
      <c r="A984">
        <v>983</v>
      </c>
      <c r="B984">
        <v>25605</v>
      </c>
      <c r="C984">
        <f t="shared" si="34"/>
        <v>27616.62</v>
      </c>
      <c r="D984">
        <f t="shared" si="35"/>
        <v>0.92715908029295402</v>
      </c>
    </row>
    <row r="985" spans="1:4">
      <c r="A985">
        <v>984</v>
      </c>
      <c r="B985">
        <v>25572</v>
      </c>
      <c r="C985">
        <f t="shared" si="34"/>
        <v>27606.080000000002</v>
      </c>
      <c r="D985">
        <f t="shared" si="35"/>
        <v>0.92631768074279286</v>
      </c>
    </row>
    <row r="986" spans="1:4">
      <c r="A986">
        <v>985</v>
      </c>
      <c r="B986">
        <v>25688</v>
      </c>
      <c r="C986">
        <f t="shared" si="34"/>
        <v>27595.5</v>
      </c>
      <c r="D986">
        <f t="shared" si="35"/>
        <v>0.93087641100904128</v>
      </c>
    </row>
    <row r="987" spans="1:4">
      <c r="A987">
        <v>986</v>
      </c>
      <c r="B987">
        <v>25701</v>
      </c>
      <c r="C987">
        <f t="shared" si="34"/>
        <v>27584.880000000001</v>
      </c>
      <c r="D987">
        <f t="shared" si="35"/>
        <v>0.93170606506172948</v>
      </c>
    </row>
    <row r="988" spans="1:4">
      <c r="A988">
        <v>987</v>
      </c>
      <c r="B988">
        <v>25842</v>
      </c>
      <c r="C988">
        <f t="shared" si="34"/>
        <v>27574.22</v>
      </c>
      <c r="D988">
        <f t="shared" si="35"/>
        <v>0.93717972802131844</v>
      </c>
    </row>
    <row r="989" spans="1:4">
      <c r="A989">
        <v>988</v>
      </c>
      <c r="B989">
        <v>26224</v>
      </c>
      <c r="C989">
        <f t="shared" si="34"/>
        <v>27563.52</v>
      </c>
      <c r="D989">
        <f t="shared" si="35"/>
        <v>0.95140243336119623</v>
      </c>
    </row>
    <row r="990" spans="1:4">
      <c r="A990">
        <v>989</v>
      </c>
      <c r="B990">
        <v>26277</v>
      </c>
      <c r="C990">
        <f t="shared" si="34"/>
        <v>27552.78</v>
      </c>
      <c r="D990">
        <f t="shared" si="35"/>
        <v>0.95369686833778666</v>
      </c>
    </row>
    <row r="991" spans="1:4">
      <c r="A991">
        <v>990</v>
      </c>
      <c r="B991">
        <v>26186</v>
      </c>
      <c r="C991">
        <f t="shared" si="34"/>
        <v>27542</v>
      </c>
      <c r="D991">
        <f t="shared" si="35"/>
        <v>0.95076610267954398</v>
      </c>
    </row>
    <row r="992" spans="1:4">
      <c r="A992">
        <v>991</v>
      </c>
      <c r="B992">
        <v>26506</v>
      </c>
      <c r="C992">
        <f t="shared" si="34"/>
        <v>27531.18</v>
      </c>
      <c r="D992">
        <f t="shared" si="35"/>
        <v>0.96276294732009304</v>
      </c>
    </row>
    <row r="993" spans="1:4">
      <c r="A993">
        <v>992</v>
      </c>
      <c r="B993">
        <v>26679</v>
      </c>
      <c r="C993">
        <f t="shared" si="34"/>
        <v>27520.32</v>
      </c>
      <c r="D993">
        <f t="shared" si="35"/>
        <v>0.96942913454494717</v>
      </c>
    </row>
    <row r="994" spans="1:4">
      <c r="A994">
        <v>993</v>
      </c>
      <c r="B994">
        <v>26942</v>
      </c>
      <c r="C994">
        <f t="shared" si="34"/>
        <v>27509.42</v>
      </c>
      <c r="D994">
        <f t="shared" si="35"/>
        <v>0.97937361093036501</v>
      </c>
    </row>
    <row r="995" spans="1:4">
      <c r="A995">
        <v>994</v>
      </c>
      <c r="B995">
        <v>27144</v>
      </c>
      <c r="C995">
        <f t="shared" si="34"/>
        <v>27498.48</v>
      </c>
      <c r="D995">
        <f t="shared" si="35"/>
        <v>0.98710910566693144</v>
      </c>
    </row>
    <row r="996" spans="1:4">
      <c r="A996">
        <v>995</v>
      </c>
      <c r="B996">
        <v>27586</v>
      </c>
      <c r="C996">
        <f t="shared" si="34"/>
        <v>27487.5</v>
      </c>
      <c r="D996">
        <f t="shared" si="35"/>
        <v>1.0035834470213734</v>
      </c>
    </row>
    <row r="997" spans="1:4">
      <c r="A997">
        <v>996</v>
      </c>
      <c r="B997">
        <v>27859</v>
      </c>
      <c r="C997">
        <f t="shared" si="34"/>
        <v>27476.48</v>
      </c>
      <c r="D997">
        <f t="shared" si="35"/>
        <v>1.013921725053573</v>
      </c>
    </row>
    <row r="998" spans="1:4">
      <c r="A998">
        <v>997</v>
      </c>
      <c r="B998">
        <v>27736</v>
      </c>
      <c r="C998">
        <f t="shared" si="34"/>
        <v>27465.42</v>
      </c>
      <c r="D998">
        <f t="shared" si="35"/>
        <v>1.0098516607428543</v>
      </c>
    </row>
    <row r="999" spans="1:4">
      <c r="A999">
        <v>998</v>
      </c>
      <c r="B999">
        <v>27287</v>
      </c>
      <c r="C999">
        <f t="shared" si="34"/>
        <v>27454.32</v>
      </c>
      <c r="D999">
        <f t="shared" si="35"/>
        <v>0.99390551286646334</v>
      </c>
    </row>
    <row r="1000" spans="1:4">
      <c r="A1000">
        <v>999</v>
      </c>
      <c r="B1000">
        <v>26501</v>
      </c>
      <c r="C1000">
        <f t="shared" si="34"/>
        <v>27443.18</v>
      </c>
      <c r="D1000">
        <f t="shared" si="35"/>
        <v>0.96566797288069384</v>
      </c>
    </row>
    <row r="1001" spans="1:4">
      <c r="A1001">
        <v>1000</v>
      </c>
      <c r="B1001">
        <v>25784</v>
      </c>
      <c r="C1001">
        <f t="shared" si="34"/>
        <v>27432</v>
      </c>
      <c r="D1001">
        <f t="shared" si="35"/>
        <v>0.93992417614464863</v>
      </c>
    </row>
    <row r="1002" spans="1:4">
      <c r="A1002">
        <v>1001</v>
      </c>
      <c r="B1002">
        <v>25570</v>
      </c>
      <c r="C1002">
        <f t="shared" si="34"/>
        <v>27420.78</v>
      </c>
      <c r="D1002">
        <f t="shared" si="35"/>
        <v>0.93250447288516236</v>
      </c>
    </row>
    <row r="1003" spans="1:4">
      <c r="A1003">
        <v>1002</v>
      </c>
      <c r="B1003">
        <v>25500</v>
      </c>
      <c r="C1003">
        <f t="shared" si="34"/>
        <v>27409.52</v>
      </c>
      <c r="D1003">
        <f t="shared" si="35"/>
        <v>0.93033369427848422</v>
      </c>
    </row>
    <row r="1004" spans="1:4">
      <c r="A1004">
        <v>1003</v>
      </c>
      <c r="B1004">
        <v>25840</v>
      </c>
      <c r="C1004">
        <f t="shared" si="34"/>
        <v>27398.22</v>
      </c>
      <c r="D1004">
        <f t="shared" si="35"/>
        <v>0.94312696226251191</v>
      </c>
    </row>
    <row r="1005" spans="1:4">
      <c r="A1005">
        <v>1004</v>
      </c>
      <c r="B1005">
        <v>26121</v>
      </c>
      <c r="C1005">
        <f t="shared" si="34"/>
        <v>27386.880000000001</v>
      </c>
      <c r="D1005">
        <f t="shared" si="35"/>
        <v>0.95377786735838466</v>
      </c>
    </row>
    <row r="1006" spans="1:4">
      <c r="A1006">
        <v>1005</v>
      </c>
      <c r="B1006">
        <v>26201</v>
      </c>
      <c r="C1006">
        <f t="shared" si="34"/>
        <v>27375.5</v>
      </c>
      <c r="D1006">
        <f t="shared" si="35"/>
        <v>0.95709667403335097</v>
      </c>
    </row>
    <row r="1007" spans="1:4">
      <c r="A1007">
        <v>1006</v>
      </c>
      <c r="B1007">
        <v>26123</v>
      </c>
      <c r="C1007">
        <f t="shared" si="34"/>
        <v>27364.080000000002</v>
      </c>
      <c r="D1007">
        <f t="shared" si="35"/>
        <v>0.95464565225653475</v>
      </c>
    </row>
    <row r="1008" spans="1:4">
      <c r="A1008">
        <v>1007</v>
      </c>
      <c r="B1008">
        <v>25926</v>
      </c>
      <c r="C1008">
        <f t="shared" si="34"/>
        <v>27352.62</v>
      </c>
      <c r="D1008">
        <f t="shared" si="35"/>
        <v>0.94784338758042197</v>
      </c>
    </row>
    <row r="1009" spans="1:7">
      <c r="A1009">
        <v>1008</v>
      </c>
      <c r="B1009">
        <v>25530</v>
      </c>
      <c r="C1009">
        <f t="shared" si="34"/>
        <v>27341.119999999999</v>
      </c>
      <c r="D1009">
        <f t="shared" si="35"/>
        <v>0.9337583829777274</v>
      </c>
    </row>
    <row r="1010" spans="1:7">
      <c r="A1010">
        <v>1009</v>
      </c>
      <c r="B1010">
        <v>25397</v>
      </c>
      <c r="C1010">
        <f t="shared" si="34"/>
        <v>27329.58</v>
      </c>
      <c r="D1010">
        <f t="shared" si="35"/>
        <v>0.92928614343872096</v>
      </c>
    </row>
    <row r="1011" spans="1:7">
      <c r="A1011">
        <v>1010</v>
      </c>
      <c r="B1011">
        <v>25352</v>
      </c>
      <c r="C1011">
        <f t="shared" si="34"/>
        <v>27318</v>
      </c>
      <c r="D1011">
        <f t="shared" si="35"/>
        <v>0.9280327988871806</v>
      </c>
    </row>
    <row r="1012" spans="1:7">
      <c r="A1012">
        <v>1011</v>
      </c>
      <c r="B1012">
        <v>25088</v>
      </c>
      <c r="C1012">
        <f t="shared" si="34"/>
        <v>27306.38</v>
      </c>
      <c r="D1012">
        <f t="shared" si="35"/>
        <v>0.91875964518182196</v>
      </c>
    </row>
    <row r="1013" spans="1:7">
      <c r="A1013">
        <v>1012</v>
      </c>
      <c r="B1013">
        <v>25189</v>
      </c>
      <c r="C1013">
        <f t="shared" si="34"/>
        <v>27294.720000000001</v>
      </c>
      <c r="D1013">
        <f t="shared" si="35"/>
        <v>0.92285247842806228</v>
      </c>
    </row>
    <row r="1014" spans="1:7">
      <c r="A1014">
        <v>1013</v>
      </c>
      <c r="B1014">
        <v>25414</v>
      </c>
      <c r="C1014">
        <f t="shared" si="34"/>
        <v>27283.02</v>
      </c>
      <c r="D1014">
        <f t="shared" si="35"/>
        <v>0.93149512040822458</v>
      </c>
    </row>
    <row r="1015" spans="1:7">
      <c r="A1015">
        <v>1014</v>
      </c>
      <c r="B1015">
        <v>25024</v>
      </c>
      <c r="C1015">
        <f t="shared" si="34"/>
        <v>27271.279999999999</v>
      </c>
      <c r="D1015">
        <f t="shared" si="35"/>
        <v>0.91759536039379164</v>
      </c>
    </row>
    <row r="1016" spans="1:7">
      <c r="A1016">
        <v>1015</v>
      </c>
      <c r="B1016">
        <v>24587</v>
      </c>
      <c r="C1016">
        <f t="shared" si="34"/>
        <v>27259.5</v>
      </c>
      <c r="D1016">
        <f t="shared" si="35"/>
        <v>0.90196078431372551</v>
      </c>
    </row>
    <row r="1017" spans="1:7">
      <c r="A1017">
        <v>1016</v>
      </c>
      <c r="B1017">
        <v>23987</v>
      </c>
      <c r="C1017">
        <f t="shared" si="34"/>
        <v>27247.68</v>
      </c>
      <c r="D1017">
        <f t="shared" si="35"/>
        <v>0.8803318300860844</v>
      </c>
    </row>
    <row r="1018" spans="1:7">
      <c r="A1018">
        <v>1017</v>
      </c>
      <c r="B1018">
        <v>22703</v>
      </c>
      <c r="C1018">
        <f t="shared" si="34"/>
        <v>27235.82</v>
      </c>
      <c r="D1018">
        <f t="shared" si="35"/>
        <v>0.83357137769305278</v>
      </c>
    </row>
    <row r="1019" spans="1:7">
      <c r="A1019">
        <v>1018</v>
      </c>
      <c r="B1019">
        <v>21151</v>
      </c>
      <c r="C1019">
        <f t="shared" si="34"/>
        <v>27223.919999999998</v>
      </c>
      <c r="D1019">
        <f t="shared" si="35"/>
        <v>0.77692705532487616</v>
      </c>
    </row>
    <row r="1020" spans="1:7" ht="17.25">
      <c r="A1020">
        <v>1019</v>
      </c>
      <c r="B1020">
        <v>19613</v>
      </c>
      <c r="C1020">
        <f t="shared" si="34"/>
        <v>27211.98</v>
      </c>
      <c r="D1020">
        <f t="shared" si="35"/>
        <v>0.72074872905242471</v>
      </c>
      <c r="F1020">
        <v>1019.5</v>
      </c>
      <c r="G1020" t="s">
        <v>83</v>
      </c>
    </row>
    <row r="1021" spans="1:7">
      <c r="A1021">
        <v>1020</v>
      </c>
      <c r="B1021">
        <v>19280</v>
      </c>
      <c r="C1021">
        <f t="shared" si="34"/>
        <v>27200</v>
      </c>
      <c r="D1021">
        <f t="shared" si="35"/>
        <v>0.70882352941176474</v>
      </c>
    </row>
    <row r="1022" spans="1:7">
      <c r="A1022">
        <v>1021</v>
      </c>
      <c r="B1022">
        <v>20283</v>
      </c>
      <c r="C1022">
        <f t="shared" si="34"/>
        <v>27187.98</v>
      </c>
      <c r="D1022">
        <f t="shared" si="35"/>
        <v>0.74602820805370607</v>
      </c>
    </row>
    <row r="1023" spans="1:7">
      <c r="A1023">
        <v>1022</v>
      </c>
      <c r="B1023">
        <v>22086</v>
      </c>
      <c r="C1023">
        <f t="shared" si="34"/>
        <v>27175.919999999998</v>
      </c>
      <c r="D1023">
        <f t="shared" si="35"/>
        <v>0.81270477687599907</v>
      </c>
    </row>
    <row r="1024" spans="1:7">
      <c r="A1024">
        <v>1023</v>
      </c>
      <c r="B1024">
        <v>23990</v>
      </c>
      <c r="C1024">
        <f t="shared" si="34"/>
        <v>27163.82</v>
      </c>
      <c r="D1024">
        <f t="shared" si="35"/>
        <v>0.88316002682980521</v>
      </c>
    </row>
    <row r="1025" spans="1:4">
      <c r="A1025">
        <v>1024</v>
      </c>
      <c r="B1025">
        <v>25641</v>
      </c>
      <c r="C1025">
        <f t="shared" si="34"/>
        <v>27151.68</v>
      </c>
      <c r="D1025">
        <f t="shared" si="35"/>
        <v>0.94436145387688719</v>
      </c>
    </row>
    <row r="1026" spans="1:4">
      <c r="A1026">
        <v>1025</v>
      </c>
      <c r="B1026">
        <v>26479</v>
      </c>
      <c r="C1026">
        <f t="shared" ref="C1026:C1089" si="36">29000-10000*(A1026-720)*(A1026-720)/500000</f>
        <v>27139.5</v>
      </c>
      <c r="D1026">
        <f t="shared" ref="D1026:D1089" si="37">B1026/C1026</f>
        <v>0.97566277934376089</v>
      </c>
    </row>
    <row r="1027" spans="1:4">
      <c r="A1027">
        <v>1026</v>
      </c>
      <c r="B1027">
        <v>26678</v>
      </c>
      <c r="C1027">
        <f t="shared" si="36"/>
        <v>27127.279999999999</v>
      </c>
      <c r="D1027">
        <f t="shared" si="37"/>
        <v>0.9834380741452885</v>
      </c>
    </row>
    <row r="1028" spans="1:4">
      <c r="A1028">
        <v>1027</v>
      </c>
      <c r="B1028">
        <v>26339</v>
      </c>
      <c r="C1028">
        <f t="shared" si="36"/>
        <v>27115.02</v>
      </c>
      <c r="D1028">
        <f t="shared" si="37"/>
        <v>0.97138043785326356</v>
      </c>
    </row>
    <row r="1029" spans="1:4">
      <c r="A1029">
        <v>1028</v>
      </c>
      <c r="B1029">
        <v>26008</v>
      </c>
      <c r="C1029">
        <f t="shared" si="36"/>
        <v>27102.720000000001</v>
      </c>
      <c r="D1029">
        <f t="shared" si="37"/>
        <v>0.9596084821006895</v>
      </c>
    </row>
    <row r="1030" spans="1:4">
      <c r="A1030">
        <v>1029</v>
      </c>
      <c r="B1030">
        <v>25943</v>
      </c>
      <c r="C1030">
        <f t="shared" si="36"/>
        <v>27090.38</v>
      </c>
      <c r="D1030">
        <f t="shared" si="37"/>
        <v>0.95764621980201081</v>
      </c>
    </row>
    <row r="1031" spans="1:4">
      <c r="A1031">
        <v>1030</v>
      </c>
      <c r="B1031">
        <v>26274</v>
      </c>
      <c r="C1031">
        <f t="shared" si="36"/>
        <v>27078</v>
      </c>
      <c r="D1031">
        <f t="shared" si="37"/>
        <v>0.9703079991136716</v>
      </c>
    </row>
    <row r="1032" spans="1:4">
      <c r="A1032">
        <v>1031</v>
      </c>
      <c r="B1032">
        <v>26884</v>
      </c>
      <c r="C1032">
        <f t="shared" si="36"/>
        <v>27065.58</v>
      </c>
      <c r="D1032">
        <f t="shared" si="37"/>
        <v>0.99329110996328174</v>
      </c>
    </row>
    <row r="1033" spans="1:4">
      <c r="A1033">
        <v>1032</v>
      </c>
      <c r="B1033">
        <v>27351</v>
      </c>
      <c r="C1033">
        <f t="shared" si="36"/>
        <v>27053.119999999999</v>
      </c>
      <c r="D1033">
        <f t="shared" si="37"/>
        <v>1.0110109296081191</v>
      </c>
    </row>
    <row r="1034" spans="1:4">
      <c r="A1034">
        <v>1033</v>
      </c>
      <c r="B1034">
        <v>27682</v>
      </c>
      <c r="C1034">
        <f t="shared" si="36"/>
        <v>27040.62</v>
      </c>
      <c r="D1034">
        <f t="shared" si="37"/>
        <v>1.0237191307004057</v>
      </c>
    </row>
    <row r="1035" spans="1:4">
      <c r="A1035">
        <v>1034</v>
      </c>
      <c r="B1035">
        <v>27522</v>
      </c>
      <c r="C1035">
        <f t="shared" si="36"/>
        <v>27028.080000000002</v>
      </c>
      <c r="D1035">
        <f t="shared" si="37"/>
        <v>1.0182743280321798</v>
      </c>
    </row>
    <row r="1036" spans="1:4">
      <c r="A1036">
        <v>1035</v>
      </c>
      <c r="B1036">
        <v>27426</v>
      </c>
      <c r="C1036">
        <f t="shared" si="36"/>
        <v>27015.5</v>
      </c>
      <c r="D1036">
        <f t="shared" si="37"/>
        <v>1.0151949806592511</v>
      </c>
    </row>
    <row r="1037" spans="1:4">
      <c r="A1037">
        <v>1036</v>
      </c>
      <c r="B1037">
        <v>27314</v>
      </c>
      <c r="C1037">
        <f t="shared" si="36"/>
        <v>27002.880000000001</v>
      </c>
      <c r="D1037">
        <f t="shared" si="37"/>
        <v>1.0115217339780054</v>
      </c>
    </row>
    <row r="1038" spans="1:4">
      <c r="A1038">
        <v>1037</v>
      </c>
      <c r="B1038">
        <v>26903</v>
      </c>
      <c r="C1038">
        <f t="shared" si="36"/>
        <v>26990.22</v>
      </c>
      <c r="D1038">
        <f t="shared" si="37"/>
        <v>0.99676845909370126</v>
      </c>
    </row>
    <row r="1039" spans="1:4">
      <c r="A1039">
        <v>1038</v>
      </c>
      <c r="B1039">
        <v>27283</v>
      </c>
      <c r="C1039">
        <f t="shared" si="36"/>
        <v>26977.52</v>
      </c>
      <c r="D1039">
        <f t="shared" si="37"/>
        <v>1.0113235019379099</v>
      </c>
    </row>
    <row r="1040" spans="1:4">
      <c r="A1040">
        <v>1039</v>
      </c>
      <c r="B1040">
        <v>27435</v>
      </c>
      <c r="C1040">
        <f t="shared" si="36"/>
        <v>26964.78</v>
      </c>
      <c r="D1040">
        <f t="shared" si="37"/>
        <v>1.0174383028528324</v>
      </c>
    </row>
    <row r="1041" spans="1:4">
      <c r="A1041">
        <v>1040</v>
      </c>
      <c r="B1041">
        <v>27733</v>
      </c>
      <c r="C1041">
        <f t="shared" si="36"/>
        <v>26952</v>
      </c>
      <c r="D1041">
        <f t="shared" si="37"/>
        <v>1.0289774413772632</v>
      </c>
    </row>
    <row r="1042" spans="1:4">
      <c r="A1042">
        <v>1041</v>
      </c>
      <c r="B1042">
        <v>27792</v>
      </c>
      <c r="C1042">
        <f t="shared" si="36"/>
        <v>26939.18</v>
      </c>
      <c r="D1042">
        <f t="shared" si="37"/>
        <v>1.0316572367830052</v>
      </c>
    </row>
    <row r="1043" spans="1:4">
      <c r="A1043">
        <v>1042</v>
      </c>
      <c r="B1043">
        <v>27562</v>
      </c>
      <c r="C1043">
        <f t="shared" si="36"/>
        <v>26926.32</v>
      </c>
      <c r="D1043">
        <f t="shared" si="37"/>
        <v>1.0236081276609652</v>
      </c>
    </row>
    <row r="1044" spans="1:4">
      <c r="A1044">
        <v>1043</v>
      </c>
      <c r="B1044">
        <v>26988</v>
      </c>
      <c r="C1044">
        <f t="shared" si="36"/>
        <v>26913.42</v>
      </c>
      <c r="D1044">
        <f t="shared" si="37"/>
        <v>1.0027711082426538</v>
      </c>
    </row>
    <row r="1045" spans="1:4">
      <c r="A1045">
        <v>1044</v>
      </c>
      <c r="B1045">
        <v>26605</v>
      </c>
      <c r="C1045">
        <f t="shared" si="36"/>
        <v>26900.48</v>
      </c>
      <c r="D1045">
        <f t="shared" si="37"/>
        <v>0.989015809383327</v>
      </c>
    </row>
    <row r="1046" spans="1:4">
      <c r="A1046">
        <v>1045</v>
      </c>
      <c r="B1046">
        <v>26242</v>
      </c>
      <c r="C1046">
        <f t="shared" si="36"/>
        <v>26887.5</v>
      </c>
      <c r="D1046">
        <f t="shared" si="37"/>
        <v>0.97599256159925618</v>
      </c>
    </row>
    <row r="1047" spans="1:4">
      <c r="A1047">
        <v>1046</v>
      </c>
      <c r="B1047">
        <v>26232</v>
      </c>
      <c r="C1047">
        <f t="shared" si="36"/>
        <v>26874.48</v>
      </c>
      <c r="D1047">
        <f t="shared" si="37"/>
        <v>0.97609330487510826</v>
      </c>
    </row>
    <row r="1048" spans="1:4">
      <c r="A1048">
        <v>1047</v>
      </c>
      <c r="B1048">
        <v>26015</v>
      </c>
      <c r="C1048">
        <f t="shared" si="36"/>
        <v>26861.42</v>
      </c>
      <c r="D1048">
        <f t="shared" si="37"/>
        <v>0.96848937993598261</v>
      </c>
    </row>
    <row r="1049" spans="1:4">
      <c r="A1049">
        <v>1048</v>
      </c>
      <c r="B1049">
        <v>25537</v>
      </c>
      <c r="C1049">
        <f t="shared" si="36"/>
        <v>26848.32</v>
      </c>
      <c r="D1049">
        <f t="shared" si="37"/>
        <v>0.95115821027162972</v>
      </c>
    </row>
    <row r="1050" spans="1:4">
      <c r="A1050">
        <v>1049</v>
      </c>
      <c r="B1050">
        <v>25034</v>
      </c>
      <c r="C1050">
        <f t="shared" si="36"/>
        <v>26835.18</v>
      </c>
      <c r="D1050">
        <f t="shared" si="37"/>
        <v>0.9328798987001391</v>
      </c>
    </row>
    <row r="1051" spans="1:4">
      <c r="A1051">
        <v>1050</v>
      </c>
      <c r="B1051">
        <v>24376</v>
      </c>
      <c r="C1051">
        <f t="shared" si="36"/>
        <v>26822</v>
      </c>
      <c r="D1051">
        <f t="shared" si="37"/>
        <v>0.90880620386250088</v>
      </c>
    </row>
    <row r="1052" spans="1:4">
      <c r="A1052">
        <v>1051</v>
      </c>
      <c r="B1052">
        <v>24143</v>
      </c>
      <c r="C1052">
        <f t="shared" si="36"/>
        <v>26808.78</v>
      </c>
      <c r="D1052">
        <f t="shared" si="37"/>
        <v>0.9005631737065245</v>
      </c>
    </row>
    <row r="1053" spans="1:4">
      <c r="A1053">
        <v>1052</v>
      </c>
      <c r="B1053">
        <v>24095</v>
      </c>
      <c r="C1053">
        <f t="shared" si="36"/>
        <v>26795.52</v>
      </c>
      <c r="D1053">
        <f t="shared" si="37"/>
        <v>0.89921748113117417</v>
      </c>
    </row>
    <row r="1054" spans="1:4">
      <c r="A1054">
        <v>1053</v>
      </c>
      <c r="B1054">
        <v>24357</v>
      </c>
      <c r="C1054">
        <f t="shared" si="36"/>
        <v>26782.22</v>
      </c>
      <c r="D1054">
        <f t="shared" si="37"/>
        <v>0.90944664034572187</v>
      </c>
    </row>
    <row r="1055" spans="1:4">
      <c r="A1055">
        <v>1054</v>
      </c>
      <c r="B1055">
        <v>24853</v>
      </c>
      <c r="C1055">
        <f t="shared" si="36"/>
        <v>26768.880000000001</v>
      </c>
      <c r="D1055">
        <f t="shared" si="37"/>
        <v>0.92842883228584827</v>
      </c>
    </row>
    <row r="1056" spans="1:4">
      <c r="A1056">
        <v>1055</v>
      </c>
      <c r="B1056">
        <v>25317</v>
      </c>
      <c r="C1056">
        <f t="shared" si="36"/>
        <v>26755.5</v>
      </c>
      <c r="D1056">
        <f t="shared" si="37"/>
        <v>0.94623535347872401</v>
      </c>
    </row>
    <row r="1057" spans="1:4">
      <c r="A1057">
        <v>1056</v>
      </c>
      <c r="B1057">
        <v>25446</v>
      </c>
      <c r="C1057">
        <f t="shared" si="36"/>
        <v>26742.080000000002</v>
      </c>
      <c r="D1057">
        <f t="shared" si="37"/>
        <v>0.95153406167358701</v>
      </c>
    </row>
    <row r="1058" spans="1:4">
      <c r="A1058">
        <v>1057</v>
      </c>
      <c r="B1058">
        <v>25548</v>
      </c>
      <c r="C1058">
        <f t="shared" si="36"/>
        <v>26728.62</v>
      </c>
      <c r="D1058">
        <f t="shared" si="37"/>
        <v>0.95582936941750085</v>
      </c>
    </row>
    <row r="1059" spans="1:4">
      <c r="A1059">
        <v>1058</v>
      </c>
      <c r="B1059">
        <v>25497</v>
      </c>
      <c r="C1059">
        <f t="shared" si="36"/>
        <v>26715.119999999999</v>
      </c>
      <c r="D1059">
        <f t="shared" si="37"/>
        <v>0.95440334911465874</v>
      </c>
    </row>
    <row r="1060" spans="1:4">
      <c r="A1060">
        <v>1059</v>
      </c>
      <c r="B1060">
        <v>25658</v>
      </c>
      <c r="C1060">
        <f t="shared" si="36"/>
        <v>26701.58</v>
      </c>
      <c r="D1060">
        <f t="shared" si="37"/>
        <v>0.96091691952311431</v>
      </c>
    </row>
    <row r="1061" spans="1:4">
      <c r="A1061">
        <v>1060</v>
      </c>
      <c r="B1061">
        <v>26124</v>
      </c>
      <c r="C1061">
        <f t="shared" si="36"/>
        <v>26688</v>
      </c>
      <c r="D1061">
        <f t="shared" si="37"/>
        <v>0.97886690647482011</v>
      </c>
    </row>
    <row r="1062" spans="1:4">
      <c r="A1062">
        <v>1061</v>
      </c>
      <c r="B1062">
        <v>26681</v>
      </c>
      <c r="C1062">
        <f t="shared" si="36"/>
        <v>26674.38</v>
      </c>
      <c r="D1062">
        <f t="shared" si="37"/>
        <v>1.0002481782144514</v>
      </c>
    </row>
    <row r="1063" spans="1:4">
      <c r="A1063">
        <v>1062</v>
      </c>
      <c r="B1063">
        <v>27131</v>
      </c>
      <c r="C1063">
        <f t="shared" si="36"/>
        <v>26660.720000000001</v>
      </c>
      <c r="D1063">
        <f t="shared" si="37"/>
        <v>1.0176394335936914</v>
      </c>
    </row>
    <row r="1064" spans="1:4">
      <c r="A1064">
        <v>1063</v>
      </c>
      <c r="B1064">
        <v>27487</v>
      </c>
      <c r="C1064">
        <f t="shared" si="36"/>
        <v>26647.02</v>
      </c>
      <c r="D1064">
        <f t="shared" si="37"/>
        <v>1.0315224741828541</v>
      </c>
    </row>
    <row r="1065" spans="1:4">
      <c r="A1065">
        <v>1064</v>
      </c>
      <c r="B1065">
        <v>27362</v>
      </c>
      <c r="C1065">
        <f t="shared" si="36"/>
        <v>26633.279999999999</v>
      </c>
      <c r="D1065">
        <f t="shared" si="37"/>
        <v>1.0273612562928787</v>
      </c>
    </row>
    <row r="1066" spans="1:4">
      <c r="A1066">
        <v>1065</v>
      </c>
      <c r="B1066">
        <v>26893</v>
      </c>
      <c r="C1066">
        <f t="shared" si="36"/>
        <v>26619.5</v>
      </c>
      <c r="D1066">
        <f t="shared" si="37"/>
        <v>1.0102744228854788</v>
      </c>
    </row>
    <row r="1067" spans="1:4">
      <c r="A1067">
        <v>1066</v>
      </c>
      <c r="B1067">
        <v>26472</v>
      </c>
      <c r="C1067">
        <f t="shared" si="36"/>
        <v>26605.68</v>
      </c>
      <c r="D1067">
        <f t="shared" si="37"/>
        <v>0.99497550898905796</v>
      </c>
    </row>
    <row r="1068" spans="1:4">
      <c r="A1068">
        <v>1067</v>
      </c>
      <c r="B1068">
        <v>25964</v>
      </c>
      <c r="C1068">
        <f t="shared" si="36"/>
        <v>26591.82</v>
      </c>
      <c r="D1068">
        <f t="shared" si="37"/>
        <v>0.97639048399094164</v>
      </c>
    </row>
    <row r="1069" spans="1:4">
      <c r="A1069">
        <v>1068</v>
      </c>
      <c r="B1069">
        <v>25801</v>
      </c>
      <c r="C1069">
        <f t="shared" si="36"/>
        <v>26577.919999999998</v>
      </c>
      <c r="D1069">
        <f t="shared" si="37"/>
        <v>0.97076821662492785</v>
      </c>
    </row>
    <row r="1070" spans="1:4">
      <c r="A1070">
        <v>1069</v>
      </c>
      <c r="B1070">
        <v>25533</v>
      </c>
      <c r="C1070">
        <f t="shared" si="36"/>
        <v>26563.98</v>
      </c>
      <c r="D1070">
        <f t="shared" si="37"/>
        <v>0.96118879776298582</v>
      </c>
    </row>
    <row r="1071" spans="1:4">
      <c r="A1071">
        <v>1070</v>
      </c>
      <c r="B1071">
        <v>25722</v>
      </c>
      <c r="C1071">
        <f t="shared" si="36"/>
        <v>26550</v>
      </c>
      <c r="D1071">
        <f t="shared" si="37"/>
        <v>0.96881355932203395</v>
      </c>
    </row>
    <row r="1072" spans="1:4">
      <c r="A1072">
        <v>1071</v>
      </c>
      <c r="B1072">
        <v>25567</v>
      </c>
      <c r="C1072">
        <f t="shared" si="36"/>
        <v>26535.98</v>
      </c>
      <c r="D1072">
        <f t="shared" si="37"/>
        <v>0.96348429566196536</v>
      </c>
    </row>
    <row r="1073" spans="1:4">
      <c r="A1073">
        <v>1072</v>
      </c>
      <c r="B1073">
        <v>25009</v>
      </c>
      <c r="C1073">
        <f t="shared" si="36"/>
        <v>26521.919999999998</v>
      </c>
      <c r="D1073">
        <f t="shared" si="37"/>
        <v>0.94295586443213775</v>
      </c>
    </row>
    <row r="1074" spans="1:4">
      <c r="A1074">
        <v>1073</v>
      </c>
      <c r="B1074">
        <v>24189</v>
      </c>
      <c r="C1074">
        <f t="shared" si="36"/>
        <v>26507.82</v>
      </c>
      <c r="D1074">
        <f t="shared" si="37"/>
        <v>0.91252317240723679</v>
      </c>
    </row>
    <row r="1075" spans="1:4">
      <c r="A1075">
        <v>1074</v>
      </c>
      <c r="B1075">
        <v>23302</v>
      </c>
      <c r="C1075">
        <f t="shared" si="36"/>
        <v>26493.68</v>
      </c>
      <c r="D1075">
        <f t="shared" si="37"/>
        <v>0.87953051444721908</v>
      </c>
    </row>
    <row r="1076" spans="1:4">
      <c r="A1076">
        <v>1075</v>
      </c>
      <c r="B1076">
        <v>22665</v>
      </c>
      <c r="C1076">
        <f t="shared" si="36"/>
        <v>26479.5</v>
      </c>
      <c r="D1076">
        <f t="shared" si="37"/>
        <v>0.85594516512774033</v>
      </c>
    </row>
    <row r="1077" spans="1:4">
      <c r="A1077">
        <v>1076</v>
      </c>
      <c r="B1077">
        <v>22670</v>
      </c>
      <c r="C1077">
        <f t="shared" si="36"/>
        <v>26465.279999999999</v>
      </c>
      <c r="D1077">
        <f t="shared" si="37"/>
        <v>0.8565939978719288</v>
      </c>
    </row>
    <row r="1078" spans="1:4">
      <c r="A1078">
        <v>1077</v>
      </c>
      <c r="B1078">
        <v>23151</v>
      </c>
      <c r="C1078">
        <f t="shared" si="36"/>
        <v>26451.02</v>
      </c>
      <c r="D1078">
        <f t="shared" si="37"/>
        <v>0.87524034989955013</v>
      </c>
    </row>
    <row r="1079" spans="1:4">
      <c r="A1079">
        <v>1078</v>
      </c>
      <c r="B1079">
        <v>23691</v>
      </c>
      <c r="C1079">
        <f t="shared" si="36"/>
        <v>26436.720000000001</v>
      </c>
      <c r="D1079">
        <f t="shared" si="37"/>
        <v>0.89613991448258323</v>
      </c>
    </row>
    <row r="1080" spans="1:4">
      <c r="A1080">
        <v>1079</v>
      </c>
      <c r="B1080">
        <v>24051</v>
      </c>
      <c r="C1080">
        <f t="shared" si="36"/>
        <v>26422.38</v>
      </c>
      <c r="D1080">
        <f t="shared" si="37"/>
        <v>0.91025108260497345</v>
      </c>
    </row>
    <row r="1081" spans="1:4">
      <c r="A1081">
        <v>1080</v>
      </c>
      <c r="B1081">
        <v>24093</v>
      </c>
      <c r="C1081">
        <f t="shared" si="36"/>
        <v>26408</v>
      </c>
      <c r="D1081">
        <f t="shared" si="37"/>
        <v>0.91233717055437746</v>
      </c>
    </row>
    <row r="1082" spans="1:4">
      <c r="A1082">
        <v>1081</v>
      </c>
      <c r="B1082">
        <v>24133</v>
      </c>
      <c r="C1082">
        <f t="shared" si="36"/>
        <v>26393.58</v>
      </c>
      <c r="D1082">
        <f t="shared" si="37"/>
        <v>0.91435114145182272</v>
      </c>
    </row>
    <row r="1083" spans="1:4">
      <c r="A1083">
        <v>1082</v>
      </c>
      <c r="B1083">
        <v>24349</v>
      </c>
      <c r="C1083">
        <f t="shared" si="36"/>
        <v>26379.119999999999</v>
      </c>
      <c r="D1083">
        <f t="shared" si="37"/>
        <v>0.92304064729983415</v>
      </c>
    </row>
    <row r="1084" spans="1:4">
      <c r="A1084">
        <v>1083</v>
      </c>
      <c r="B1084">
        <v>24570</v>
      </c>
      <c r="C1084">
        <f t="shared" si="36"/>
        <v>26364.62</v>
      </c>
      <c r="D1084">
        <f t="shared" si="37"/>
        <v>0.93193074658386887</v>
      </c>
    </row>
    <row r="1085" spans="1:4">
      <c r="A1085">
        <v>1084</v>
      </c>
      <c r="B1085">
        <v>24221</v>
      </c>
      <c r="C1085">
        <f t="shared" si="36"/>
        <v>26350.080000000002</v>
      </c>
      <c r="D1085">
        <f t="shared" si="37"/>
        <v>0.91920024531234812</v>
      </c>
    </row>
    <row r="1086" spans="1:4">
      <c r="A1086">
        <v>1085</v>
      </c>
      <c r="B1086">
        <v>22999</v>
      </c>
      <c r="C1086">
        <f t="shared" si="36"/>
        <v>26335.5</v>
      </c>
      <c r="D1086">
        <f t="shared" si="37"/>
        <v>0.87330789238860096</v>
      </c>
    </row>
    <row r="1087" spans="1:4">
      <c r="A1087">
        <v>1086</v>
      </c>
      <c r="B1087">
        <v>21827</v>
      </c>
      <c r="C1087">
        <f t="shared" si="36"/>
        <v>26320.880000000001</v>
      </c>
      <c r="D1087">
        <f t="shared" si="37"/>
        <v>0.82926558686487684</v>
      </c>
    </row>
    <row r="1088" spans="1:4">
      <c r="A1088">
        <v>1087</v>
      </c>
      <c r="B1088">
        <v>20577</v>
      </c>
      <c r="C1088">
        <f t="shared" si="36"/>
        <v>26306.22</v>
      </c>
      <c r="D1088">
        <f t="shared" si="37"/>
        <v>0.78221044300549447</v>
      </c>
    </row>
    <row r="1089" spans="1:7">
      <c r="A1089">
        <v>1088</v>
      </c>
      <c r="B1089">
        <v>19221</v>
      </c>
      <c r="C1089">
        <f t="shared" si="36"/>
        <v>26291.52</v>
      </c>
      <c r="D1089">
        <f t="shared" si="37"/>
        <v>0.73107222404790595</v>
      </c>
    </row>
    <row r="1090" spans="1:7">
      <c r="A1090">
        <v>1089</v>
      </c>
      <c r="B1090">
        <v>17286</v>
      </c>
      <c r="C1090">
        <f t="shared" ref="C1090:C1153" si="38">29000-10000*(A1090-720)*(A1090-720)/500000</f>
        <v>26276.78</v>
      </c>
      <c r="D1090">
        <f t="shared" ref="D1090:D1153" si="39">B1090/C1090</f>
        <v>0.65784316038723167</v>
      </c>
    </row>
    <row r="1091" spans="1:7">
      <c r="A1091">
        <v>1090</v>
      </c>
      <c r="B1091">
        <v>15495</v>
      </c>
      <c r="C1091">
        <f t="shared" si="38"/>
        <v>26262</v>
      </c>
      <c r="D1091">
        <f t="shared" si="39"/>
        <v>0.59001599268905647</v>
      </c>
    </row>
    <row r="1092" spans="1:7" ht="17.25">
      <c r="A1092">
        <v>1091</v>
      </c>
      <c r="B1092">
        <v>14683</v>
      </c>
      <c r="C1092">
        <f t="shared" si="38"/>
        <v>26247.18</v>
      </c>
      <c r="D1092">
        <f t="shared" si="39"/>
        <v>0.55941247783571413</v>
      </c>
      <c r="F1092">
        <v>1091</v>
      </c>
      <c r="G1092" t="s">
        <v>84</v>
      </c>
    </row>
    <row r="1093" spans="1:7">
      <c r="A1093">
        <v>1092</v>
      </c>
      <c r="B1093">
        <v>15114</v>
      </c>
      <c r="C1093">
        <f t="shared" si="38"/>
        <v>26232.32</v>
      </c>
      <c r="D1093">
        <f t="shared" si="39"/>
        <v>0.57615948570313258</v>
      </c>
    </row>
    <row r="1094" spans="1:7">
      <c r="A1094">
        <v>1093</v>
      </c>
      <c r="B1094">
        <v>16342</v>
      </c>
      <c r="C1094">
        <f t="shared" si="38"/>
        <v>26217.42</v>
      </c>
      <c r="D1094">
        <f t="shared" si="39"/>
        <v>0.62332601758678008</v>
      </c>
    </row>
    <row r="1095" spans="1:7">
      <c r="A1095">
        <v>1094</v>
      </c>
      <c r="B1095">
        <v>18176</v>
      </c>
      <c r="C1095">
        <f t="shared" si="38"/>
        <v>26202.48</v>
      </c>
      <c r="D1095">
        <f t="shared" si="39"/>
        <v>0.69367479719476932</v>
      </c>
    </row>
    <row r="1096" spans="1:7">
      <c r="A1096">
        <v>1095</v>
      </c>
      <c r="B1096">
        <v>19949</v>
      </c>
      <c r="C1096">
        <f t="shared" si="38"/>
        <v>26187.5</v>
      </c>
      <c r="D1096">
        <f t="shared" si="39"/>
        <v>0.76177565632458233</v>
      </c>
    </row>
    <row r="1097" spans="1:7">
      <c r="A1097">
        <v>1096</v>
      </c>
      <c r="B1097">
        <v>21098</v>
      </c>
      <c r="C1097">
        <f t="shared" si="38"/>
        <v>26172.48</v>
      </c>
      <c r="D1097">
        <f t="shared" si="39"/>
        <v>0.80611390284757123</v>
      </c>
    </row>
    <row r="1098" spans="1:7">
      <c r="A1098">
        <v>1097</v>
      </c>
      <c r="B1098">
        <v>21574</v>
      </c>
      <c r="C1098">
        <f t="shared" si="38"/>
        <v>26157.42</v>
      </c>
      <c r="D1098">
        <f t="shared" si="39"/>
        <v>0.82477553214346067</v>
      </c>
    </row>
    <row r="1099" spans="1:7">
      <c r="A1099">
        <v>1098</v>
      </c>
      <c r="B1099">
        <v>20948</v>
      </c>
      <c r="C1099">
        <f t="shared" si="38"/>
        <v>26142.32</v>
      </c>
      <c r="D1099">
        <f t="shared" si="39"/>
        <v>0.80130608148014404</v>
      </c>
    </row>
    <row r="1100" spans="1:7">
      <c r="A1100">
        <v>1099</v>
      </c>
      <c r="B1100">
        <v>19027</v>
      </c>
      <c r="C1100">
        <f t="shared" si="38"/>
        <v>26127.18</v>
      </c>
      <c r="D1100">
        <f t="shared" si="39"/>
        <v>0.7282454516714012</v>
      </c>
    </row>
    <row r="1101" spans="1:7">
      <c r="A1101">
        <v>1100</v>
      </c>
      <c r="B1101">
        <v>16668</v>
      </c>
      <c r="C1101">
        <f t="shared" si="38"/>
        <v>26112</v>
      </c>
      <c r="D1101">
        <f t="shared" si="39"/>
        <v>0.63832720588235292</v>
      </c>
    </row>
    <row r="1102" spans="1:7">
      <c r="A1102">
        <v>1101</v>
      </c>
      <c r="B1102">
        <v>14994</v>
      </c>
      <c r="C1102">
        <f t="shared" si="38"/>
        <v>26096.78</v>
      </c>
      <c r="D1102">
        <f t="shared" si="39"/>
        <v>0.57455364225011674</v>
      </c>
    </row>
    <row r="1103" spans="1:7" ht="17.25">
      <c r="A1103">
        <v>1102</v>
      </c>
      <c r="B1103">
        <v>14655</v>
      </c>
      <c r="C1103">
        <f t="shared" si="38"/>
        <v>26081.52</v>
      </c>
      <c r="D1103">
        <f t="shared" si="39"/>
        <v>0.56189209831328846</v>
      </c>
      <c r="F1103">
        <v>1102</v>
      </c>
      <c r="G1103" t="s">
        <v>85</v>
      </c>
    </row>
    <row r="1104" spans="1:7">
      <c r="A1104">
        <v>1103</v>
      </c>
      <c r="B1104">
        <v>15666</v>
      </c>
      <c r="C1104">
        <f t="shared" si="38"/>
        <v>26066.22</v>
      </c>
      <c r="D1104">
        <f t="shared" si="39"/>
        <v>0.6010077410533633</v>
      </c>
    </row>
    <row r="1105" spans="1:4">
      <c r="A1105">
        <v>1104</v>
      </c>
      <c r="B1105">
        <v>17427</v>
      </c>
      <c r="C1105">
        <f t="shared" si="38"/>
        <v>26050.880000000001</v>
      </c>
      <c r="D1105">
        <f t="shared" si="39"/>
        <v>0.66896012725865683</v>
      </c>
    </row>
    <row r="1106" spans="1:4">
      <c r="A1106">
        <v>1105</v>
      </c>
      <c r="B1106">
        <v>19470</v>
      </c>
      <c r="C1106">
        <f t="shared" si="38"/>
        <v>26035.5</v>
      </c>
      <c r="D1106">
        <f t="shared" si="39"/>
        <v>0.74782508498012334</v>
      </c>
    </row>
    <row r="1107" spans="1:4">
      <c r="A1107">
        <v>1106</v>
      </c>
      <c r="B1107">
        <v>21349</v>
      </c>
      <c r="C1107">
        <f t="shared" si="38"/>
        <v>26020.080000000002</v>
      </c>
      <c r="D1107">
        <f t="shared" si="39"/>
        <v>0.82048172027142108</v>
      </c>
    </row>
    <row r="1108" spans="1:4">
      <c r="A1108">
        <v>1107</v>
      </c>
      <c r="B1108">
        <v>22811</v>
      </c>
      <c r="C1108">
        <f t="shared" si="38"/>
        <v>26004.62</v>
      </c>
      <c r="D1108">
        <f t="shared" si="39"/>
        <v>0.87719028388032594</v>
      </c>
    </row>
    <row r="1109" spans="1:4">
      <c r="A1109">
        <v>1108</v>
      </c>
      <c r="B1109">
        <v>23750</v>
      </c>
      <c r="C1109">
        <f t="shared" si="38"/>
        <v>25989.119999999999</v>
      </c>
      <c r="D1109">
        <f t="shared" si="39"/>
        <v>0.91384394700551619</v>
      </c>
    </row>
    <row r="1110" spans="1:4">
      <c r="A1110">
        <v>1109</v>
      </c>
      <c r="B1110">
        <v>23989</v>
      </c>
      <c r="C1110">
        <f t="shared" si="38"/>
        <v>25973.58</v>
      </c>
      <c r="D1110">
        <f t="shared" si="39"/>
        <v>0.92359235808078821</v>
      </c>
    </row>
    <row r="1111" spans="1:4">
      <c r="A1111">
        <v>1110</v>
      </c>
      <c r="B1111">
        <v>24600</v>
      </c>
      <c r="C1111">
        <f t="shared" si="38"/>
        <v>25958</v>
      </c>
      <c r="D1111">
        <f t="shared" si="39"/>
        <v>0.94768472147314897</v>
      </c>
    </row>
    <row r="1112" spans="1:4">
      <c r="A1112">
        <v>1111</v>
      </c>
      <c r="B1112">
        <v>24654</v>
      </c>
      <c r="C1112">
        <f t="shared" si="38"/>
        <v>25942.38</v>
      </c>
      <c r="D1112">
        <f t="shared" si="39"/>
        <v>0.95033686192246047</v>
      </c>
    </row>
    <row r="1113" spans="1:4">
      <c r="A1113">
        <v>1112</v>
      </c>
      <c r="B1113">
        <v>24344</v>
      </c>
      <c r="C1113">
        <f t="shared" si="38"/>
        <v>25926.720000000001</v>
      </c>
      <c r="D1113">
        <f t="shared" si="39"/>
        <v>0.9389540983201885</v>
      </c>
    </row>
    <row r="1114" spans="1:4">
      <c r="A1114">
        <v>1113</v>
      </c>
      <c r="B1114">
        <v>24029</v>
      </c>
      <c r="C1114">
        <f t="shared" si="38"/>
        <v>25911.02</v>
      </c>
      <c r="D1114">
        <f t="shared" si="39"/>
        <v>0.92736603962329545</v>
      </c>
    </row>
    <row r="1115" spans="1:4">
      <c r="A1115">
        <v>1114</v>
      </c>
      <c r="B1115">
        <v>23545</v>
      </c>
      <c r="C1115">
        <f t="shared" si="38"/>
        <v>25895.279999999999</v>
      </c>
      <c r="D1115">
        <f t="shared" si="39"/>
        <v>0.90923905823764029</v>
      </c>
    </row>
    <row r="1116" spans="1:4">
      <c r="A1116">
        <v>1115</v>
      </c>
      <c r="B1116">
        <v>23000</v>
      </c>
      <c r="C1116">
        <f t="shared" si="38"/>
        <v>25879.5</v>
      </c>
      <c r="D1116">
        <f t="shared" si="39"/>
        <v>0.88873432639734151</v>
      </c>
    </row>
    <row r="1117" spans="1:4">
      <c r="A1117">
        <v>1116</v>
      </c>
      <c r="B1117">
        <v>22956</v>
      </c>
      <c r="C1117">
        <f t="shared" si="38"/>
        <v>25863.68</v>
      </c>
      <c r="D1117">
        <f t="shared" si="39"/>
        <v>0.88757670988815207</v>
      </c>
    </row>
    <row r="1118" spans="1:4">
      <c r="A1118">
        <v>1117</v>
      </c>
      <c r="B1118">
        <v>22771</v>
      </c>
      <c r="C1118">
        <f t="shared" si="38"/>
        <v>25847.82</v>
      </c>
      <c r="D1118">
        <f t="shared" si="39"/>
        <v>0.88096404261558614</v>
      </c>
    </row>
    <row r="1119" spans="1:4">
      <c r="A1119">
        <v>1118</v>
      </c>
      <c r="B1119">
        <v>23409</v>
      </c>
      <c r="C1119">
        <f t="shared" si="38"/>
        <v>25831.919999999998</v>
      </c>
      <c r="D1119">
        <f t="shared" si="39"/>
        <v>0.90620441686099995</v>
      </c>
    </row>
    <row r="1120" spans="1:4">
      <c r="A1120">
        <v>1119</v>
      </c>
      <c r="B1120">
        <v>24020</v>
      </c>
      <c r="C1120">
        <f t="shared" si="38"/>
        <v>25815.98</v>
      </c>
      <c r="D1120">
        <f t="shared" si="39"/>
        <v>0.93043146144364852</v>
      </c>
    </row>
    <row r="1121" spans="1:4">
      <c r="A1121">
        <v>1120</v>
      </c>
      <c r="B1121">
        <v>24330</v>
      </c>
      <c r="C1121">
        <f t="shared" si="38"/>
        <v>25800</v>
      </c>
      <c r="D1121">
        <f t="shared" si="39"/>
        <v>0.94302325581395352</v>
      </c>
    </row>
    <row r="1122" spans="1:4">
      <c r="A1122">
        <v>1121</v>
      </c>
      <c r="B1122">
        <v>23943</v>
      </c>
      <c r="C1122">
        <f t="shared" si="38"/>
        <v>25783.98</v>
      </c>
      <c r="D1122">
        <f t="shared" si="39"/>
        <v>0.928599851535721</v>
      </c>
    </row>
    <row r="1123" spans="1:4">
      <c r="A1123">
        <v>1122</v>
      </c>
      <c r="B1123">
        <v>23285</v>
      </c>
      <c r="C1123">
        <f t="shared" si="38"/>
        <v>25767.919999999998</v>
      </c>
      <c r="D1123">
        <f t="shared" si="39"/>
        <v>0.90364297933244131</v>
      </c>
    </row>
    <row r="1124" spans="1:4">
      <c r="A1124">
        <v>1123</v>
      </c>
      <c r="B1124">
        <v>22693</v>
      </c>
      <c r="C1124">
        <f t="shared" si="38"/>
        <v>25751.82</v>
      </c>
      <c r="D1124">
        <f t="shared" si="39"/>
        <v>0.88121926916233495</v>
      </c>
    </row>
    <row r="1125" spans="1:4">
      <c r="A1125">
        <v>1124</v>
      </c>
      <c r="B1125">
        <v>22416</v>
      </c>
      <c r="C1125">
        <f t="shared" si="38"/>
        <v>25735.68</v>
      </c>
      <c r="D1125">
        <f t="shared" si="39"/>
        <v>0.87100865413309458</v>
      </c>
    </row>
    <row r="1126" spans="1:4">
      <c r="A1126">
        <v>1125</v>
      </c>
      <c r="B1126">
        <v>22628</v>
      </c>
      <c r="C1126">
        <f t="shared" si="38"/>
        <v>25719.5</v>
      </c>
      <c r="D1126">
        <f t="shared" si="39"/>
        <v>0.87979937401582453</v>
      </c>
    </row>
    <row r="1127" spans="1:4">
      <c r="A1127">
        <v>1126</v>
      </c>
      <c r="B1127">
        <v>22830</v>
      </c>
      <c r="C1127">
        <f t="shared" si="38"/>
        <v>25703.279999999999</v>
      </c>
      <c r="D1127">
        <f t="shared" si="39"/>
        <v>0.88821348870649974</v>
      </c>
    </row>
    <row r="1128" spans="1:4">
      <c r="A1128">
        <v>1127</v>
      </c>
      <c r="B1128">
        <v>23383</v>
      </c>
      <c r="C1128">
        <f t="shared" si="38"/>
        <v>25687.02</v>
      </c>
      <c r="D1128">
        <f t="shared" si="39"/>
        <v>0.91030411468516004</v>
      </c>
    </row>
    <row r="1129" spans="1:4">
      <c r="A1129">
        <v>1128</v>
      </c>
      <c r="B1129">
        <v>23937</v>
      </c>
      <c r="C1129">
        <f t="shared" si="38"/>
        <v>25670.720000000001</v>
      </c>
      <c r="D1129">
        <f t="shared" si="39"/>
        <v>0.93246313309482554</v>
      </c>
    </row>
    <row r="1130" spans="1:4">
      <c r="A1130">
        <v>1129</v>
      </c>
      <c r="B1130">
        <v>24035</v>
      </c>
      <c r="C1130">
        <f t="shared" si="38"/>
        <v>25654.38</v>
      </c>
      <c r="D1130">
        <f t="shared" si="39"/>
        <v>0.93687705569185453</v>
      </c>
    </row>
    <row r="1131" spans="1:4">
      <c r="A1131">
        <v>1130</v>
      </c>
      <c r="B1131">
        <v>24290</v>
      </c>
      <c r="C1131">
        <f t="shared" si="38"/>
        <v>25638</v>
      </c>
      <c r="D1131">
        <f t="shared" si="39"/>
        <v>0.94742179577190111</v>
      </c>
    </row>
    <row r="1132" spans="1:4">
      <c r="A1132">
        <v>1131</v>
      </c>
      <c r="B1132">
        <v>24252</v>
      </c>
      <c r="C1132">
        <f t="shared" si="38"/>
        <v>25621.58</v>
      </c>
      <c r="D1132">
        <f t="shared" si="39"/>
        <v>0.94654584143522758</v>
      </c>
    </row>
    <row r="1133" spans="1:4">
      <c r="A1133">
        <v>1132</v>
      </c>
      <c r="B1133">
        <v>24228</v>
      </c>
      <c r="C1133">
        <f t="shared" si="38"/>
        <v>25605.119999999999</v>
      </c>
      <c r="D1133">
        <f t="shared" si="39"/>
        <v>0.94621700659868035</v>
      </c>
    </row>
    <row r="1134" spans="1:4">
      <c r="A1134">
        <v>1133</v>
      </c>
      <c r="B1134">
        <v>24274</v>
      </c>
      <c r="C1134">
        <f t="shared" si="38"/>
        <v>25588.62</v>
      </c>
      <c r="D1134">
        <f t="shared" si="39"/>
        <v>0.94862481837629387</v>
      </c>
    </row>
    <row r="1135" spans="1:4">
      <c r="A1135">
        <v>1134</v>
      </c>
      <c r="B1135">
        <v>24063</v>
      </c>
      <c r="C1135">
        <f t="shared" si="38"/>
        <v>25572.080000000002</v>
      </c>
      <c r="D1135">
        <f t="shared" si="39"/>
        <v>0.94098720166681782</v>
      </c>
    </row>
    <row r="1136" spans="1:4">
      <c r="A1136">
        <v>1135</v>
      </c>
      <c r="B1136">
        <v>24010</v>
      </c>
      <c r="C1136">
        <f t="shared" si="38"/>
        <v>25555.5</v>
      </c>
      <c r="D1136">
        <f t="shared" si="39"/>
        <v>0.93952378157343819</v>
      </c>
    </row>
    <row r="1137" spans="1:4">
      <c r="A1137">
        <v>1136</v>
      </c>
      <c r="B1137">
        <v>23765</v>
      </c>
      <c r="C1137">
        <f t="shared" si="38"/>
        <v>25538.880000000001</v>
      </c>
      <c r="D1137">
        <f t="shared" si="39"/>
        <v>0.93054198148078537</v>
      </c>
    </row>
    <row r="1138" spans="1:4">
      <c r="A1138">
        <v>1137</v>
      </c>
      <c r="B1138">
        <v>23468</v>
      </c>
      <c r="C1138">
        <f t="shared" si="38"/>
        <v>25522.22</v>
      </c>
      <c r="D1138">
        <f t="shared" si="39"/>
        <v>0.91951248755006421</v>
      </c>
    </row>
    <row r="1139" spans="1:4">
      <c r="A1139">
        <v>1138</v>
      </c>
      <c r="B1139">
        <v>23152</v>
      </c>
      <c r="C1139">
        <f t="shared" si="38"/>
        <v>25505.52</v>
      </c>
      <c r="D1139">
        <f t="shared" si="39"/>
        <v>0.9077250728469759</v>
      </c>
    </row>
    <row r="1140" spans="1:4">
      <c r="A1140">
        <v>1139</v>
      </c>
      <c r="B1140">
        <v>22764</v>
      </c>
      <c r="C1140">
        <f t="shared" si="38"/>
        <v>25488.78</v>
      </c>
      <c r="D1140">
        <f t="shared" si="39"/>
        <v>0.89309884584511312</v>
      </c>
    </row>
    <row r="1141" spans="1:4">
      <c r="A1141">
        <v>1140</v>
      </c>
      <c r="B1141">
        <v>21777</v>
      </c>
      <c r="C1141">
        <f t="shared" si="38"/>
        <v>25472</v>
      </c>
      <c r="D1141">
        <f t="shared" si="39"/>
        <v>0.85493875628140703</v>
      </c>
    </row>
    <row r="1142" spans="1:4">
      <c r="A1142">
        <v>1141</v>
      </c>
      <c r="B1142">
        <v>21304</v>
      </c>
      <c r="C1142">
        <f t="shared" si="38"/>
        <v>25455.18</v>
      </c>
      <c r="D1142">
        <f t="shared" si="39"/>
        <v>0.83692199387315269</v>
      </c>
    </row>
    <row r="1143" spans="1:4">
      <c r="A1143">
        <v>1142</v>
      </c>
      <c r="B1143">
        <v>21466</v>
      </c>
      <c r="C1143">
        <f t="shared" si="38"/>
        <v>25438.32</v>
      </c>
      <c r="D1143">
        <f t="shared" si="39"/>
        <v>0.84384503379153974</v>
      </c>
    </row>
    <row r="1144" spans="1:4">
      <c r="A1144">
        <v>1143</v>
      </c>
      <c r="B1144">
        <v>22124</v>
      </c>
      <c r="C1144">
        <f t="shared" si="38"/>
        <v>25421.42</v>
      </c>
      <c r="D1144">
        <f t="shared" si="39"/>
        <v>0.87028970057534161</v>
      </c>
    </row>
    <row r="1145" spans="1:4">
      <c r="A1145">
        <v>1144</v>
      </c>
      <c r="B1145">
        <v>22951</v>
      </c>
      <c r="C1145">
        <f t="shared" si="38"/>
        <v>25404.48</v>
      </c>
      <c r="D1145">
        <f t="shared" si="39"/>
        <v>0.90342333320737134</v>
      </c>
    </row>
    <row r="1146" spans="1:4">
      <c r="A1146">
        <v>1145</v>
      </c>
      <c r="B1146">
        <v>23633</v>
      </c>
      <c r="C1146">
        <f t="shared" si="38"/>
        <v>25387.5</v>
      </c>
      <c r="D1146">
        <f t="shared" si="39"/>
        <v>0.93089118660758252</v>
      </c>
    </row>
    <row r="1147" spans="1:4">
      <c r="A1147">
        <v>1146</v>
      </c>
      <c r="B1147">
        <v>23995</v>
      </c>
      <c r="C1147">
        <f t="shared" si="38"/>
        <v>25370.48</v>
      </c>
      <c r="D1147">
        <f t="shared" si="39"/>
        <v>0.94578423427542568</v>
      </c>
    </row>
    <row r="1148" spans="1:4">
      <c r="A1148">
        <v>1147</v>
      </c>
      <c r="B1148">
        <v>24290</v>
      </c>
      <c r="C1148">
        <f t="shared" si="38"/>
        <v>25353.42</v>
      </c>
      <c r="D1148">
        <f t="shared" si="39"/>
        <v>0.95805615179332815</v>
      </c>
    </row>
    <row r="1149" spans="1:4">
      <c r="A1149">
        <v>1148</v>
      </c>
      <c r="B1149">
        <v>24590</v>
      </c>
      <c r="C1149">
        <f t="shared" si="38"/>
        <v>25336.32</v>
      </c>
      <c r="D1149">
        <f t="shared" si="39"/>
        <v>0.97054347276952613</v>
      </c>
    </row>
    <row r="1150" spans="1:4">
      <c r="A1150">
        <v>1149</v>
      </c>
      <c r="B1150">
        <v>24434</v>
      </c>
      <c r="C1150">
        <f t="shared" si="38"/>
        <v>25319.18</v>
      </c>
      <c r="D1150">
        <f t="shared" si="39"/>
        <v>0.96503915213683855</v>
      </c>
    </row>
    <row r="1151" spans="1:4">
      <c r="A1151">
        <v>1150</v>
      </c>
      <c r="B1151">
        <v>23895</v>
      </c>
      <c r="C1151">
        <f t="shared" si="38"/>
        <v>25302</v>
      </c>
      <c r="D1151">
        <f t="shared" si="39"/>
        <v>0.94439174768792977</v>
      </c>
    </row>
    <row r="1152" spans="1:4">
      <c r="A1152">
        <v>1151</v>
      </c>
      <c r="B1152">
        <v>22762</v>
      </c>
      <c r="C1152">
        <f t="shared" si="38"/>
        <v>25284.78</v>
      </c>
      <c r="D1152">
        <f t="shared" si="39"/>
        <v>0.90022535295936923</v>
      </c>
    </row>
    <row r="1153" spans="1:7">
      <c r="A1153">
        <v>1152</v>
      </c>
      <c r="B1153">
        <v>21224</v>
      </c>
      <c r="C1153">
        <f t="shared" si="38"/>
        <v>25267.52</v>
      </c>
      <c r="D1153">
        <f t="shared" si="39"/>
        <v>0.83997163156494981</v>
      </c>
    </row>
    <row r="1154" spans="1:7">
      <c r="A1154">
        <v>1153</v>
      </c>
      <c r="B1154">
        <v>19669</v>
      </c>
      <c r="C1154">
        <f t="shared" ref="C1154:C1217" si="40">29000-10000*(A1154-720)*(A1154-720)/500000</f>
        <v>25250.22</v>
      </c>
      <c r="D1154">
        <f t="shared" ref="D1154:D1217" si="41">B1154/C1154</f>
        <v>0.77896351002090281</v>
      </c>
    </row>
    <row r="1155" spans="1:7">
      <c r="A1155">
        <v>1154</v>
      </c>
      <c r="B1155">
        <v>18451</v>
      </c>
      <c r="C1155">
        <f t="shared" si="40"/>
        <v>25232.880000000001</v>
      </c>
      <c r="D1155">
        <f t="shared" si="41"/>
        <v>0.7312284606434144</v>
      </c>
    </row>
    <row r="1156" spans="1:7">
      <c r="A1156">
        <v>1155</v>
      </c>
      <c r="B1156">
        <v>16954</v>
      </c>
      <c r="C1156">
        <f t="shared" si="40"/>
        <v>25215.5</v>
      </c>
      <c r="D1156">
        <f t="shared" si="41"/>
        <v>0.67236422041997979</v>
      </c>
    </row>
    <row r="1157" spans="1:7">
      <c r="A1157">
        <v>1156</v>
      </c>
      <c r="B1157">
        <v>15228</v>
      </c>
      <c r="C1157">
        <f t="shared" si="40"/>
        <v>25198.080000000002</v>
      </c>
      <c r="D1157">
        <f t="shared" si="41"/>
        <v>0.60433175861017974</v>
      </c>
    </row>
    <row r="1158" spans="1:7">
      <c r="A1158">
        <v>1157</v>
      </c>
      <c r="B1158">
        <v>13562</v>
      </c>
      <c r="C1158">
        <f t="shared" si="40"/>
        <v>25180.62</v>
      </c>
      <c r="D1158">
        <f t="shared" si="41"/>
        <v>0.5385888036116665</v>
      </c>
    </row>
    <row r="1159" spans="1:7" ht="17.25">
      <c r="A1159">
        <v>1158</v>
      </c>
      <c r="B1159">
        <v>13154</v>
      </c>
      <c r="C1159">
        <f t="shared" si="40"/>
        <v>25163.119999999999</v>
      </c>
      <c r="D1159">
        <f t="shared" si="41"/>
        <v>0.52274916624011647</v>
      </c>
      <c r="F1159">
        <v>1158</v>
      </c>
      <c r="G1159" t="s">
        <v>86</v>
      </c>
    </row>
    <row r="1160" spans="1:7">
      <c r="A1160">
        <v>1159</v>
      </c>
      <c r="B1160">
        <v>14270</v>
      </c>
      <c r="C1160">
        <f t="shared" si="40"/>
        <v>25145.58</v>
      </c>
      <c r="D1160">
        <f t="shared" si="41"/>
        <v>0.56749536101374476</v>
      </c>
    </row>
    <row r="1161" spans="1:7">
      <c r="A1161">
        <v>1160</v>
      </c>
      <c r="B1161">
        <v>16481</v>
      </c>
      <c r="C1161">
        <f t="shared" si="40"/>
        <v>25128</v>
      </c>
      <c r="D1161">
        <f t="shared" si="41"/>
        <v>0.65588188475007958</v>
      </c>
    </row>
    <row r="1162" spans="1:7">
      <c r="A1162">
        <v>1161</v>
      </c>
      <c r="B1162">
        <v>19271</v>
      </c>
      <c r="C1162">
        <f t="shared" si="40"/>
        <v>25110.38</v>
      </c>
      <c r="D1162">
        <f t="shared" si="41"/>
        <v>0.76745154792559889</v>
      </c>
    </row>
    <row r="1163" spans="1:7">
      <c r="A1163">
        <v>1162</v>
      </c>
      <c r="B1163">
        <v>21669</v>
      </c>
      <c r="C1163">
        <f t="shared" si="40"/>
        <v>25092.720000000001</v>
      </c>
      <c r="D1163">
        <f t="shared" si="41"/>
        <v>0.86355723891232195</v>
      </c>
    </row>
    <row r="1164" spans="1:7">
      <c r="A1164">
        <v>1163</v>
      </c>
      <c r="B1164">
        <v>23416</v>
      </c>
      <c r="C1164">
        <f t="shared" si="40"/>
        <v>25075.02</v>
      </c>
      <c r="D1164">
        <f t="shared" si="41"/>
        <v>0.93383773971067618</v>
      </c>
    </row>
    <row r="1165" spans="1:7">
      <c r="A1165">
        <v>1164</v>
      </c>
      <c r="B1165">
        <v>24253</v>
      </c>
      <c r="C1165">
        <f t="shared" si="40"/>
        <v>25057.279999999999</v>
      </c>
      <c r="D1165">
        <f t="shared" si="41"/>
        <v>0.96790234215365756</v>
      </c>
    </row>
    <row r="1166" spans="1:7">
      <c r="A1166">
        <v>1165</v>
      </c>
      <c r="B1166">
        <v>24403</v>
      </c>
      <c r="C1166">
        <f t="shared" si="40"/>
        <v>25039.5</v>
      </c>
      <c r="D1166">
        <f t="shared" si="41"/>
        <v>0.97458016334191977</v>
      </c>
    </row>
    <row r="1167" spans="1:7">
      <c r="A1167">
        <v>1166</v>
      </c>
      <c r="B1167">
        <v>23934</v>
      </c>
      <c r="C1167">
        <f t="shared" si="40"/>
        <v>25021.68</v>
      </c>
      <c r="D1167">
        <f t="shared" si="41"/>
        <v>0.95653049675321555</v>
      </c>
    </row>
    <row r="1168" spans="1:7">
      <c r="A1168">
        <v>1167</v>
      </c>
      <c r="B1168">
        <v>23969</v>
      </c>
      <c r="C1168">
        <f t="shared" si="40"/>
        <v>25003.82</v>
      </c>
      <c r="D1168">
        <f t="shared" si="41"/>
        <v>0.95861352385355514</v>
      </c>
    </row>
    <row r="1169" spans="1:4">
      <c r="A1169">
        <v>1168</v>
      </c>
      <c r="B1169">
        <v>24164</v>
      </c>
      <c r="C1169">
        <f t="shared" si="40"/>
        <v>24985.919999999998</v>
      </c>
      <c r="D1169">
        <f t="shared" si="41"/>
        <v>0.96710467335203198</v>
      </c>
    </row>
    <row r="1170" spans="1:4">
      <c r="A1170">
        <v>1169</v>
      </c>
      <c r="B1170">
        <v>23983</v>
      </c>
      <c r="C1170">
        <f t="shared" si="40"/>
        <v>24967.98</v>
      </c>
      <c r="D1170">
        <f t="shared" si="41"/>
        <v>0.96055027278938865</v>
      </c>
    </row>
    <row r="1171" spans="1:4">
      <c r="A1171">
        <v>1170</v>
      </c>
      <c r="B1171">
        <v>24059</v>
      </c>
      <c r="C1171">
        <f t="shared" si="40"/>
        <v>24950</v>
      </c>
      <c r="D1171">
        <f t="shared" si="41"/>
        <v>0.9642885771543086</v>
      </c>
    </row>
    <row r="1172" spans="1:4">
      <c r="A1172">
        <v>1171</v>
      </c>
      <c r="B1172">
        <v>23844</v>
      </c>
      <c r="C1172">
        <f t="shared" si="40"/>
        <v>24931.98</v>
      </c>
      <c r="D1172">
        <f t="shared" si="41"/>
        <v>0.95636206991983796</v>
      </c>
    </row>
    <row r="1173" spans="1:4">
      <c r="A1173">
        <v>1172</v>
      </c>
      <c r="B1173">
        <v>23713</v>
      </c>
      <c r="C1173">
        <f t="shared" si="40"/>
        <v>24913.919999999998</v>
      </c>
      <c r="D1173">
        <f t="shared" si="41"/>
        <v>0.95179722821619406</v>
      </c>
    </row>
    <row r="1174" spans="1:4">
      <c r="A1174">
        <v>1173</v>
      </c>
      <c r="B1174">
        <v>23743</v>
      </c>
      <c r="C1174">
        <f t="shared" si="40"/>
        <v>24895.82</v>
      </c>
      <c r="D1174">
        <f t="shared" si="41"/>
        <v>0.95369423461448555</v>
      </c>
    </row>
    <row r="1175" spans="1:4">
      <c r="A1175">
        <v>1174</v>
      </c>
      <c r="B1175">
        <v>23691</v>
      </c>
      <c r="C1175">
        <f t="shared" si="40"/>
        <v>24877.68</v>
      </c>
      <c r="D1175">
        <f t="shared" si="41"/>
        <v>0.95229941055596823</v>
      </c>
    </row>
    <row r="1176" spans="1:4">
      <c r="A1176">
        <v>1175</v>
      </c>
      <c r="B1176">
        <v>23750</v>
      </c>
      <c r="C1176">
        <f t="shared" si="40"/>
        <v>24859.5</v>
      </c>
      <c r="D1176">
        <f t="shared" si="41"/>
        <v>0.95536917476216332</v>
      </c>
    </row>
    <row r="1177" spans="1:4">
      <c r="A1177">
        <v>1176</v>
      </c>
      <c r="B1177">
        <v>23777</v>
      </c>
      <c r="C1177">
        <f t="shared" si="40"/>
        <v>24841.279999999999</v>
      </c>
      <c r="D1177">
        <f t="shared" si="41"/>
        <v>0.95715679707325874</v>
      </c>
    </row>
    <row r="1178" spans="1:4">
      <c r="A1178">
        <v>1177</v>
      </c>
      <c r="B1178">
        <v>23766</v>
      </c>
      <c r="C1178">
        <f t="shared" si="40"/>
        <v>24823.02</v>
      </c>
      <c r="D1178">
        <f t="shared" si="41"/>
        <v>0.95741775174817567</v>
      </c>
    </row>
    <row r="1179" spans="1:4">
      <c r="A1179">
        <v>1178</v>
      </c>
      <c r="B1179">
        <v>23762</v>
      </c>
      <c r="C1179">
        <f t="shared" si="40"/>
        <v>24804.720000000001</v>
      </c>
      <c r="D1179">
        <f t="shared" si="41"/>
        <v>0.95796283933057902</v>
      </c>
    </row>
    <row r="1180" spans="1:4">
      <c r="A1180">
        <v>1179</v>
      </c>
      <c r="B1180">
        <v>23839</v>
      </c>
      <c r="C1180">
        <f t="shared" si="40"/>
        <v>24786.38</v>
      </c>
      <c r="D1180">
        <f t="shared" si="41"/>
        <v>0.96177820238372846</v>
      </c>
    </row>
    <row r="1181" spans="1:4">
      <c r="A1181">
        <v>1180</v>
      </c>
      <c r="B1181">
        <v>23712</v>
      </c>
      <c r="C1181">
        <f t="shared" si="40"/>
        <v>24768</v>
      </c>
      <c r="D1181">
        <f t="shared" si="41"/>
        <v>0.95736434108527135</v>
      </c>
    </row>
    <row r="1182" spans="1:4">
      <c r="A1182">
        <v>1181</v>
      </c>
      <c r="B1182">
        <v>23473</v>
      </c>
      <c r="C1182">
        <f t="shared" si="40"/>
        <v>24749.58</v>
      </c>
      <c r="D1182">
        <f t="shared" si="41"/>
        <v>0.94842013480632792</v>
      </c>
    </row>
    <row r="1183" spans="1:4">
      <c r="A1183">
        <v>1182</v>
      </c>
      <c r="B1183">
        <v>23139</v>
      </c>
      <c r="C1183">
        <f t="shared" si="40"/>
        <v>24731.119999999999</v>
      </c>
      <c r="D1183">
        <f t="shared" si="41"/>
        <v>0.93562281045096218</v>
      </c>
    </row>
    <row r="1184" spans="1:4">
      <c r="A1184">
        <v>1183</v>
      </c>
      <c r="B1184">
        <v>23031</v>
      </c>
      <c r="C1184">
        <f t="shared" si="40"/>
        <v>24712.62</v>
      </c>
      <c r="D1184">
        <f t="shared" si="41"/>
        <v>0.93195298596425635</v>
      </c>
    </row>
    <row r="1185" spans="1:4">
      <c r="A1185">
        <v>1184</v>
      </c>
      <c r="B1185">
        <v>23299</v>
      </c>
      <c r="C1185">
        <f t="shared" si="40"/>
        <v>24694.080000000002</v>
      </c>
      <c r="D1185">
        <f t="shared" si="41"/>
        <v>0.94350548795500777</v>
      </c>
    </row>
    <row r="1186" spans="1:4">
      <c r="A1186">
        <v>1185</v>
      </c>
      <c r="B1186">
        <v>23871</v>
      </c>
      <c r="C1186">
        <f t="shared" si="40"/>
        <v>24675.5</v>
      </c>
      <c r="D1186">
        <f t="shared" si="41"/>
        <v>0.96739681060160887</v>
      </c>
    </row>
    <row r="1187" spans="1:4">
      <c r="A1187">
        <v>1186</v>
      </c>
      <c r="B1187">
        <v>24100</v>
      </c>
      <c r="C1187">
        <f t="shared" si="40"/>
        <v>24656.880000000001</v>
      </c>
      <c r="D1187">
        <f t="shared" si="41"/>
        <v>0.9774148229621914</v>
      </c>
    </row>
    <row r="1188" spans="1:4">
      <c r="A1188">
        <v>1187</v>
      </c>
      <c r="B1188">
        <v>24308</v>
      </c>
      <c r="C1188">
        <f t="shared" si="40"/>
        <v>24638.22</v>
      </c>
      <c r="D1188">
        <f t="shared" si="41"/>
        <v>0.98659724606728894</v>
      </c>
    </row>
    <row r="1189" spans="1:4">
      <c r="A1189">
        <v>1188</v>
      </c>
      <c r="B1189">
        <v>24349</v>
      </c>
      <c r="C1189">
        <f t="shared" si="40"/>
        <v>24619.52</v>
      </c>
      <c r="D1189">
        <f t="shared" si="41"/>
        <v>0.98901197098887383</v>
      </c>
    </row>
    <row r="1190" spans="1:4">
      <c r="A1190">
        <v>1189</v>
      </c>
      <c r="B1190">
        <v>24377</v>
      </c>
      <c r="C1190">
        <f t="shared" si="40"/>
        <v>24600.78</v>
      </c>
      <c r="D1190">
        <f t="shared" si="41"/>
        <v>0.99090354045684736</v>
      </c>
    </row>
    <row r="1191" spans="1:4">
      <c r="A1191">
        <v>1190</v>
      </c>
      <c r="B1191">
        <v>24054</v>
      </c>
      <c r="C1191">
        <f t="shared" si="40"/>
        <v>24582</v>
      </c>
      <c r="D1191">
        <f t="shared" si="41"/>
        <v>0.97852086892848422</v>
      </c>
    </row>
    <row r="1192" spans="1:4">
      <c r="A1192">
        <v>1191</v>
      </c>
      <c r="B1192">
        <v>23376</v>
      </c>
      <c r="C1192">
        <f t="shared" si="40"/>
        <v>24563.18</v>
      </c>
      <c r="D1192">
        <f t="shared" si="41"/>
        <v>0.95166831004780328</v>
      </c>
    </row>
    <row r="1193" spans="1:4">
      <c r="A1193">
        <v>1192</v>
      </c>
      <c r="B1193">
        <v>22755</v>
      </c>
      <c r="C1193">
        <f t="shared" si="40"/>
        <v>24544.32</v>
      </c>
      <c r="D1193">
        <f t="shared" si="41"/>
        <v>0.92709840810419686</v>
      </c>
    </row>
    <row r="1194" spans="1:4">
      <c r="A1194">
        <v>1193</v>
      </c>
      <c r="B1194">
        <v>22486</v>
      </c>
      <c r="C1194">
        <f t="shared" si="40"/>
        <v>24525.42</v>
      </c>
      <c r="D1194">
        <f t="shared" si="41"/>
        <v>0.91684464527009124</v>
      </c>
    </row>
    <row r="1195" spans="1:4">
      <c r="A1195">
        <v>1194</v>
      </c>
      <c r="B1195">
        <v>22305</v>
      </c>
      <c r="C1195">
        <f t="shared" si="40"/>
        <v>24506.48</v>
      </c>
      <c r="D1195">
        <f t="shared" si="41"/>
        <v>0.91016743326662986</v>
      </c>
    </row>
    <row r="1196" spans="1:4">
      <c r="A1196">
        <v>1195</v>
      </c>
      <c r="B1196">
        <v>22748</v>
      </c>
      <c r="C1196">
        <f t="shared" si="40"/>
        <v>24487.5</v>
      </c>
      <c r="D1196">
        <f t="shared" si="41"/>
        <v>0.92896375701888723</v>
      </c>
    </row>
    <row r="1197" spans="1:4">
      <c r="A1197">
        <v>1196</v>
      </c>
      <c r="B1197">
        <v>23015</v>
      </c>
      <c r="C1197">
        <f t="shared" si="40"/>
        <v>24468.48</v>
      </c>
      <c r="D1197">
        <f t="shared" si="41"/>
        <v>0.94059786304666249</v>
      </c>
    </row>
    <row r="1198" spans="1:4">
      <c r="A1198">
        <v>1197</v>
      </c>
      <c r="B1198">
        <v>23242</v>
      </c>
      <c r="C1198">
        <f t="shared" si="40"/>
        <v>24449.42</v>
      </c>
      <c r="D1198">
        <f t="shared" si="41"/>
        <v>0.95061559742521506</v>
      </c>
    </row>
    <row r="1199" spans="1:4">
      <c r="A1199">
        <v>1198</v>
      </c>
      <c r="B1199">
        <v>23592</v>
      </c>
      <c r="C1199">
        <f t="shared" si="40"/>
        <v>24430.32</v>
      </c>
      <c r="D1199">
        <f t="shared" si="41"/>
        <v>0.96568526323028103</v>
      </c>
    </row>
    <row r="1200" spans="1:4">
      <c r="A1200">
        <v>1199</v>
      </c>
      <c r="B1200">
        <v>23760</v>
      </c>
      <c r="C1200">
        <f t="shared" si="40"/>
        <v>24411.18</v>
      </c>
      <c r="D1200">
        <f t="shared" si="41"/>
        <v>0.97332451770049622</v>
      </c>
    </row>
    <row r="1201" spans="1:4">
      <c r="A1201">
        <v>1200</v>
      </c>
      <c r="B1201">
        <v>23473</v>
      </c>
      <c r="C1201">
        <f t="shared" si="40"/>
        <v>24392</v>
      </c>
      <c r="D1201">
        <f t="shared" si="41"/>
        <v>0.96232371269268613</v>
      </c>
    </row>
    <row r="1202" spans="1:4">
      <c r="A1202">
        <v>1201</v>
      </c>
      <c r="B1202">
        <v>22523</v>
      </c>
      <c r="C1202">
        <f t="shared" si="40"/>
        <v>24372.78</v>
      </c>
      <c r="D1202">
        <f t="shared" si="41"/>
        <v>0.92410467743113434</v>
      </c>
    </row>
    <row r="1203" spans="1:4">
      <c r="A1203">
        <v>1202</v>
      </c>
      <c r="B1203">
        <v>21594</v>
      </c>
      <c r="C1203">
        <f t="shared" si="40"/>
        <v>24353.52</v>
      </c>
      <c r="D1203">
        <f t="shared" si="41"/>
        <v>0.88668906999891595</v>
      </c>
    </row>
    <row r="1204" spans="1:4">
      <c r="A1204">
        <v>1203</v>
      </c>
      <c r="B1204">
        <v>20998</v>
      </c>
      <c r="C1204">
        <f t="shared" si="40"/>
        <v>24334.22</v>
      </c>
      <c r="D1204">
        <f t="shared" si="41"/>
        <v>0.86290006418944187</v>
      </c>
    </row>
    <row r="1205" spans="1:4">
      <c r="A1205">
        <v>1204</v>
      </c>
      <c r="B1205">
        <v>21193</v>
      </c>
      <c r="C1205">
        <f t="shared" si="40"/>
        <v>24314.880000000001</v>
      </c>
      <c r="D1205">
        <f t="shared" si="41"/>
        <v>0.8716061934091387</v>
      </c>
    </row>
    <row r="1206" spans="1:4">
      <c r="A1206">
        <v>1205</v>
      </c>
      <c r="B1206">
        <v>21873</v>
      </c>
      <c r="C1206">
        <f t="shared" si="40"/>
        <v>24295.5</v>
      </c>
      <c r="D1206">
        <f t="shared" si="41"/>
        <v>0.90029017719330739</v>
      </c>
    </row>
    <row r="1207" spans="1:4">
      <c r="A1207">
        <v>1206</v>
      </c>
      <c r="B1207">
        <v>22415</v>
      </c>
      <c r="C1207">
        <f t="shared" si="40"/>
        <v>24276.080000000002</v>
      </c>
      <c r="D1207">
        <f t="shared" si="41"/>
        <v>0.92333688140754189</v>
      </c>
    </row>
    <row r="1208" spans="1:4">
      <c r="A1208">
        <v>1207</v>
      </c>
      <c r="B1208">
        <v>22995</v>
      </c>
      <c r="C1208">
        <f t="shared" si="40"/>
        <v>24256.62</v>
      </c>
      <c r="D1208">
        <f t="shared" si="41"/>
        <v>0.94798863155707602</v>
      </c>
    </row>
    <row r="1209" spans="1:4">
      <c r="A1209">
        <v>1208</v>
      </c>
      <c r="B1209">
        <v>23293</v>
      </c>
      <c r="C1209">
        <f t="shared" si="40"/>
        <v>24237.119999999999</v>
      </c>
      <c r="D1209">
        <f t="shared" si="41"/>
        <v>0.96104652698010329</v>
      </c>
    </row>
    <row r="1210" spans="1:4">
      <c r="A1210">
        <v>1209</v>
      </c>
      <c r="B1210">
        <v>23880</v>
      </c>
      <c r="C1210">
        <f t="shared" si="40"/>
        <v>24217.58</v>
      </c>
      <c r="D1210">
        <f t="shared" si="41"/>
        <v>0.98606053949238526</v>
      </c>
    </row>
    <row r="1211" spans="1:4">
      <c r="A1211">
        <v>1210</v>
      </c>
      <c r="B1211">
        <v>24133</v>
      </c>
      <c r="C1211">
        <f t="shared" si="40"/>
        <v>24198</v>
      </c>
      <c r="D1211">
        <f t="shared" si="41"/>
        <v>0.99731382758905696</v>
      </c>
    </row>
    <row r="1212" spans="1:4">
      <c r="A1212">
        <v>1211</v>
      </c>
      <c r="B1212">
        <v>24178</v>
      </c>
      <c r="C1212">
        <f t="shared" si="40"/>
        <v>24178.38</v>
      </c>
      <c r="D1212">
        <f t="shared" si="41"/>
        <v>0.9999842834797037</v>
      </c>
    </row>
    <row r="1213" spans="1:4">
      <c r="A1213">
        <v>1212</v>
      </c>
      <c r="B1213">
        <v>23854</v>
      </c>
      <c r="C1213">
        <f t="shared" si="40"/>
        <v>24158.720000000001</v>
      </c>
      <c r="D1213">
        <f t="shared" si="41"/>
        <v>0.98738674896683265</v>
      </c>
    </row>
    <row r="1214" spans="1:4">
      <c r="A1214">
        <v>1213</v>
      </c>
      <c r="B1214">
        <v>23282</v>
      </c>
      <c r="C1214">
        <f t="shared" si="40"/>
        <v>24139.02</v>
      </c>
      <c r="D1214">
        <f t="shared" si="41"/>
        <v>0.96449648742989569</v>
      </c>
    </row>
    <row r="1215" spans="1:4">
      <c r="A1215">
        <v>1214</v>
      </c>
      <c r="B1215">
        <v>22241</v>
      </c>
      <c r="C1215">
        <f t="shared" si="40"/>
        <v>24119.279999999999</v>
      </c>
      <c r="D1215">
        <f t="shared" si="41"/>
        <v>0.92212537024322461</v>
      </c>
    </row>
    <row r="1216" spans="1:4">
      <c r="A1216">
        <v>1215</v>
      </c>
      <c r="B1216">
        <v>20577</v>
      </c>
      <c r="C1216">
        <f t="shared" si="40"/>
        <v>24099.5</v>
      </c>
      <c r="D1216">
        <f t="shared" si="41"/>
        <v>0.85383514180792131</v>
      </c>
    </row>
    <row r="1217" spans="1:7">
      <c r="A1217">
        <v>1216</v>
      </c>
      <c r="B1217">
        <v>19098</v>
      </c>
      <c r="C1217">
        <f t="shared" si="40"/>
        <v>24079.68</v>
      </c>
      <c r="D1217">
        <f t="shared" si="41"/>
        <v>0.79311685205119009</v>
      </c>
    </row>
    <row r="1218" spans="1:7" ht="17.25">
      <c r="A1218">
        <v>1217</v>
      </c>
      <c r="B1218">
        <v>18209</v>
      </c>
      <c r="C1218">
        <f t="shared" ref="C1218:C1281" si="42">29000-10000*(A1218-720)*(A1218-720)/500000</f>
        <v>24059.82</v>
      </c>
      <c r="D1218">
        <f t="shared" ref="D1218:D1281" si="43">B1218/C1218</f>
        <v>0.75682195461146429</v>
      </c>
      <c r="F1218">
        <v>1217</v>
      </c>
      <c r="G1218" t="s">
        <v>87</v>
      </c>
    </row>
    <row r="1219" spans="1:7">
      <c r="A1219">
        <v>1218</v>
      </c>
      <c r="B1219">
        <v>18362</v>
      </c>
      <c r="C1219">
        <f t="shared" si="42"/>
        <v>24039.919999999998</v>
      </c>
      <c r="D1219">
        <f t="shared" si="43"/>
        <v>0.76381285794628273</v>
      </c>
    </row>
    <row r="1220" spans="1:7">
      <c r="A1220">
        <v>1219</v>
      </c>
      <c r="B1220">
        <v>19331</v>
      </c>
      <c r="C1220">
        <f t="shared" si="42"/>
        <v>24019.98</v>
      </c>
      <c r="D1220">
        <f t="shared" si="43"/>
        <v>0.80478834703442714</v>
      </c>
    </row>
    <row r="1221" spans="1:7">
      <c r="A1221">
        <v>1220</v>
      </c>
      <c r="B1221">
        <v>20436</v>
      </c>
      <c r="C1221">
        <f t="shared" si="42"/>
        <v>24000</v>
      </c>
      <c r="D1221">
        <f t="shared" si="43"/>
        <v>0.85150000000000003</v>
      </c>
    </row>
    <row r="1222" spans="1:7">
      <c r="A1222">
        <v>1221</v>
      </c>
      <c r="B1222">
        <v>21540</v>
      </c>
      <c r="C1222">
        <f t="shared" si="42"/>
        <v>23979.98</v>
      </c>
      <c r="D1222">
        <f t="shared" si="43"/>
        <v>0.89824928961575445</v>
      </c>
    </row>
    <row r="1223" spans="1:7">
      <c r="A1223">
        <v>1222</v>
      </c>
      <c r="B1223">
        <v>22372</v>
      </c>
      <c r="C1223">
        <f t="shared" si="42"/>
        <v>23959.919999999998</v>
      </c>
      <c r="D1223">
        <f t="shared" si="43"/>
        <v>0.93372598906841098</v>
      </c>
    </row>
    <row r="1224" spans="1:7">
      <c r="A1224">
        <v>1223</v>
      </c>
      <c r="B1224">
        <v>23099</v>
      </c>
      <c r="C1224">
        <f t="shared" si="42"/>
        <v>23939.82</v>
      </c>
      <c r="D1224">
        <f t="shared" si="43"/>
        <v>0.96487776432738426</v>
      </c>
    </row>
    <row r="1225" spans="1:7">
      <c r="A1225">
        <v>1224</v>
      </c>
      <c r="B1225">
        <v>23369</v>
      </c>
      <c r="C1225">
        <f t="shared" si="42"/>
        <v>23919.68</v>
      </c>
      <c r="D1225">
        <f t="shared" si="43"/>
        <v>0.97697795288231282</v>
      </c>
    </row>
    <row r="1226" spans="1:7">
      <c r="A1226">
        <v>1225</v>
      </c>
      <c r="B1226">
        <v>23016</v>
      </c>
      <c r="C1226">
        <f t="shared" si="42"/>
        <v>23899.5</v>
      </c>
      <c r="D1226">
        <f t="shared" si="43"/>
        <v>0.96303269942885839</v>
      </c>
    </row>
    <row r="1227" spans="1:7">
      <c r="A1227">
        <v>1226</v>
      </c>
      <c r="B1227">
        <v>22469</v>
      </c>
      <c r="C1227">
        <f t="shared" si="42"/>
        <v>23879.279999999999</v>
      </c>
      <c r="D1227">
        <f t="shared" si="43"/>
        <v>0.94094126791092536</v>
      </c>
    </row>
    <row r="1228" spans="1:7">
      <c r="A1228">
        <v>1227</v>
      </c>
      <c r="B1228">
        <v>22144</v>
      </c>
      <c r="C1228">
        <f t="shared" si="42"/>
        <v>23859.02</v>
      </c>
      <c r="D1228">
        <f t="shared" si="43"/>
        <v>0.92811858995046737</v>
      </c>
    </row>
    <row r="1229" spans="1:7">
      <c r="A1229">
        <v>1228</v>
      </c>
      <c r="B1229">
        <v>21482</v>
      </c>
      <c r="C1229">
        <f t="shared" si="42"/>
        <v>23838.720000000001</v>
      </c>
      <c r="D1229">
        <f t="shared" si="43"/>
        <v>0.90113898732817865</v>
      </c>
    </row>
    <row r="1230" spans="1:7">
      <c r="A1230">
        <v>1229</v>
      </c>
      <c r="B1230">
        <v>20516</v>
      </c>
      <c r="C1230">
        <f t="shared" si="42"/>
        <v>23818.38</v>
      </c>
      <c r="D1230">
        <f t="shared" si="43"/>
        <v>0.86135161165452889</v>
      </c>
    </row>
    <row r="1231" spans="1:7">
      <c r="A1231">
        <v>1230</v>
      </c>
      <c r="B1231">
        <v>19143</v>
      </c>
      <c r="C1231">
        <f t="shared" si="42"/>
        <v>23798</v>
      </c>
      <c r="D1231">
        <f t="shared" si="43"/>
        <v>0.80439532733843178</v>
      </c>
    </row>
    <row r="1232" spans="1:7">
      <c r="A1232">
        <v>1231</v>
      </c>
      <c r="B1232">
        <v>17628</v>
      </c>
      <c r="C1232">
        <f t="shared" si="42"/>
        <v>23777.58</v>
      </c>
      <c r="D1232">
        <f t="shared" si="43"/>
        <v>0.74137065252224987</v>
      </c>
    </row>
    <row r="1233" spans="1:7" ht="17.25">
      <c r="A1233">
        <v>1232</v>
      </c>
      <c r="B1233">
        <v>16977</v>
      </c>
      <c r="C1233">
        <f t="shared" si="42"/>
        <v>23757.119999999999</v>
      </c>
      <c r="D1233">
        <f t="shared" si="43"/>
        <v>0.71460682102881157</v>
      </c>
      <c r="F1233">
        <v>1232</v>
      </c>
      <c r="G1233" t="s">
        <v>88</v>
      </c>
    </row>
    <row r="1234" spans="1:7">
      <c r="A1234">
        <v>1233</v>
      </c>
      <c r="B1234">
        <v>17232</v>
      </c>
      <c r="C1234">
        <f t="shared" si="42"/>
        <v>23736.62</v>
      </c>
      <c r="D1234">
        <f t="shared" si="43"/>
        <v>0.725966881552639</v>
      </c>
    </row>
    <row r="1235" spans="1:7">
      <c r="A1235">
        <v>1234</v>
      </c>
      <c r="B1235">
        <v>18526</v>
      </c>
      <c r="C1235">
        <f t="shared" si="42"/>
        <v>23716.080000000002</v>
      </c>
      <c r="D1235">
        <f t="shared" si="43"/>
        <v>0.781157763002992</v>
      </c>
    </row>
    <row r="1236" spans="1:7">
      <c r="A1236">
        <v>1235</v>
      </c>
      <c r="B1236">
        <v>19733</v>
      </c>
      <c r="C1236">
        <f t="shared" si="42"/>
        <v>23695.5</v>
      </c>
      <c r="D1236">
        <f t="shared" si="43"/>
        <v>0.83277415543035593</v>
      </c>
    </row>
    <row r="1237" spans="1:7">
      <c r="A1237">
        <v>1236</v>
      </c>
      <c r="B1237">
        <v>20595</v>
      </c>
      <c r="C1237">
        <f t="shared" si="42"/>
        <v>23674.880000000001</v>
      </c>
      <c r="D1237">
        <f t="shared" si="43"/>
        <v>0.86990937229671272</v>
      </c>
    </row>
    <row r="1238" spans="1:7">
      <c r="A1238">
        <v>1237</v>
      </c>
      <c r="B1238">
        <v>20997</v>
      </c>
      <c r="C1238">
        <f t="shared" si="42"/>
        <v>23654.22</v>
      </c>
      <c r="D1238">
        <f t="shared" si="43"/>
        <v>0.88766401935891348</v>
      </c>
    </row>
    <row r="1239" spans="1:7">
      <c r="A1239">
        <v>1238</v>
      </c>
      <c r="B1239">
        <v>21224</v>
      </c>
      <c r="C1239">
        <f t="shared" si="42"/>
        <v>23633.52</v>
      </c>
      <c r="D1239">
        <f t="shared" si="43"/>
        <v>0.89804650344087544</v>
      </c>
    </row>
    <row r="1240" spans="1:7">
      <c r="A1240">
        <v>1239</v>
      </c>
      <c r="B1240">
        <v>21489</v>
      </c>
      <c r="C1240">
        <f t="shared" si="42"/>
        <v>23612.78</v>
      </c>
      <c r="D1240">
        <f t="shared" si="43"/>
        <v>0.91005802789845169</v>
      </c>
    </row>
    <row r="1241" spans="1:7">
      <c r="A1241">
        <v>1240</v>
      </c>
      <c r="B1241">
        <v>21288</v>
      </c>
      <c r="C1241">
        <f t="shared" si="42"/>
        <v>23592</v>
      </c>
      <c r="D1241">
        <f t="shared" si="43"/>
        <v>0.90233977619532046</v>
      </c>
    </row>
    <row r="1242" spans="1:7">
      <c r="A1242">
        <v>1241</v>
      </c>
      <c r="B1242">
        <v>20724</v>
      </c>
      <c r="C1242">
        <f t="shared" si="42"/>
        <v>23571.18</v>
      </c>
      <c r="D1242">
        <f t="shared" si="43"/>
        <v>0.87920927166141027</v>
      </c>
    </row>
    <row r="1243" spans="1:7">
      <c r="A1243">
        <v>1242</v>
      </c>
      <c r="B1243">
        <v>20294</v>
      </c>
      <c r="C1243">
        <f t="shared" si="42"/>
        <v>23550.32</v>
      </c>
      <c r="D1243">
        <f t="shared" si="43"/>
        <v>0.86172926737301236</v>
      </c>
    </row>
    <row r="1244" spans="1:7">
      <c r="A1244">
        <v>1243</v>
      </c>
      <c r="B1244">
        <v>20289</v>
      </c>
      <c r="C1244">
        <f t="shared" si="42"/>
        <v>23529.42</v>
      </c>
      <c r="D1244">
        <f t="shared" si="43"/>
        <v>0.86228219820123064</v>
      </c>
    </row>
    <row r="1245" spans="1:7">
      <c r="A1245">
        <v>1244</v>
      </c>
      <c r="B1245">
        <v>20321</v>
      </c>
      <c r="C1245">
        <f t="shared" si="42"/>
        <v>23508.48</v>
      </c>
      <c r="D1245">
        <f t="shared" si="43"/>
        <v>0.86441148045301097</v>
      </c>
    </row>
    <row r="1246" spans="1:7">
      <c r="A1246">
        <v>1245</v>
      </c>
      <c r="B1246">
        <v>20550</v>
      </c>
      <c r="C1246">
        <f t="shared" si="42"/>
        <v>23487.5</v>
      </c>
      <c r="D1246">
        <f t="shared" si="43"/>
        <v>0.87493347525279408</v>
      </c>
    </row>
    <row r="1247" spans="1:7">
      <c r="A1247">
        <v>1246</v>
      </c>
      <c r="B1247">
        <v>20665</v>
      </c>
      <c r="C1247">
        <f t="shared" si="42"/>
        <v>23466.48</v>
      </c>
      <c r="D1247">
        <f t="shared" si="43"/>
        <v>0.88061780036886661</v>
      </c>
    </row>
    <row r="1248" spans="1:7">
      <c r="A1248">
        <v>1247</v>
      </c>
      <c r="B1248">
        <v>21027</v>
      </c>
      <c r="C1248">
        <f t="shared" si="42"/>
        <v>23445.42</v>
      </c>
      <c r="D1248">
        <f t="shared" si="43"/>
        <v>0.89684893680727418</v>
      </c>
    </row>
    <row r="1249" spans="1:7">
      <c r="A1249">
        <v>1248</v>
      </c>
      <c r="B1249">
        <v>21349</v>
      </c>
      <c r="C1249">
        <f t="shared" si="42"/>
        <v>23424.32</v>
      </c>
      <c r="D1249">
        <f t="shared" si="43"/>
        <v>0.91140319121323476</v>
      </c>
    </row>
    <row r="1250" spans="1:7">
      <c r="A1250">
        <v>1249</v>
      </c>
      <c r="B1250">
        <v>21275</v>
      </c>
      <c r="C1250">
        <f t="shared" si="42"/>
        <v>23403.18</v>
      </c>
      <c r="D1250">
        <f t="shared" si="43"/>
        <v>0.90906449465414529</v>
      </c>
    </row>
    <row r="1251" spans="1:7">
      <c r="A1251">
        <v>1250</v>
      </c>
      <c r="B1251">
        <v>20464</v>
      </c>
      <c r="C1251">
        <f t="shared" si="42"/>
        <v>23382</v>
      </c>
      <c r="D1251">
        <f t="shared" si="43"/>
        <v>0.8752031477204687</v>
      </c>
    </row>
    <row r="1252" spans="1:7">
      <c r="A1252">
        <v>1251</v>
      </c>
      <c r="B1252">
        <v>19154</v>
      </c>
      <c r="C1252">
        <f t="shared" si="42"/>
        <v>23360.78</v>
      </c>
      <c r="D1252">
        <f t="shared" si="43"/>
        <v>0.81992125262940707</v>
      </c>
    </row>
    <row r="1253" spans="1:7">
      <c r="A1253">
        <v>1252</v>
      </c>
      <c r="B1253">
        <v>17479</v>
      </c>
      <c r="C1253">
        <f t="shared" si="42"/>
        <v>23339.52</v>
      </c>
      <c r="D1253">
        <f t="shared" si="43"/>
        <v>0.74890143413403532</v>
      </c>
    </row>
    <row r="1254" spans="1:7">
      <c r="A1254">
        <v>1253</v>
      </c>
      <c r="B1254">
        <v>16332</v>
      </c>
      <c r="C1254">
        <f t="shared" si="42"/>
        <v>23318.22</v>
      </c>
      <c r="D1254">
        <f t="shared" si="43"/>
        <v>0.70039651397062042</v>
      </c>
    </row>
    <row r="1255" spans="1:7" ht="17.25">
      <c r="A1255">
        <v>1254</v>
      </c>
      <c r="B1255">
        <v>15842</v>
      </c>
      <c r="C1255">
        <f t="shared" si="42"/>
        <v>23296.880000000001</v>
      </c>
      <c r="D1255">
        <f t="shared" si="43"/>
        <v>0.68000521958305149</v>
      </c>
      <c r="F1255">
        <v>1254</v>
      </c>
      <c r="G1255" t="s">
        <v>89</v>
      </c>
    </row>
    <row r="1256" spans="1:7">
      <c r="A1256">
        <v>1255</v>
      </c>
      <c r="B1256">
        <v>16534</v>
      </c>
      <c r="C1256">
        <f t="shared" si="42"/>
        <v>23275.5</v>
      </c>
      <c r="D1256">
        <f t="shared" si="43"/>
        <v>0.710360679684647</v>
      </c>
    </row>
    <row r="1257" spans="1:7">
      <c r="A1257">
        <v>1256</v>
      </c>
      <c r="B1257">
        <v>17949</v>
      </c>
      <c r="C1257">
        <f t="shared" si="42"/>
        <v>23254.080000000002</v>
      </c>
      <c r="D1257">
        <f t="shared" si="43"/>
        <v>0.77186455022086442</v>
      </c>
    </row>
    <row r="1258" spans="1:7">
      <c r="A1258">
        <v>1257</v>
      </c>
      <c r="B1258">
        <v>19390</v>
      </c>
      <c r="C1258">
        <f t="shared" si="42"/>
        <v>23232.62</v>
      </c>
      <c r="D1258">
        <f t="shared" si="43"/>
        <v>0.83460238234000306</v>
      </c>
    </row>
    <row r="1259" spans="1:7">
      <c r="A1259">
        <v>1258</v>
      </c>
      <c r="B1259">
        <v>20450</v>
      </c>
      <c r="C1259">
        <f t="shared" si="42"/>
        <v>23211.119999999999</v>
      </c>
      <c r="D1259">
        <f t="shared" si="43"/>
        <v>0.88104322410982328</v>
      </c>
    </row>
    <row r="1260" spans="1:7">
      <c r="A1260">
        <v>1259</v>
      </c>
      <c r="B1260">
        <v>21303</v>
      </c>
      <c r="C1260">
        <f t="shared" si="42"/>
        <v>23189.58</v>
      </c>
      <c r="D1260">
        <f t="shared" si="43"/>
        <v>0.91864535709573003</v>
      </c>
    </row>
    <row r="1261" spans="1:7">
      <c r="A1261">
        <v>1260</v>
      </c>
      <c r="B1261">
        <v>21707</v>
      </c>
      <c r="C1261">
        <f t="shared" si="42"/>
        <v>23168</v>
      </c>
      <c r="D1261">
        <f t="shared" si="43"/>
        <v>0.93693888121546964</v>
      </c>
    </row>
    <row r="1262" spans="1:7">
      <c r="A1262">
        <v>1261</v>
      </c>
      <c r="B1262">
        <v>21793</v>
      </c>
      <c r="C1262">
        <f t="shared" si="42"/>
        <v>23146.38</v>
      </c>
      <c r="D1262">
        <f t="shared" si="43"/>
        <v>0.94152951779068683</v>
      </c>
    </row>
    <row r="1263" spans="1:7">
      <c r="A1263">
        <v>1262</v>
      </c>
      <c r="B1263">
        <v>21265</v>
      </c>
      <c r="C1263">
        <f t="shared" si="42"/>
        <v>23124.720000000001</v>
      </c>
      <c r="D1263">
        <f t="shared" si="43"/>
        <v>0.91957870192590441</v>
      </c>
    </row>
    <row r="1264" spans="1:7">
      <c r="A1264">
        <v>1263</v>
      </c>
      <c r="B1264">
        <v>19809</v>
      </c>
      <c r="C1264">
        <f t="shared" si="42"/>
        <v>23103.02</v>
      </c>
      <c r="D1264">
        <f t="shared" si="43"/>
        <v>0.8574203718821175</v>
      </c>
    </row>
    <row r="1265" spans="1:4">
      <c r="A1265">
        <v>1264</v>
      </c>
      <c r="B1265">
        <v>17905</v>
      </c>
      <c r="C1265">
        <f t="shared" si="42"/>
        <v>23081.279999999999</v>
      </c>
      <c r="D1265">
        <f t="shared" si="43"/>
        <v>0.7757368742114823</v>
      </c>
    </row>
    <row r="1266" spans="1:4">
      <c r="A1266">
        <v>1265</v>
      </c>
      <c r="B1266">
        <v>15677</v>
      </c>
      <c r="C1266">
        <f t="shared" si="42"/>
        <v>23059.5</v>
      </c>
      <c r="D1266">
        <f t="shared" si="43"/>
        <v>0.6798499533814697</v>
      </c>
    </row>
    <row r="1267" spans="1:4">
      <c r="A1267">
        <v>1266</v>
      </c>
      <c r="B1267">
        <v>14556</v>
      </c>
      <c r="C1267">
        <f t="shared" si="42"/>
        <v>23037.68</v>
      </c>
      <c r="D1267">
        <f t="shared" si="43"/>
        <v>0.63183445555281603</v>
      </c>
    </row>
    <row r="1268" spans="1:4">
      <c r="A1268">
        <v>1267</v>
      </c>
      <c r="B1268">
        <v>14614</v>
      </c>
      <c r="C1268">
        <f t="shared" si="42"/>
        <v>23015.82</v>
      </c>
      <c r="D1268">
        <f t="shared" si="43"/>
        <v>0.63495456603327627</v>
      </c>
    </row>
    <row r="1269" spans="1:4">
      <c r="A1269">
        <v>1268</v>
      </c>
      <c r="B1269">
        <v>15321</v>
      </c>
      <c r="C1269">
        <f t="shared" si="42"/>
        <v>22993.919999999998</v>
      </c>
      <c r="D1269">
        <f t="shared" si="43"/>
        <v>0.66630657147628591</v>
      </c>
    </row>
    <row r="1270" spans="1:4">
      <c r="A1270">
        <v>1269</v>
      </c>
      <c r="B1270">
        <v>15786</v>
      </c>
      <c r="C1270">
        <f t="shared" si="42"/>
        <v>22971.98</v>
      </c>
      <c r="D1270">
        <f t="shared" si="43"/>
        <v>0.68718499667856237</v>
      </c>
    </row>
    <row r="1271" spans="1:4">
      <c r="A1271">
        <v>1270</v>
      </c>
      <c r="B1271">
        <v>15275</v>
      </c>
      <c r="C1271">
        <f t="shared" si="42"/>
        <v>22950</v>
      </c>
      <c r="D1271">
        <f t="shared" si="43"/>
        <v>0.66557734204793029</v>
      </c>
    </row>
    <row r="1272" spans="1:4">
      <c r="A1272">
        <v>1271</v>
      </c>
      <c r="B1272">
        <v>14273</v>
      </c>
      <c r="C1272">
        <f t="shared" si="42"/>
        <v>22927.98</v>
      </c>
      <c r="D1272">
        <f t="shared" si="43"/>
        <v>0.62251449975095929</v>
      </c>
    </row>
    <row r="1273" spans="1:4">
      <c r="A1273">
        <v>1272</v>
      </c>
      <c r="B1273">
        <v>13608</v>
      </c>
      <c r="C1273">
        <f t="shared" si="42"/>
        <v>22905.919999999998</v>
      </c>
      <c r="D1273">
        <f t="shared" si="43"/>
        <v>0.59408222852432913</v>
      </c>
    </row>
    <row r="1274" spans="1:4">
      <c r="A1274">
        <v>1273</v>
      </c>
      <c r="B1274">
        <v>14162</v>
      </c>
      <c r="C1274">
        <f t="shared" si="42"/>
        <v>22883.82</v>
      </c>
      <c r="D1274">
        <f t="shared" si="43"/>
        <v>0.61886520694534397</v>
      </c>
    </row>
    <row r="1275" spans="1:4">
      <c r="A1275">
        <v>1274</v>
      </c>
      <c r="B1275">
        <v>15507</v>
      </c>
      <c r="C1275">
        <f t="shared" si="42"/>
        <v>22861.68</v>
      </c>
      <c r="D1275">
        <f t="shared" si="43"/>
        <v>0.67829660812328751</v>
      </c>
    </row>
    <row r="1276" spans="1:4">
      <c r="A1276">
        <v>1275</v>
      </c>
      <c r="B1276">
        <v>17387</v>
      </c>
      <c r="C1276">
        <f t="shared" si="42"/>
        <v>22839.5</v>
      </c>
      <c r="D1276">
        <f t="shared" si="43"/>
        <v>0.76126885439698766</v>
      </c>
    </row>
    <row r="1277" spans="1:4">
      <c r="A1277">
        <v>1276</v>
      </c>
      <c r="B1277">
        <v>18999</v>
      </c>
      <c r="C1277">
        <f t="shared" si="42"/>
        <v>22817.279999999999</v>
      </c>
      <c r="D1277">
        <f t="shared" si="43"/>
        <v>0.83265840626051835</v>
      </c>
    </row>
    <row r="1278" spans="1:4">
      <c r="A1278">
        <v>1277</v>
      </c>
      <c r="B1278">
        <v>20194</v>
      </c>
      <c r="C1278">
        <f t="shared" si="42"/>
        <v>22795.02</v>
      </c>
      <c r="D1278">
        <f t="shared" si="43"/>
        <v>0.88589525255955026</v>
      </c>
    </row>
    <row r="1279" spans="1:4">
      <c r="A1279">
        <v>1278</v>
      </c>
      <c r="B1279">
        <v>20691</v>
      </c>
      <c r="C1279">
        <f t="shared" si="42"/>
        <v>22772.720000000001</v>
      </c>
      <c r="D1279">
        <f t="shared" si="43"/>
        <v>0.90858711651484758</v>
      </c>
    </row>
    <row r="1280" spans="1:4">
      <c r="A1280">
        <v>1279</v>
      </c>
      <c r="B1280">
        <v>20823</v>
      </c>
      <c r="C1280">
        <f t="shared" si="42"/>
        <v>22750.38</v>
      </c>
      <c r="D1280">
        <f t="shared" si="43"/>
        <v>0.91528141507966021</v>
      </c>
    </row>
    <row r="1281" spans="1:4">
      <c r="A1281">
        <v>1280</v>
      </c>
      <c r="B1281">
        <v>20829</v>
      </c>
      <c r="C1281">
        <f t="shared" si="42"/>
        <v>22728</v>
      </c>
      <c r="D1281">
        <f t="shared" si="43"/>
        <v>0.91644667370644139</v>
      </c>
    </row>
    <row r="1282" spans="1:4">
      <c r="A1282">
        <v>1281</v>
      </c>
      <c r="B1282">
        <v>20603</v>
      </c>
      <c r="C1282">
        <f t="shared" ref="C1282:C1345" si="44">29000-10000*(A1282-720)*(A1282-720)/500000</f>
        <v>22705.58</v>
      </c>
      <c r="D1282">
        <f t="shared" ref="D1282:D1345" si="45">B1282/C1282</f>
        <v>0.90739809333212362</v>
      </c>
    </row>
    <row r="1283" spans="1:4">
      <c r="A1283">
        <v>1282</v>
      </c>
      <c r="B1283">
        <v>20696</v>
      </c>
      <c r="C1283">
        <f t="shared" si="44"/>
        <v>22683.119999999999</v>
      </c>
      <c r="D1283">
        <f t="shared" si="45"/>
        <v>0.91239653098868234</v>
      </c>
    </row>
    <row r="1284" spans="1:4">
      <c r="A1284">
        <v>1283</v>
      </c>
      <c r="B1284">
        <v>20515</v>
      </c>
      <c r="C1284">
        <f t="shared" si="44"/>
        <v>22660.62</v>
      </c>
      <c r="D1284">
        <f t="shared" si="45"/>
        <v>0.90531503551094372</v>
      </c>
    </row>
    <row r="1285" spans="1:4">
      <c r="A1285">
        <v>1284</v>
      </c>
      <c r="B1285">
        <v>20935</v>
      </c>
      <c r="C1285">
        <f t="shared" si="44"/>
        <v>22638.080000000002</v>
      </c>
      <c r="D1285">
        <f t="shared" si="45"/>
        <v>0.92476923838063996</v>
      </c>
    </row>
    <row r="1286" spans="1:4">
      <c r="A1286">
        <v>1285</v>
      </c>
      <c r="B1286">
        <v>21322</v>
      </c>
      <c r="C1286">
        <f t="shared" si="44"/>
        <v>22615.5</v>
      </c>
      <c r="D1286">
        <f t="shared" si="45"/>
        <v>0.94280471358139328</v>
      </c>
    </row>
    <row r="1287" spans="1:4">
      <c r="A1287">
        <v>1286</v>
      </c>
      <c r="B1287">
        <v>21903</v>
      </c>
      <c r="C1287">
        <f t="shared" si="44"/>
        <v>22592.880000000001</v>
      </c>
      <c r="D1287">
        <f t="shared" si="45"/>
        <v>0.96946471631770714</v>
      </c>
    </row>
    <row r="1288" spans="1:4">
      <c r="A1288">
        <v>1287</v>
      </c>
      <c r="B1288">
        <v>21857</v>
      </c>
      <c r="C1288">
        <f t="shared" si="44"/>
        <v>22570.22</v>
      </c>
      <c r="D1288">
        <f t="shared" si="45"/>
        <v>0.96839995356713404</v>
      </c>
    </row>
    <row r="1289" spans="1:4">
      <c r="A1289">
        <v>1288</v>
      </c>
      <c r="B1289">
        <v>21777</v>
      </c>
      <c r="C1289">
        <f t="shared" si="44"/>
        <v>22547.52</v>
      </c>
      <c r="D1289">
        <f t="shared" si="45"/>
        <v>0.9658268403797845</v>
      </c>
    </row>
    <row r="1290" spans="1:4">
      <c r="A1290">
        <v>1289</v>
      </c>
      <c r="B1290">
        <v>21790</v>
      </c>
      <c r="C1290">
        <f t="shared" si="44"/>
        <v>22524.78</v>
      </c>
      <c r="D1290">
        <f t="shared" si="45"/>
        <v>0.96737903766429689</v>
      </c>
    </row>
    <row r="1291" spans="1:4">
      <c r="A1291">
        <v>1290</v>
      </c>
      <c r="B1291">
        <v>21755</v>
      </c>
      <c r="C1291">
        <f t="shared" si="44"/>
        <v>22502</v>
      </c>
      <c r="D1291">
        <f t="shared" si="45"/>
        <v>0.9668029508488134</v>
      </c>
    </row>
    <row r="1292" spans="1:4">
      <c r="A1292">
        <v>1291</v>
      </c>
      <c r="B1292">
        <v>21771</v>
      </c>
      <c r="C1292">
        <f t="shared" si="44"/>
        <v>22479.18</v>
      </c>
      <c r="D1292">
        <f t="shared" si="45"/>
        <v>0.96849618180022579</v>
      </c>
    </row>
    <row r="1293" spans="1:4">
      <c r="A1293">
        <v>1292</v>
      </c>
      <c r="B1293">
        <v>22090</v>
      </c>
      <c r="C1293">
        <f t="shared" si="44"/>
        <v>22456.32</v>
      </c>
      <c r="D1293">
        <f t="shared" si="45"/>
        <v>0.98368744300045596</v>
      </c>
    </row>
    <row r="1294" spans="1:4">
      <c r="A1294">
        <v>1293</v>
      </c>
      <c r="B1294">
        <v>22158</v>
      </c>
      <c r="C1294">
        <f t="shared" si="44"/>
        <v>22433.42</v>
      </c>
      <c r="D1294">
        <f t="shared" si="45"/>
        <v>0.98772278145730796</v>
      </c>
    </row>
    <row r="1295" spans="1:4">
      <c r="A1295">
        <v>1294</v>
      </c>
      <c r="B1295">
        <v>22044</v>
      </c>
      <c r="C1295">
        <f t="shared" si="44"/>
        <v>22410.48</v>
      </c>
      <c r="D1295">
        <f t="shared" si="45"/>
        <v>0.98364693661179947</v>
      </c>
    </row>
    <row r="1296" spans="1:4">
      <c r="A1296">
        <v>1295</v>
      </c>
      <c r="B1296">
        <v>21304</v>
      </c>
      <c r="C1296">
        <f t="shared" si="44"/>
        <v>22387.5</v>
      </c>
      <c r="D1296">
        <f t="shared" si="45"/>
        <v>0.95160245672808486</v>
      </c>
    </row>
    <row r="1297" spans="1:4">
      <c r="A1297">
        <v>1296</v>
      </c>
      <c r="B1297">
        <v>20518</v>
      </c>
      <c r="C1297">
        <f t="shared" si="44"/>
        <v>22364.48</v>
      </c>
      <c r="D1297">
        <f t="shared" si="45"/>
        <v>0.91743693571234386</v>
      </c>
    </row>
    <row r="1298" spans="1:4">
      <c r="A1298">
        <v>1297</v>
      </c>
      <c r="B1298">
        <v>20009</v>
      </c>
      <c r="C1298">
        <f t="shared" si="44"/>
        <v>22341.42</v>
      </c>
      <c r="D1298">
        <f t="shared" si="45"/>
        <v>0.8956010853383537</v>
      </c>
    </row>
    <row r="1299" spans="1:4">
      <c r="A1299">
        <v>1298</v>
      </c>
      <c r="B1299">
        <v>19973</v>
      </c>
      <c r="C1299">
        <f t="shared" si="44"/>
        <v>22318.32</v>
      </c>
      <c r="D1299">
        <f t="shared" si="45"/>
        <v>0.8949150294466609</v>
      </c>
    </row>
    <row r="1300" spans="1:4">
      <c r="A1300">
        <v>1299</v>
      </c>
      <c r="B1300">
        <v>20401</v>
      </c>
      <c r="C1300">
        <f t="shared" si="44"/>
        <v>22295.18</v>
      </c>
      <c r="D1300">
        <f t="shared" si="45"/>
        <v>0.91504082945282339</v>
      </c>
    </row>
    <row r="1301" spans="1:4">
      <c r="A1301">
        <v>1300</v>
      </c>
      <c r="B1301">
        <v>21114</v>
      </c>
      <c r="C1301">
        <f t="shared" si="44"/>
        <v>22272</v>
      </c>
      <c r="D1301">
        <f t="shared" si="45"/>
        <v>0.94800646551724133</v>
      </c>
    </row>
    <row r="1302" spans="1:4">
      <c r="A1302">
        <v>1301</v>
      </c>
      <c r="B1302">
        <v>21645</v>
      </c>
      <c r="C1302">
        <f t="shared" si="44"/>
        <v>22248.78</v>
      </c>
      <c r="D1302">
        <f t="shared" si="45"/>
        <v>0.97286233222675589</v>
      </c>
    </row>
    <row r="1303" spans="1:4">
      <c r="A1303">
        <v>1302</v>
      </c>
      <c r="B1303">
        <v>21972</v>
      </c>
      <c r="C1303">
        <f t="shared" si="44"/>
        <v>22225.52</v>
      </c>
      <c r="D1303">
        <f t="shared" si="45"/>
        <v>0.98859329275535512</v>
      </c>
    </row>
    <row r="1304" spans="1:4">
      <c r="A1304">
        <v>1303</v>
      </c>
      <c r="B1304">
        <v>22326</v>
      </c>
      <c r="C1304">
        <f t="shared" si="44"/>
        <v>22202.22</v>
      </c>
      <c r="D1304">
        <f t="shared" si="45"/>
        <v>1.0055751181638592</v>
      </c>
    </row>
    <row r="1305" spans="1:4">
      <c r="A1305">
        <v>1304</v>
      </c>
      <c r="B1305">
        <v>22120</v>
      </c>
      <c r="C1305">
        <f t="shared" si="44"/>
        <v>22178.880000000001</v>
      </c>
      <c r="D1305">
        <f t="shared" si="45"/>
        <v>0.99734522212122523</v>
      </c>
    </row>
    <row r="1306" spans="1:4">
      <c r="A1306">
        <v>1305</v>
      </c>
      <c r="B1306">
        <v>21888</v>
      </c>
      <c r="C1306">
        <f t="shared" si="44"/>
        <v>22155.5</v>
      </c>
      <c r="D1306">
        <f t="shared" si="45"/>
        <v>0.98792624856130529</v>
      </c>
    </row>
    <row r="1307" spans="1:4">
      <c r="A1307">
        <v>1306</v>
      </c>
      <c r="B1307">
        <v>21626</v>
      </c>
      <c r="C1307">
        <f t="shared" si="44"/>
        <v>22132.080000000002</v>
      </c>
      <c r="D1307">
        <f t="shared" si="45"/>
        <v>0.97713364491724219</v>
      </c>
    </row>
    <row r="1308" spans="1:4">
      <c r="A1308">
        <v>1307</v>
      </c>
      <c r="B1308">
        <v>21619</v>
      </c>
      <c r="C1308">
        <f t="shared" si="44"/>
        <v>22108.62</v>
      </c>
      <c r="D1308">
        <f t="shared" si="45"/>
        <v>0.97785388685499142</v>
      </c>
    </row>
    <row r="1309" spans="1:4">
      <c r="A1309">
        <v>1308</v>
      </c>
      <c r="B1309">
        <v>21764</v>
      </c>
      <c r="C1309">
        <f t="shared" si="44"/>
        <v>22085.119999999999</v>
      </c>
      <c r="D1309">
        <f t="shared" si="45"/>
        <v>0.98545989335806194</v>
      </c>
    </row>
    <row r="1310" spans="1:4">
      <c r="A1310">
        <v>1309</v>
      </c>
      <c r="B1310">
        <v>21782</v>
      </c>
      <c r="C1310">
        <f t="shared" si="44"/>
        <v>22061.58</v>
      </c>
      <c r="D1310">
        <f t="shared" si="45"/>
        <v>0.9873272902484771</v>
      </c>
    </row>
    <row r="1311" spans="1:4">
      <c r="A1311">
        <v>1310</v>
      </c>
      <c r="B1311">
        <v>21520</v>
      </c>
      <c r="C1311">
        <f t="shared" si="44"/>
        <v>22038</v>
      </c>
      <c r="D1311">
        <f t="shared" si="45"/>
        <v>0.97649514474997734</v>
      </c>
    </row>
    <row r="1312" spans="1:4">
      <c r="A1312">
        <v>1311</v>
      </c>
      <c r="B1312">
        <v>20765</v>
      </c>
      <c r="C1312">
        <f t="shared" si="44"/>
        <v>22014.38</v>
      </c>
      <c r="D1312">
        <f t="shared" si="45"/>
        <v>0.94324709576195187</v>
      </c>
    </row>
    <row r="1313" spans="1:7">
      <c r="A1313">
        <v>1312</v>
      </c>
      <c r="B1313">
        <v>19416</v>
      </c>
      <c r="C1313">
        <f t="shared" si="44"/>
        <v>21990.720000000001</v>
      </c>
      <c r="D1313">
        <f t="shared" si="45"/>
        <v>0.88291788536255289</v>
      </c>
    </row>
    <row r="1314" spans="1:7">
      <c r="A1314">
        <v>1313</v>
      </c>
      <c r="B1314">
        <v>17908</v>
      </c>
      <c r="C1314">
        <f t="shared" si="44"/>
        <v>21967.02</v>
      </c>
      <c r="D1314">
        <f t="shared" si="45"/>
        <v>0.81522209202704776</v>
      </c>
    </row>
    <row r="1315" spans="1:7">
      <c r="A1315">
        <v>1314</v>
      </c>
      <c r="B1315">
        <v>16540</v>
      </c>
      <c r="C1315">
        <f t="shared" si="44"/>
        <v>21943.279999999999</v>
      </c>
      <c r="D1315">
        <f t="shared" si="45"/>
        <v>0.75376151605411779</v>
      </c>
    </row>
    <row r="1316" spans="1:7">
      <c r="A1316">
        <v>1315</v>
      </c>
      <c r="B1316">
        <v>14797</v>
      </c>
      <c r="C1316">
        <f t="shared" si="44"/>
        <v>21919.5</v>
      </c>
      <c r="D1316">
        <f t="shared" si="45"/>
        <v>0.67506101872761692</v>
      </c>
    </row>
    <row r="1317" spans="1:7" ht="17.25">
      <c r="A1317">
        <v>1316</v>
      </c>
      <c r="B1317">
        <v>13417</v>
      </c>
      <c r="C1317">
        <f t="shared" si="44"/>
        <v>21895.68</v>
      </c>
      <c r="D1317">
        <f t="shared" si="45"/>
        <v>0.61276927686191973</v>
      </c>
      <c r="F1317">
        <v>1316.5</v>
      </c>
      <c r="G1317" t="s">
        <v>90</v>
      </c>
    </row>
    <row r="1318" spans="1:7">
      <c r="A1318">
        <v>1317</v>
      </c>
      <c r="B1318">
        <v>13173</v>
      </c>
      <c r="C1318">
        <f t="shared" si="44"/>
        <v>21871.82</v>
      </c>
      <c r="D1318">
        <f t="shared" si="45"/>
        <v>0.60228184028581067</v>
      </c>
    </row>
    <row r="1319" spans="1:7">
      <c r="A1319">
        <v>1318</v>
      </c>
      <c r="B1319">
        <v>14132</v>
      </c>
      <c r="C1319">
        <f t="shared" si="44"/>
        <v>21847.919999999998</v>
      </c>
      <c r="D1319">
        <f t="shared" si="45"/>
        <v>0.64683503052006786</v>
      </c>
    </row>
    <row r="1320" spans="1:7">
      <c r="A1320">
        <v>1319</v>
      </c>
      <c r="B1320">
        <v>15911</v>
      </c>
      <c r="C1320">
        <f t="shared" si="44"/>
        <v>21823.98</v>
      </c>
      <c r="D1320">
        <f t="shared" si="45"/>
        <v>0.72906041886035455</v>
      </c>
    </row>
    <row r="1321" spans="1:7">
      <c r="A1321">
        <v>1320</v>
      </c>
      <c r="B1321">
        <v>17548</v>
      </c>
      <c r="C1321">
        <f t="shared" si="44"/>
        <v>21800</v>
      </c>
      <c r="D1321">
        <f t="shared" si="45"/>
        <v>0.80495412844036696</v>
      </c>
    </row>
    <row r="1322" spans="1:7">
      <c r="A1322">
        <v>1321</v>
      </c>
      <c r="B1322">
        <v>18621</v>
      </c>
      <c r="C1322">
        <f t="shared" si="44"/>
        <v>21775.98</v>
      </c>
      <c r="D1322">
        <f t="shared" si="45"/>
        <v>0.85511650910774162</v>
      </c>
    </row>
    <row r="1323" spans="1:7">
      <c r="A1323">
        <v>1322</v>
      </c>
      <c r="B1323">
        <v>19518</v>
      </c>
      <c r="C1323">
        <f t="shared" si="44"/>
        <v>21751.919999999998</v>
      </c>
      <c r="D1323">
        <f t="shared" si="45"/>
        <v>0.8973001004049298</v>
      </c>
    </row>
    <row r="1324" spans="1:7">
      <c r="A1324">
        <v>1323</v>
      </c>
      <c r="B1324">
        <v>19901</v>
      </c>
      <c r="C1324">
        <f t="shared" si="44"/>
        <v>21727.82</v>
      </c>
      <c r="D1324">
        <f t="shared" si="45"/>
        <v>0.91592253617712227</v>
      </c>
    </row>
    <row r="1325" spans="1:7">
      <c r="A1325">
        <v>1324</v>
      </c>
      <c r="B1325">
        <v>20311</v>
      </c>
      <c r="C1325">
        <f t="shared" si="44"/>
        <v>21703.68</v>
      </c>
      <c r="D1325">
        <f t="shared" si="45"/>
        <v>0.9358320800896438</v>
      </c>
    </row>
    <row r="1326" spans="1:7">
      <c r="A1326">
        <v>1325</v>
      </c>
      <c r="B1326">
        <v>20611</v>
      </c>
      <c r="C1326">
        <f t="shared" si="44"/>
        <v>21679.5</v>
      </c>
      <c r="D1326">
        <f t="shared" si="45"/>
        <v>0.95071380797527616</v>
      </c>
    </row>
    <row r="1327" spans="1:7">
      <c r="A1327">
        <v>1326</v>
      </c>
      <c r="B1327">
        <v>20957</v>
      </c>
      <c r="C1327">
        <f t="shared" si="44"/>
        <v>21655.279999999999</v>
      </c>
      <c r="D1327">
        <f t="shared" si="45"/>
        <v>0.96775474618661139</v>
      </c>
    </row>
    <row r="1328" spans="1:7">
      <c r="A1328">
        <v>1327</v>
      </c>
      <c r="B1328">
        <v>20783</v>
      </c>
      <c r="C1328">
        <f t="shared" si="44"/>
        <v>21631.02</v>
      </c>
      <c r="D1328">
        <f t="shared" si="45"/>
        <v>0.96079611594830017</v>
      </c>
    </row>
    <row r="1329" spans="1:4">
      <c r="A1329">
        <v>1328</v>
      </c>
      <c r="B1329">
        <v>20577</v>
      </c>
      <c r="C1329">
        <f t="shared" si="44"/>
        <v>21606.720000000001</v>
      </c>
      <c r="D1329">
        <f t="shared" si="45"/>
        <v>0.95234260452303721</v>
      </c>
    </row>
    <row r="1330" spans="1:4">
      <c r="A1330">
        <v>1329</v>
      </c>
      <c r="B1330">
        <v>20551</v>
      </c>
      <c r="C1330">
        <f t="shared" si="44"/>
        <v>21582.38</v>
      </c>
      <c r="D1330">
        <f t="shared" si="45"/>
        <v>0.95221194326112313</v>
      </c>
    </row>
    <row r="1331" spans="1:4">
      <c r="A1331">
        <v>1330</v>
      </c>
      <c r="B1331">
        <v>20302</v>
      </c>
      <c r="C1331">
        <f t="shared" si="44"/>
        <v>21558</v>
      </c>
      <c r="D1331">
        <f t="shared" si="45"/>
        <v>0.94173856572965953</v>
      </c>
    </row>
    <row r="1332" spans="1:4">
      <c r="A1332">
        <v>1331</v>
      </c>
      <c r="B1332">
        <v>20364</v>
      </c>
      <c r="C1332">
        <f t="shared" si="44"/>
        <v>21533.58</v>
      </c>
      <c r="D1332">
        <f t="shared" si="45"/>
        <v>0.94568576149437289</v>
      </c>
    </row>
    <row r="1333" spans="1:4">
      <c r="A1333">
        <v>1332</v>
      </c>
      <c r="B1333">
        <v>20480</v>
      </c>
      <c r="C1333">
        <f t="shared" si="44"/>
        <v>21509.119999999999</v>
      </c>
      <c r="D1333">
        <f t="shared" si="45"/>
        <v>0.95215424898833612</v>
      </c>
    </row>
    <row r="1334" spans="1:4">
      <c r="A1334">
        <v>1333</v>
      </c>
      <c r="B1334">
        <v>20433</v>
      </c>
      <c r="C1334">
        <f t="shared" si="44"/>
        <v>21484.62</v>
      </c>
      <c r="D1334">
        <f t="shared" si="45"/>
        <v>0.95105242727122941</v>
      </c>
    </row>
    <row r="1335" spans="1:4">
      <c r="A1335">
        <v>1334</v>
      </c>
      <c r="B1335">
        <v>20708</v>
      </c>
      <c r="C1335">
        <f t="shared" si="44"/>
        <v>21460.080000000002</v>
      </c>
      <c r="D1335">
        <f t="shared" si="45"/>
        <v>0.96495446428904263</v>
      </c>
    </row>
    <row r="1336" spans="1:4">
      <c r="A1336">
        <v>1335</v>
      </c>
      <c r="B1336">
        <v>20747</v>
      </c>
      <c r="C1336">
        <f t="shared" si="44"/>
        <v>21435.5</v>
      </c>
      <c r="D1336">
        <f t="shared" si="45"/>
        <v>0.96788038534207277</v>
      </c>
    </row>
    <row r="1337" spans="1:4">
      <c r="A1337">
        <v>1336</v>
      </c>
      <c r="B1337">
        <v>20847</v>
      </c>
      <c r="C1337">
        <f t="shared" si="44"/>
        <v>21410.880000000001</v>
      </c>
      <c r="D1337">
        <f t="shared" si="45"/>
        <v>0.97366385688024026</v>
      </c>
    </row>
    <row r="1338" spans="1:4">
      <c r="A1338">
        <v>1337</v>
      </c>
      <c r="B1338">
        <v>20755</v>
      </c>
      <c r="C1338">
        <f t="shared" si="44"/>
        <v>21386.22</v>
      </c>
      <c r="D1338">
        <f t="shared" si="45"/>
        <v>0.9704847326923598</v>
      </c>
    </row>
    <row r="1339" spans="1:4">
      <c r="A1339">
        <v>1338</v>
      </c>
      <c r="B1339">
        <v>20765</v>
      </c>
      <c r="C1339">
        <f t="shared" si="44"/>
        <v>21361.52</v>
      </c>
      <c r="D1339">
        <f t="shared" si="45"/>
        <v>0.97207502087866404</v>
      </c>
    </row>
    <row r="1340" spans="1:4">
      <c r="A1340">
        <v>1339</v>
      </c>
      <c r="B1340">
        <v>20730</v>
      </c>
      <c r="C1340">
        <f t="shared" si="44"/>
        <v>21336.78</v>
      </c>
      <c r="D1340">
        <f t="shared" si="45"/>
        <v>0.97156178204958765</v>
      </c>
    </row>
    <row r="1341" spans="1:4">
      <c r="A1341">
        <v>1340</v>
      </c>
      <c r="B1341">
        <v>20749</v>
      </c>
      <c r="C1341">
        <f t="shared" si="44"/>
        <v>21312</v>
      </c>
      <c r="D1341">
        <f t="shared" si="45"/>
        <v>0.97358295795795791</v>
      </c>
    </row>
    <row r="1342" spans="1:4">
      <c r="A1342">
        <v>1341</v>
      </c>
      <c r="B1342">
        <v>20460</v>
      </c>
      <c r="C1342">
        <f t="shared" si="44"/>
        <v>21287.18</v>
      </c>
      <c r="D1342">
        <f t="shared" si="45"/>
        <v>0.96114187036516818</v>
      </c>
    </row>
    <row r="1343" spans="1:4">
      <c r="A1343">
        <v>1342</v>
      </c>
      <c r="B1343">
        <v>20586</v>
      </c>
      <c r="C1343">
        <f t="shared" si="44"/>
        <v>21262.32</v>
      </c>
      <c r="D1343">
        <f t="shared" si="45"/>
        <v>0.9681916178479113</v>
      </c>
    </row>
    <row r="1344" spans="1:4">
      <c r="A1344">
        <v>1343</v>
      </c>
      <c r="B1344">
        <v>20691</v>
      </c>
      <c r="C1344">
        <f t="shared" si="44"/>
        <v>21237.42</v>
      </c>
      <c r="D1344">
        <f t="shared" si="45"/>
        <v>0.97427088601157774</v>
      </c>
    </row>
    <row r="1345" spans="1:4">
      <c r="A1345">
        <v>1344</v>
      </c>
      <c r="B1345">
        <v>20650</v>
      </c>
      <c r="C1345">
        <f t="shared" si="44"/>
        <v>21212.48</v>
      </c>
      <c r="D1345">
        <f t="shared" si="45"/>
        <v>0.97348353422136402</v>
      </c>
    </row>
    <row r="1346" spans="1:4">
      <c r="A1346">
        <v>1345</v>
      </c>
      <c r="B1346">
        <v>20296</v>
      </c>
      <c r="C1346">
        <f t="shared" ref="C1346:C1409" si="46">29000-10000*(A1346-720)*(A1346-720)/500000</f>
        <v>21187.5</v>
      </c>
      <c r="D1346">
        <f t="shared" ref="D1346:D1409" si="47">B1346/C1346</f>
        <v>0.95792330383480828</v>
      </c>
    </row>
    <row r="1347" spans="1:4">
      <c r="A1347">
        <v>1346</v>
      </c>
      <c r="B1347">
        <v>19913</v>
      </c>
      <c r="C1347">
        <f t="shared" si="46"/>
        <v>21162.48</v>
      </c>
      <c r="D1347">
        <f t="shared" si="47"/>
        <v>0.94095777054485108</v>
      </c>
    </row>
    <row r="1348" spans="1:4">
      <c r="A1348">
        <v>1347</v>
      </c>
      <c r="B1348">
        <v>19730</v>
      </c>
      <c r="C1348">
        <f t="shared" si="46"/>
        <v>21137.42</v>
      </c>
      <c r="D1348">
        <f t="shared" si="47"/>
        <v>0.93341571487911024</v>
      </c>
    </row>
    <row r="1349" spans="1:4">
      <c r="A1349">
        <v>1348</v>
      </c>
      <c r="B1349">
        <v>19581</v>
      </c>
      <c r="C1349">
        <f t="shared" si="46"/>
        <v>21112.32</v>
      </c>
      <c r="D1349">
        <f t="shared" si="47"/>
        <v>0.92746794288832302</v>
      </c>
    </row>
    <row r="1350" spans="1:4">
      <c r="A1350">
        <v>1349</v>
      </c>
      <c r="B1350">
        <v>19236</v>
      </c>
      <c r="C1350">
        <f t="shared" si="46"/>
        <v>21087.18</v>
      </c>
      <c r="D1350">
        <f t="shared" si="47"/>
        <v>0.91221301283528666</v>
      </c>
    </row>
    <row r="1351" spans="1:4">
      <c r="A1351">
        <v>1350</v>
      </c>
      <c r="B1351">
        <v>19018</v>
      </c>
      <c r="C1351">
        <f t="shared" si="46"/>
        <v>21062</v>
      </c>
      <c r="D1351">
        <f t="shared" si="47"/>
        <v>0.90295318583230466</v>
      </c>
    </row>
    <row r="1352" spans="1:4">
      <c r="A1352">
        <v>1351</v>
      </c>
      <c r="B1352">
        <v>19082</v>
      </c>
      <c r="C1352">
        <f t="shared" si="46"/>
        <v>21036.78</v>
      </c>
      <c r="D1352">
        <f t="shared" si="47"/>
        <v>0.9070779843683302</v>
      </c>
    </row>
    <row r="1353" spans="1:4">
      <c r="A1353">
        <v>1352</v>
      </c>
      <c r="B1353">
        <v>19108</v>
      </c>
      <c r="C1353">
        <f t="shared" si="46"/>
        <v>21011.52</v>
      </c>
      <c r="D1353">
        <f t="shared" si="47"/>
        <v>0.90940588781773046</v>
      </c>
    </row>
    <row r="1354" spans="1:4">
      <c r="A1354">
        <v>1353</v>
      </c>
      <c r="B1354">
        <v>19355</v>
      </c>
      <c r="C1354">
        <f t="shared" si="46"/>
        <v>20986.22</v>
      </c>
      <c r="D1354">
        <f t="shared" si="47"/>
        <v>0.92227185267284906</v>
      </c>
    </row>
    <row r="1355" spans="1:4">
      <c r="A1355">
        <v>1354</v>
      </c>
      <c r="B1355">
        <v>19812</v>
      </c>
      <c r="C1355">
        <f t="shared" si="46"/>
        <v>20960.88</v>
      </c>
      <c r="D1355">
        <f t="shared" si="47"/>
        <v>0.94518932411234635</v>
      </c>
    </row>
    <row r="1356" spans="1:4">
      <c r="A1356">
        <v>1355</v>
      </c>
      <c r="B1356">
        <v>20051</v>
      </c>
      <c r="C1356">
        <f t="shared" si="46"/>
        <v>20935.5</v>
      </c>
      <c r="D1356">
        <f t="shared" si="47"/>
        <v>0.9577511881731986</v>
      </c>
    </row>
    <row r="1357" spans="1:4">
      <c r="A1357">
        <v>1356</v>
      </c>
      <c r="B1357">
        <v>20199</v>
      </c>
      <c r="C1357">
        <f t="shared" si="46"/>
        <v>20910.080000000002</v>
      </c>
      <c r="D1357">
        <f t="shared" si="47"/>
        <v>0.9659934347453476</v>
      </c>
    </row>
    <row r="1358" spans="1:4">
      <c r="A1358">
        <v>1357</v>
      </c>
      <c r="B1358">
        <v>20041</v>
      </c>
      <c r="C1358">
        <f t="shared" si="46"/>
        <v>20884.62</v>
      </c>
      <c r="D1358">
        <f t="shared" si="47"/>
        <v>0.9596056811184499</v>
      </c>
    </row>
    <row r="1359" spans="1:4">
      <c r="A1359">
        <v>1358</v>
      </c>
      <c r="B1359">
        <v>19874</v>
      </c>
      <c r="C1359">
        <f t="shared" si="46"/>
        <v>20859.12</v>
      </c>
      <c r="D1359">
        <f t="shared" si="47"/>
        <v>0.95277269606771531</v>
      </c>
    </row>
    <row r="1360" spans="1:4">
      <c r="A1360">
        <v>1359</v>
      </c>
      <c r="B1360">
        <v>19620</v>
      </c>
      <c r="C1360">
        <f t="shared" si="46"/>
        <v>20833.580000000002</v>
      </c>
      <c r="D1360">
        <f t="shared" si="47"/>
        <v>0.94174884969361949</v>
      </c>
    </row>
    <row r="1361" spans="1:4">
      <c r="A1361">
        <v>1360</v>
      </c>
      <c r="B1361">
        <v>19358</v>
      </c>
      <c r="C1361">
        <f t="shared" si="46"/>
        <v>20808</v>
      </c>
      <c r="D1361">
        <f t="shared" si="47"/>
        <v>0.93031526336024606</v>
      </c>
    </row>
    <row r="1362" spans="1:4">
      <c r="A1362">
        <v>1361</v>
      </c>
      <c r="B1362">
        <v>19365</v>
      </c>
      <c r="C1362">
        <f t="shared" si="46"/>
        <v>20782.379999999997</v>
      </c>
      <c r="D1362">
        <f t="shared" si="47"/>
        <v>0.93179895661613354</v>
      </c>
    </row>
    <row r="1363" spans="1:4">
      <c r="A1363">
        <v>1362</v>
      </c>
      <c r="B1363">
        <v>19423</v>
      </c>
      <c r="C1363">
        <f t="shared" si="46"/>
        <v>20756.72</v>
      </c>
      <c r="D1363">
        <f t="shared" si="47"/>
        <v>0.93574514663203046</v>
      </c>
    </row>
    <row r="1364" spans="1:4">
      <c r="A1364">
        <v>1363</v>
      </c>
      <c r="B1364">
        <v>19601</v>
      </c>
      <c r="C1364">
        <f t="shared" si="46"/>
        <v>20731.02</v>
      </c>
      <c r="D1364">
        <f t="shared" si="47"/>
        <v>0.94549134581897076</v>
      </c>
    </row>
    <row r="1365" spans="1:4">
      <c r="A1365">
        <v>1364</v>
      </c>
      <c r="B1365">
        <v>19479</v>
      </c>
      <c r="C1365">
        <f t="shared" si="46"/>
        <v>20705.28</v>
      </c>
      <c r="D1365">
        <f t="shared" si="47"/>
        <v>0.94077452707715137</v>
      </c>
    </row>
    <row r="1366" spans="1:4">
      <c r="A1366">
        <v>1365</v>
      </c>
      <c r="B1366">
        <v>19172</v>
      </c>
      <c r="C1366">
        <f t="shared" si="46"/>
        <v>20679.5</v>
      </c>
      <c r="D1366">
        <f t="shared" si="47"/>
        <v>0.92710171909378858</v>
      </c>
    </row>
    <row r="1367" spans="1:4">
      <c r="A1367">
        <v>1366</v>
      </c>
      <c r="B1367">
        <v>18838</v>
      </c>
      <c r="C1367">
        <f t="shared" si="46"/>
        <v>20653.68</v>
      </c>
      <c r="D1367">
        <f t="shared" si="47"/>
        <v>0.91208927416324836</v>
      </c>
    </row>
    <row r="1368" spans="1:4">
      <c r="A1368">
        <v>1367</v>
      </c>
      <c r="B1368">
        <v>18730</v>
      </c>
      <c r="C1368">
        <f t="shared" si="46"/>
        <v>20627.82</v>
      </c>
      <c r="D1368">
        <f t="shared" si="47"/>
        <v>0.90799706415898529</v>
      </c>
    </row>
    <row r="1369" spans="1:4">
      <c r="A1369">
        <v>1368</v>
      </c>
      <c r="B1369">
        <v>18798</v>
      </c>
      <c r="C1369">
        <f t="shared" si="46"/>
        <v>20601.919999999998</v>
      </c>
      <c r="D1369">
        <f t="shared" si="47"/>
        <v>0.91243922896506746</v>
      </c>
    </row>
    <row r="1370" spans="1:4">
      <c r="A1370">
        <v>1369</v>
      </c>
      <c r="B1370">
        <v>18912</v>
      </c>
      <c r="C1370">
        <f t="shared" si="46"/>
        <v>20575.98</v>
      </c>
      <c r="D1370">
        <f t="shared" si="47"/>
        <v>0.91912997582618183</v>
      </c>
    </row>
    <row r="1371" spans="1:4">
      <c r="A1371">
        <v>1370</v>
      </c>
      <c r="B1371">
        <v>19094</v>
      </c>
      <c r="C1371">
        <f t="shared" si="46"/>
        <v>20550</v>
      </c>
      <c r="D1371">
        <f t="shared" si="47"/>
        <v>0.92914841849148422</v>
      </c>
    </row>
    <row r="1372" spans="1:4">
      <c r="A1372">
        <v>1371</v>
      </c>
      <c r="B1372">
        <v>19177</v>
      </c>
      <c r="C1372">
        <f t="shared" si="46"/>
        <v>20523.98</v>
      </c>
      <c r="D1372">
        <f t="shared" si="47"/>
        <v>0.93437042912729407</v>
      </c>
    </row>
    <row r="1373" spans="1:4">
      <c r="A1373">
        <v>1372</v>
      </c>
      <c r="B1373">
        <v>19363</v>
      </c>
      <c r="C1373">
        <f t="shared" si="46"/>
        <v>20497.919999999998</v>
      </c>
      <c r="D1373">
        <f t="shared" si="47"/>
        <v>0.94463243099787697</v>
      </c>
    </row>
    <row r="1374" spans="1:4">
      <c r="A1374">
        <v>1373</v>
      </c>
      <c r="B1374">
        <v>18945</v>
      </c>
      <c r="C1374">
        <f t="shared" si="46"/>
        <v>20471.82</v>
      </c>
      <c r="D1374">
        <f t="shared" si="47"/>
        <v>0.92541845326893257</v>
      </c>
    </row>
    <row r="1375" spans="1:4">
      <c r="A1375">
        <v>1374</v>
      </c>
      <c r="B1375">
        <v>18697</v>
      </c>
      <c r="C1375">
        <f t="shared" si="46"/>
        <v>20445.68</v>
      </c>
      <c r="D1375">
        <f t="shared" si="47"/>
        <v>0.91447190800208156</v>
      </c>
    </row>
    <row r="1376" spans="1:4">
      <c r="A1376">
        <v>1375</v>
      </c>
      <c r="B1376">
        <v>18650</v>
      </c>
      <c r="C1376">
        <f t="shared" si="46"/>
        <v>20419.5</v>
      </c>
      <c r="D1376">
        <f t="shared" si="47"/>
        <v>0.91334263816449957</v>
      </c>
    </row>
    <row r="1377" spans="1:4">
      <c r="A1377">
        <v>1376</v>
      </c>
      <c r="B1377">
        <v>18918</v>
      </c>
      <c r="C1377">
        <f t="shared" si="46"/>
        <v>20393.28</v>
      </c>
      <c r="D1377">
        <f t="shared" si="47"/>
        <v>0.92765852280751315</v>
      </c>
    </row>
    <row r="1378" spans="1:4">
      <c r="A1378">
        <v>1377</v>
      </c>
      <c r="B1378">
        <v>19291</v>
      </c>
      <c r="C1378">
        <f t="shared" si="46"/>
        <v>20367.02</v>
      </c>
      <c r="D1378">
        <f t="shared" si="47"/>
        <v>0.94716851066086249</v>
      </c>
    </row>
    <row r="1379" spans="1:4">
      <c r="A1379">
        <v>1378</v>
      </c>
      <c r="B1379">
        <v>19343</v>
      </c>
      <c r="C1379">
        <f t="shared" si="46"/>
        <v>20340.72</v>
      </c>
      <c r="D1379">
        <f t="shared" si="47"/>
        <v>0.95094962223559432</v>
      </c>
    </row>
    <row r="1380" spans="1:4">
      <c r="A1380">
        <v>1379</v>
      </c>
      <c r="B1380">
        <v>19317</v>
      </c>
      <c r="C1380">
        <f t="shared" si="46"/>
        <v>20314.379999999997</v>
      </c>
      <c r="D1380">
        <f t="shared" si="47"/>
        <v>0.95090275952305714</v>
      </c>
    </row>
    <row r="1381" spans="1:4">
      <c r="A1381">
        <v>1380</v>
      </c>
      <c r="B1381">
        <v>19160</v>
      </c>
      <c r="C1381">
        <f t="shared" si="46"/>
        <v>20288</v>
      </c>
      <c r="D1381">
        <f t="shared" si="47"/>
        <v>0.94440063091482651</v>
      </c>
    </row>
    <row r="1382" spans="1:4">
      <c r="A1382">
        <v>1381</v>
      </c>
      <c r="B1382">
        <v>19268</v>
      </c>
      <c r="C1382">
        <f t="shared" si="46"/>
        <v>20261.580000000002</v>
      </c>
      <c r="D1382">
        <f t="shared" si="47"/>
        <v>0.95096236325103956</v>
      </c>
    </row>
    <row r="1383" spans="1:4">
      <c r="A1383">
        <v>1382</v>
      </c>
      <c r="B1383">
        <v>19443</v>
      </c>
      <c r="C1383">
        <f t="shared" si="46"/>
        <v>20235.120000000003</v>
      </c>
      <c r="D1383">
        <f t="shared" si="47"/>
        <v>0.96085419804775052</v>
      </c>
    </row>
    <row r="1384" spans="1:4">
      <c r="A1384">
        <v>1383</v>
      </c>
      <c r="B1384">
        <v>19680</v>
      </c>
      <c r="C1384">
        <f t="shared" si="46"/>
        <v>20208.620000000003</v>
      </c>
      <c r="D1384">
        <f t="shared" si="47"/>
        <v>0.97384185560419256</v>
      </c>
    </row>
    <row r="1385" spans="1:4">
      <c r="A1385">
        <v>1384</v>
      </c>
      <c r="B1385">
        <v>19956</v>
      </c>
      <c r="C1385">
        <f t="shared" si="46"/>
        <v>20182.080000000002</v>
      </c>
      <c r="D1385">
        <f t="shared" si="47"/>
        <v>0.98879798316129941</v>
      </c>
    </row>
    <row r="1386" spans="1:4">
      <c r="A1386">
        <v>1385</v>
      </c>
      <c r="B1386">
        <v>20055</v>
      </c>
      <c r="C1386">
        <f t="shared" si="46"/>
        <v>20155.5</v>
      </c>
      <c r="D1386">
        <f t="shared" si="47"/>
        <v>0.99501376795415641</v>
      </c>
    </row>
    <row r="1387" spans="1:4">
      <c r="A1387">
        <v>1386</v>
      </c>
      <c r="B1387">
        <v>20023</v>
      </c>
      <c r="C1387">
        <f t="shared" si="46"/>
        <v>20128.879999999997</v>
      </c>
      <c r="D1387">
        <f t="shared" si="47"/>
        <v>0.99473989610947067</v>
      </c>
    </row>
    <row r="1388" spans="1:4">
      <c r="A1388">
        <v>1387</v>
      </c>
      <c r="B1388">
        <v>20086</v>
      </c>
      <c r="C1388">
        <f t="shared" si="46"/>
        <v>20102.22</v>
      </c>
      <c r="D1388">
        <f t="shared" si="47"/>
        <v>0.99919312394352455</v>
      </c>
    </row>
    <row r="1389" spans="1:4">
      <c r="A1389">
        <v>1388</v>
      </c>
      <c r="B1389">
        <v>19974</v>
      </c>
      <c r="C1389">
        <f t="shared" si="46"/>
        <v>20075.52</v>
      </c>
      <c r="D1389">
        <f t="shared" si="47"/>
        <v>0.99494309487375665</v>
      </c>
    </row>
    <row r="1390" spans="1:4">
      <c r="A1390">
        <v>1389</v>
      </c>
      <c r="B1390">
        <v>19967</v>
      </c>
      <c r="C1390">
        <f t="shared" si="46"/>
        <v>20048.78</v>
      </c>
      <c r="D1390">
        <f t="shared" si="47"/>
        <v>0.99592094880586257</v>
      </c>
    </row>
    <row r="1391" spans="1:4">
      <c r="A1391">
        <v>1390</v>
      </c>
      <c r="B1391">
        <v>19931</v>
      </c>
      <c r="C1391">
        <f t="shared" si="46"/>
        <v>20022</v>
      </c>
      <c r="D1391">
        <f t="shared" si="47"/>
        <v>0.99545499950054939</v>
      </c>
    </row>
    <row r="1392" spans="1:4">
      <c r="A1392">
        <v>1391</v>
      </c>
      <c r="B1392">
        <v>19756</v>
      </c>
      <c r="C1392">
        <f t="shared" si="46"/>
        <v>19995.18</v>
      </c>
      <c r="D1392">
        <f t="shared" si="47"/>
        <v>0.9880381171862419</v>
      </c>
    </row>
    <row r="1393" spans="1:4">
      <c r="A1393">
        <v>1392</v>
      </c>
      <c r="B1393">
        <v>19739</v>
      </c>
      <c r="C1393">
        <f t="shared" si="46"/>
        <v>19968.32</v>
      </c>
      <c r="D1393">
        <f t="shared" si="47"/>
        <v>0.98851580904152181</v>
      </c>
    </row>
    <row r="1394" spans="1:4">
      <c r="A1394">
        <v>1393</v>
      </c>
      <c r="B1394">
        <v>19707</v>
      </c>
      <c r="C1394">
        <f t="shared" si="46"/>
        <v>19941.419999999998</v>
      </c>
      <c r="D1394">
        <f t="shared" si="47"/>
        <v>0.98824456834066987</v>
      </c>
    </row>
    <row r="1395" spans="1:4">
      <c r="A1395">
        <v>1394</v>
      </c>
      <c r="B1395">
        <v>19383</v>
      </c>
      <c r="C1395">
        <f t="shared" si="46"/>
        <v>19914.48</v>
      </c>
      <c r="D1395">
        <f t="shared" si="47"/>
        <v>0.97331188160574622</v>
      </c>
    </row>
    <row r="1396" spans="1:4">
      <c r="A1396">
        <v>1395</v>
      </c>
      <c r="B1396">
        <v>19300</v>
      </c>
      <c r="C1396">
        <f t="shared" si="46"/>
        <v>19887.5</v>
      </c>
      <c r="D1396">
        <f t="shared" si="47"/>
        <v>0.97045883092394725</v>
      </c>
    </row>
    <row r="1397" spans="1:4">
      <c r="A1397">
        <v>1396</v>
      </c>
      <c r="B1397">
        <v>19367</v>
      </c>
      <c r="C1397">
        <f t="shared" si="46"/>
        <v>19860.48</v>
      </c>
      <c r="D1397">
        <f t="shared" si="47"/>
        <v>0.97515266499097708</v>
      </c>
    </row>
    <row r="1398" spans="1:4">
      <c r="A1398">
        <v>1397</v>
      </c>
      <c r="B1398">
        <v>19577</v>
      </c>
      <c r="C1398">
        <f t="shared" si="46"/>
        <v>19833.419999999998</v>
      </c>
      <c r="D1398">
        <f t="shared" si="47"/>
        <v>0.98707131699928718</v>
      </c>
    </row>
    <row r="1399" spans="1:4">
      <c r="A1399">
        <v>1398</v>
      </c>
      <c r="B1399">
        <v>20069</v>
      </c>
      <c r="C1399">
        <f t="shared" si="46"/>
        <v>19806.32</v>
      </c>
      <c r="D1399">
        <f t="shared" si="47"/>
        <v>1.013262433405095</v>
      </c>
    </row>
    <row r="1400" spans="1:4">
      <c r="A1400">
        <v>1399</v>
      </c>
      <c r="B1400">
        <v>20461</v>
      </c>
      <c r="C1400">
        <f t="shared" si="46"/>
        <v>19779.18</v>
      </c>
      <c r="D1400">
        <f t="shared" si="47"/>
        <v>1.0344716009460453</v>
      </c>
    </row>
    <row r="1401" spans="1:4">
      <c r="A1401">
        <v>1400</v>
      </c>
      <c r="B1401">
        <v>20278</v>
      </c>
      <c r="C1401">
        <f t="shared" si="46"/>
        <v>19752</v>
      </c>
      <c r="D1401">
        <f t="shared" si="47"/>
        <v>1.0266302146618065</v>
      </c>
    </row>
    <row r="1402" spans="1:4">
      <c r="A1402">
        <v>1401</v>
      </c>
      <c r="B1402">
        <v>20030</v>
      </c>
      <c r="C1402">
        <f t="shared" si="46"/>
        <v>19724.78</v>
      </c>
      <c r="D1402">
        <f t="shared" si="47"/>
        <v>1.015473936844923</v>
      </c>
    </row>
    <row r="1403" spans="1:4">
      <c r="A1403">
        <v>1402</v>
      </c>
      <c r="B1403">
        <v>19603</v>
      </c>
      <c r="C1403">
        <f t="shared" si="46"/>
        <v>19697.52</v>
      </c>
      <c r="D1403">
        <f t="shared" si="47"/>
        <v>0.99520142637245701</v>
      </c>
    </row>
    <row r="1404" spans="1:4">
      <c r="A1404">
        <v>1403</v>
      </c>
      <c r="B1404">
        <v>19282</v>
      </c>
      <c r="C1404">
        <f t="shared" si="46"/>
        <v>19670.22</v>
      </c>
      <c r="D1404">
        <f t="shared" si="47"/>
        <v>0.98026356593876418</v>
      </c>
    </row>
    <row r="1405" spans="1:4">
      <c r="A1405">
        <v>1404</v>
      </c>
      <c r="B1405">
        <v>19146</v>
      </c>
      <c r="C1405">
        <f t="shared" si="46"/>
        <v>19642.879999999997</v>
      </c>
      <c r="D1405">
        <f t="shared" si="47"/>
        <v>0.97470432034406373</v>
      </c>
    </row>
    <row r="1406" spans="1:4">
      <c r="A1406">
        <v>1405</v>
      </c>
      <c r="B1406">
        <v>18884</v>
      </c>
      <c r="C1406">
        <f t="shared" si="46"/>
        <v>19615.5</v>
      </c>
      <c r="D1406">
        <f t="shared" si="47"/>
        <v>0.96270806250159313</v>
      </c>
    </row>
    <row r="1407" spans="1:4">
      <c r="A1407">
        <v>1406</v>
      </c>
      <c r="B1407">
        <v>18993</v>
      </c>
      <c r="C1407">
        <f t="shared" si="46"/>
        <v>19588.080000000002</v>
      </c>
      <c r="D1407">
        <f t="shared" si="47"/>
        <v>0.96962029969246599</v>
      </c>
    </row>
    <row r="1408" spans="1:4">
      <c r="A1408">
        <v>1407</v>
      </c>
      <c r="B1408">
        <v>18748</v>
      </c>
      <c r="C1408">
        <f t="shared" si="46"/>
        <v>19560.620000000003</v>
      </c>
      <c r="D1408">
        <f t="shared" si="47"/>
        <v>0.95845632704893802</v>
      </c>
    </row>
    <row r="1409" spans="1:4">
      <c r="A1409">
        <v>1408</v>
      </c>
      <c r="B1409">
        <v>18853</v>
      </c>
      <c r="C1409">
        <f t="shared" si="46"/>
        <v>19533.120000000003</v>
      </c>
      <c r="D1409">
        <f t="shared" si="47"/>
        <v>0.96518118969217404</v>
      </c>
    </row>
    <row r="1410" spans="1:4">
      <c r="A1410">
        <v>1409</v>
      </c>
      <c r="B1410">
        <v>18898</v>
      </c>
      <c r="C1410">
        <f t="shared" ref="C1410:C1473" si="48">29000-10000*(A1410-720)*(A1410-720)/500000</f>
        <v>19505.580000000002</v>
      </c>
      <c r="D1410">
        <f t="shared" ref="D1410:D1473" si="49">B1410/C1410</f>
        <v>0.96885096469830678</v>
      </c>
    </row>
    <row r="1411" spans="1:4">
      <c r="A1411">
        <v>1410</v>
      </c>
      <c r="B1411">
        <v>18892</v>
      </c>
      <c r="C1411">
        <f t="shared" si="48"/>
        <v>19478</v>
      </c>
      <c r="D1411">
        <f t="shared" si="49"/>
        <v>0.96991477564431672</v>
      </c>
    </row>
    <row r="1412" spans="1:4">
      <c r="A1412">
        <v>1411</v>
      </c>
      <c r="B1412">
        <v>18684</v>
      </c>
      <c r="C1412">
        <f t="shared" si="48"/>
        <v>19450.379999999997</v>
      </c>
      <c r="D1412">
        <f t="shared" si="49"/>
        <v>0.96059819910973476</v>
      </c>
    </row>
    <row r="1413" spans="1:4">
      <c r="A1413">
        <v>1412</v>
      </c>
      <c r="B1413">
        <v>18333</v>
      </c>
      <c r="C1413">
        <f t="shared" si="48"/>
        <v>19422.72</v>
      </c>
      <c r="D1413">
        <f t="shared" si="49"/>
        <v>0.94389457295373658</v>
      </c>
    </row>
    <row r="1414" spans="1:4">
      <c r="A1414">
        <v>1413</v>
      </c>
      <c r="B1414">
        <v>17865</v>
      </c>
      <c r="C1414">
        <f t="shared" si="48"/>
        <v>19395.02</v>
      </c>
      <c r="D1414">
        <f t="shared" si="49"/>
        <v>0.92111273924955994</v>
      </c>
    </row>
    <row r="1415" spans="1:4">
      <c r="A1415">
        <v>1414</v>
      </c>
      <c r="B1415">
        <v>17677</v>
      </c>
      <c r="C1415">
        <f t="shared" si="48"/>
        <v>19367.28</v>
      </c>
      <c r="D1415">
        <f t="shared" si="49"/>
        <v>0.9127249670578419</v>
      </c>
    </row>
    <row r="1416" spans="1:4">
      <c r="A1416">
        <v>1415</v>
      </c>
      <c r="B1416">
        <v>17814</v>
      </c>
      <c r="C1416">
        <f t="shared" si="48"/>
        <v>19339.5</v>
      </c>
      <c r="D1416">
        <f t="shared" si="49"/>
        <v>0.92111998759016522</v>
      </c>
    </row>
    <row r="1417" spans="1:4">
      <c r="A1417">
        <v>1416</v>
      </c>
      <c r="B1417">
        <v>18166</v>
      </c>
      <c r="C1417">
        <f t="shared" si="48"/>
        <v>19311.68</v>
      </c>
      <c r="D1417">
        <f t="shared" si="49"/>
        <v>0.94067424480935891</v>
      </c>
    </row>
    <row r="1418" spans="1:4">
      <c r="A1418">
        <v>1417</v>
      </c>
      <c r="B1418">
        <v>18489</v>
      </c>
      <c r="C1418">
        <f t="shared" si="48"/>
        <v>19283.82</v>
      </c>
      <c r="D1418">
        <f t="shared" si="49"/>
        <v>0.95878306269193558</v>
      </c>
    </row>
    <row r="1419" spans="1:4">
      <c r="A1419">
        <v>1418</v>
      </c>
      <c r="B1419">
        <v>18637</v>
      </c>
      <c r="C1419">
        <f t="shared" si="48"/>
        <v>19255.919999999998</v>
      </c>
      <c r="D1419">
        <f t="shared" si="49"/>
        <v>0.96785819633650338</v>
      </c>
    </row>
    <row r="1420" spans="1:4">
      <c r="A1420">
        <v>1419</v>
      </c>
      <c r="B1420">
        <v>18533</v>
      </c>
      <c r="C1420">
        <f t="shared" si="48"/>
        <v>19227.98</v>
      </c>
      <c r="D1420">
        <f t="shared" si="49"/>
        <v>0.96385579764489049</v>
      </c>
    </row>
    <row r="1421" spans="1:4">
      <c r="A1421">
        <v>1420</v>
      </c>
      <c r="B1421">
        <v>18352</v>
      </c>
      <c r="C1421">
        <f t="shared" si="48"/>
        <v>19200</v>
      </c>
      <c r="D1421">
        <f t="shared" si="49"/>
        <v>0.95583333333333331</v>
      </c>
    </row>
    <row r="1422" spans="1:4">
      <c r="A1422">
        <v>1421</v>
      </c>
      <c r="B1422">
        <v>17905</v>
      </c>
      <c r="C1422">
        <f t="shared" si="48"/>
        <v>19171.98</v>
      </c>
      <c r="D1422">
        <f t="shared" si="49"/>
        <v>0.93391501555916501</v>
      </c>
    </row>
    <row r="1423" spans="1:4">
      <c r="A1423">
        <v>1422</v>
      </c>
      <c r="B1423">
        <v>17339</v>
      </c>
      <c r="C1423">
        <f t="shared" si="48"/>
        <v>19143.919999999998</v>
      </c>
      <c r="D1423">
        <f t="shared" si="49"/>
        <v>0.90571836906965775</v>
      </c>
    </row>
    <row r="1424" spans="1:4">
      <c r="A1424">
        <v>1423</v>
      </c>
      <c r="B1424">
        <v>16809</v>
      </c>
      <c r="C1424">
        <f t="shared" si="48"/>
        <v>19115.82</v>
      </c>
      <c r="D1424">
        <f t="shared" si="49"/>
        <v>0.87932403632174816</v>
      </c>
    </row>
    <row r="1425" spans="1:4">
      <c r="A1425">
        <v>1424</v>
      </c>
      <c r="B1425">
        <v>16486</v>
      </c>
      <c r="C1425">
        <f t="shared" si="48"/>
        <v>19087.68</v>
      </c>
      <c r="D1425">
        <f t="shared" si="49"/>
        <v>0.86369846937920169</v>
      </c>
    </row>
    <row r="1426" spans="1:4">
      <c r="A1426">
        <v>1425</v>
      </c>
      <c r="B1426">
        <v>16586</v>
      </c>
      <c r="C1426">
        <f t="shared" si="48"/>
        <v>19059.5</v>
      </c>
      <c r="D1426">
        <f t="shared" si="49"/>
        <v>0.870222198903434</v>
      </c>
    </row>
    <row r="1427" spans="1:4">
      <c r="A1427">
        <v>1426</v>
      </c>
      <c r="B1427">
        <v>17002</v>
      </c>
      <c r="C1427">
        <f t="shared" si="48"/>
        <v>19031.28</v>
      </c>
      <c r="D1427">
        <f t="shared" si="49"/>
        <v>0.89337133393024537</v>
      </c>
    </row>
    <row r="1428" spans="1:4">
      <c r="A1428">
        <v>1427</v>
      </c>
      <c r="B1428">
        <v>17643</v>
      </c>
      <c r="C1428">
        <f t="shared" si="48"/>
        <v>19003.02</v>
      </c>
      <c r="D1428">
        <f t="shared" si="49"/>
        <v>0.92843137564450284</v>
      </c>
    </row>
    <row r="1429" spans="1:4">
      <c r="A1429">
        <v>1428</v>
      </c>
      <c r="B1429">
        <v>18072</v>
      </c>
      <c r="C1429">
        <f t="shared" si="48"/>
        <v>18974.72</v>
      </c>
      <c r="D1429">
        <f t="shared" si="49"/>
        <v>0.95242512142471658</v>
      </c>
    </row>
    <row r="1430" spans="1:4">
      <c r="A1430">
        <v>1429</v>
      </c>
      <c r="B1430">
        <v>18131</v>
      </c>
      <c r="C1430">
        <f t="shared" si="48"/>
        <v>18946.379999999997</v>
      </c>
      <c r="D1430">
        <f t="shared" si="49"/>
        <v>0.95696381050100354</v>
      </c>
    </row>
    <row r="1431" spans="1:4">
      <c r="A1431">
        <v>1430</v>
      </c>
      <c r="B1431">
        <v>17570</v>
      </c>
      <c r="C1431">
        <f t="shared" si="48"/>
        <v>18918</v>
      </c>
      <c r="D1431">
        <f t="shared" si="49"/>
        <v>0.92874511047679453</v>
      </c>
    </row>
    <row r="1432" spans="1:4">
      <c r="A1432">
        <v>1431</v>
      </c>
      <c r="B1432">
        <v>17154</v>
      </c>
      <c r="C1432">
        <f t="shared" si="48"/>
        <v>18889.580000000002</v>
      </c>
      <c r="D1432">
        <f t="shared" si="49"/>
        <v>0.90811971467867458</v>
      </c>
    </row>
    <row r="1433" spans="1:4">
      <c r="A1433">
        <v>1432</v>
      </c>
      <c r="B1433">
        <v>16952</v>
      </c>
      <c r="C1433">
        <f t="shared" si="48"/>
        <v>18861.120000000003</v>
      </c>
      <c r="D1433">
        <f t="shared" si="49"/>
        <v>0.89878013606827156</v>
      </c>
    </row>
    <row r="1434" spans="1:4">
      <c r="A1434">
        <v>1433</v>
      </c>
      <c r="B1434">
        <v>16462</v>
      </c>
      <c r="C1434">
        <f t="shared" si="48"/>
        <v>18832.620000000003</v>
      </c>
      <c r="D1434">
        <f t="shared" si="49"/>
        <v>0.87412160389791738</v>
      </c>
    </row>
    <row r="1435" spans="1:4">
      <c r="A1435">
        <v>1434</v>
      </c>
      <c r="B1435">
        <v>15391</v>
      </c>
      <c r="C1435">
        <f t="shared" si="48"/>
        <v>18804.080000000002</v>
      </c>
      <c r="D1435">
        <f t="shared" si="49"/>
        <v>0.81849258246082757</v>
      </c>
    </row>
    <row r="1436" spans="1:4">
      <c r="A1436">
        <v>1435</v>
      </c>
      <c r="B1436">
        <v>13807</v>
      </c>
      <c r="C1436">
        <f t="shared" si="48"/>
        <v>18775.5</v>
      </c>
      <c r="D1436">
        <f t="shared" si="49"/>
        <v>0.73537322574631836</v>
      </c>
    </row>
    <row r="1437" spans="1:4">
      <c r="A1437">
        <v>1436</v>
      </c>
      <c r="B1437">
        <v>12004</v>
      </c>
      <c r="C1437">
        <f t="shared" si="48"/>
        <v>18746.879999999997</v>
      </c>
      <c r="D1437">
        <f t="shared" si="49"/>
        <v>0.64031988256179173</v>
      </c>
    </row>
    <row r="1438" spans="1:4">
      <c r="A1438">
        <v>1437</v>
      </c>
      <c r="B1438">
        <v>10747</v>
      </c>
      <c r="C1438">
        <f t="shared" si="48"/>
        <v>18718.22</v>
      </c>
      <c r="D1438">
        <f t="shared" si="49"/>
        <v>0.57414647332919477</v>
      </c>
    </row>
    <row r="1439" spans="1:4">
      <c r="A1439">
        <v>1438</v>
      </c>
      <c r="B1439">
        <v>10370</v>
      </c>
      <c r="C1439">
        <f t="shared" si="48"/>
        <v>18689.52</v>
      </c>
      <c r="D1439">
        <f t="shared" si="49"/>
        <v>0.55485641150762566</v>
      </c>
    </row>
    <row r="1440" spans="1:4">
      <c r="A1440">
        <v>1439</v>
      </c>
      <c r="B1440">
        <v>11210</v>
      </c>
      <c r="C1440">
        <f t="shared" si="48"/>
        <v>18660.78</v>
      </c>
      <c r="D1440">
        <f t="shared" si="49"/>
        <v>0.60072515725494868</v>
      </c>
    </row>
    <row r="1441" spans="1:4">
      <c r="A1441">
        <v>1440</v>
      </c>
      <c r="B1441">
        <v>12756</v>
      </c>
      <c r="C1441">
        <f t="shared" si="48"/>
        <v>18632</v>
      </c>
      <c r="D1441">
        <f t="shared" si="49"/>
        <v>0.684628595963933</v>
      </c>
    </row>
    <row r="1442" spans="1:4">
      <c r="A1442">
        <v>1441</v>
      </c>
      <c r="B1442">
        <v>14474</v>
      </c>
      <c r="C1442">
        <f t="shared" si="48"/>
        <v>18603.18</v>
      </c>
      <c r="D1442">
        <f t="shared" si="49"/>
        <v>0.77803902343577813</v>
      </c>
    </row>
    <row r="1443" spans="1:4">
      <c r="A1443">
        <v>1442</v>
      </c>
      <c r="B1443">
        <v>16165</v>
      </c>
      <c r="C1443">
        <f t="shared" si="48"/>
        <v>18574.32</v>
      </c>
      <c r="D1443">
        <f t="shared" si="49"/>
        <v>0.87028757984141547</v>
      </c>
    </row>
    <row r="1444" spans="1:4">
      <c r="A1444">
        <v>1443</v>
      </c>
      <c r="B1444">
        <v>17280</v>
      </c>
      <c r="C1444">
        <f t="shared" si="48"/>
        <v>18545.419999999998</v>
      </c>
      <c r="D1444">
        <f t="shared" si="49"/>
        <v>0.93176644152572452</v>
      </c>
    </row>
    <row r="1445" spans="1:4">
      <c r="A1445">
        <v>1444</v>
      </c>
      <c r="B1445">
        <v>17830</v>
      </c>
      <c r="C1445">
        <f t="shared" si="48"/>
        <v>18516.48</v>
      </c>
      <c r="D1445">
        <f t="shared" si="49"/>
        <v>0.96292599889395825</v>
      </c>
    </row>
    <row r="1446" spans="1:4">
      <c r="A1446">
        <v>1445</v>
      </c>
      <c r="B1446">
        <v>17985</v>
      </c>
      <c r="C1446">
        <f t="shared" si="48"/>
        <v>18487.5</v>
      </c>
      <c r="D1446">
        <f t="shared" si="49"/>
        <v>0.97281947261663282</v>
      </c>
    </row>
    <row r="1447" spans="1:4">
      <c r="A1447">
        <v>1446</v>
      </c>
      <c r="B1447">
        <v>17736</v>
      </c>
      <c r="C1447">
        <f t="shared" si="48"/>
        <v>18458.48</v>
      </c>
      <c r="D1447">
        <f t="shared" si="49"/>
        <v>0.96085918233787404</v>
      </c>
    </row>
    <row r="1448" spans="1:4">
      <c r="A1448">
        <v>1447</v>
      </c>
      <c r="B1448">
        <v>17468</v>
      </c>
      <c r="C1448">
        <f t="shared" si="48"/>
        <v>18429.419999999998</v>
      </c>
      <c r="D1448">
        <f t="shared" si="49"/>
        <v>0.94783232462009126</v>
      </c>
    </row>
    <row r="1449" spans="1:4">
      <c r="A1449">
        <v>1448</v>
      </c>
      <c r="B1449">
        <v>17134</v>
      </c>
      <c r="C1449">
        <f t="shared" si="48"/>
        <v>18400.32</v>
      </c>
      <c r="D1449">
        <f t="shared" si="49"/>
        <v>0.93117945774856092</v>
      </c>
    </row>
    <row r="1450" spans="1:4">
      <c r="A1450">
        <v>1449</v>
      </c>
      <c r="B1450">
        <v>16701</v>
      </c>
      <c r="C1450">
        <f t="shared" si="48"/>
        <v>18371.18</v>
      </c>
      <c r="D1450">
        <f t="shared" si="49"/>
        <v>0.90908695032110076</v>
      </c>
    </row>
    <row r="1451" spans="1:4">
      <c r="A1451">
        <v>1450</v>
      </c>
      <c r="B1451">
        <v>16569</v>
      </c>
      <c r="C1451">
        <f t="shared" si="48"/>
        <v>18342</v>
      </c>
      <c r="D1451">
        <f t="shared" si="49"/>
        <v>0.90333660451422959</v>
      </c>
    </row>
    <row r="1452" spans="1:4">
      <c r="A1452">
        <v>1451</v>
      </c>
      <c r="B1452">
        <v>16533</v>
      </c>
      <c r="C1452">
        <f t="shared" si="48"/>
        <v>18312.78</v>
      </c>
      <c r="D1452">
        <f t="shared" si="49"/>
        <v>0.90281213447657871</v>
      </c>
    </row>
    <row r="1453" spans="1:4">
      <c r="A1453">
        <v>1452</v>
      </c>
      <c r="B1453">
        <v>16778</v>
      </c>
      <c r="C1453">
        <f t="shared" si="48"/>
        <v>18283.52</v>
      </c>
      <c r="D1453">
        <f t="shared" si="49"/>
        <v>0.91765699383926069</v>
      </c>
    </row>
    <row r="1454" spans="1:4">
      <c r="A1454">
        <v>1453</v>
      </c>
      <c r="B1454">
        <v>17255</v>
      </c>
      <c r="C1454">
        <f t="shared" si="48"/>
        <v>18254.22</v>
      </c>
      <c r="D1454">
        <f t="shared" si="49"/>
        <v>0.94526087666304004</v>
      </c>
    </row>
    <row r="1455" spans="1:4">
      <c r="A1455">
        <v>1454</v>
      </c>
      <c r="B1455">
        <v>17515</v>
      </c>
      <c r="C1455">
        <f t="shared" si="48"/>
        <v>18224.879999999997</v>
      </c>
      <c r="D1455">
        <f t="shared" si="49"/>
        <v>0.96104885189916212</v>
      </c>
    </row>
    <row r="1456" spans="1:4">
      <c r="A1456">
        <v>1455</v>
      </c>
      <c r="B1456">
        <v>17787</v>
      </c>
      <c r="C1456">
        <f t="shared" si="48"/>
        <v>18195.5</v>
      </c>
      <c r="D1456">
        <f t="shared" si="49"/>
        <v>0.97754939408095409</v>
      </c>
    </row>
    <row r="1457" spans="1:4">
      <c r="A1457">
        <v>1456</v>
      </c>
      <c r="B1457">
        <v>18091</v>
      </c>
      <c r="C1457">
        <f t="shared" si="48"/>
        <v>18166.080000000002</v>
      </c>
      <c r="D1457">
        <f t="shared" si="49"/>
        <v>0.99586702249467129</v>
      </c>
    </row>
    <row r="1458" spans="1:4">
      <c r="A1458">
        <v>1457</v>
      </c>
      <c r="B1458">
        <v>18123</v>
      </c>
      <c r="C1458">
        <f t="shared" si="48"/>
        <v>18136.620000000003</v>
      </c>
      <c r="D1458">
        <f t="shared" si="49"/>
        <v>0.999249033171561</v>
      </c>
    </row>
    <row r="1459" spans="1:4">
      <c r="A1459">
        <v>1458</v>
      </c>
      <c r="B1459">
        <v>17962</v>
      </c>
      <c r="C1459">
        <f t="shared" si="48"/>
        <v>18107.120000000003</v>
      </c>
      <c r="D1459">
        <f t="shared" si="49"/>
        <v>0.99198547311775687</v>
      </c>
    </row>
    <row r="1460" spans="1:4">
      <c r="A1460">
        <v>1459</v>
      </c>
      <c r="B1460">
        <v>17682</v>
      </c>
      <c r="C1460">
        <f t="shared" si="48"/>
        <v>18077.580000000002</v>
      </c>
      <c r="D1460">
        <f t="shared" si="49"/>
        <v>0.97811764627787556</v>
      </c>
    </row>
    <row r="1461" spans="1:4">
      <c r="A1461">
        <v>1460</v>
      </c>
      <c r="B1461">
        <v>17529</v>
      </c>
      <c r="C1461">
        <f t="shared" si="48"/>
        <v>18048</v>
      </c>
      <c r="D1461">
        <f t="shared" si="49"/>
        <v>0.97124335106382975</v>
      </c>
    </row>
    <row r="1462" spans="1:4">
      <c r="A1462">
        <v>1461</v>
      </c>
      <c r="B1462">
        <v>17439</v>
      </c>
      <c r="C1462">
        <f t="shared" si="48"/>
        <v>18018.379999999997</v>
      </c>
      <c r="D1462">
        <f t="shared" si="49"/>
        <v>0.96784505599282522</v>
      </c>
    </row>
    <row r="1463" spans="1:4">
      <c r="A1463">
        <v>1462</v>
      </c>
      <c r="B1463">
        <v>17200</v>
      </c>
      <c r="C1463">
        <f t="shared" si="48"/>
        <v>17988.72</v>
      </c>
      <c r="D1463">
        <f t="shared" si="49"/>
        <v>0.9561547458629629</v>
      </c>
    </row>
    <row r="1464" spans="1:4">
      <c r="A1464">
        <v>1463</v>
      </c>
      <c r="B1464">
        <v>16928</v>
      </c>
      <c r="C1464">
        <f t="shared" si="48"/>
        <v>17959.02</v>
      </c>
      <c r="D1464">
        <f t="shared" si="49"/>
        <v>0.94259040860804211</v>
      </c>
    </row>
    <row r="1465" spans="1:4">
      <c r="A1465">
        <v>1464</v>
      </c>
      <c r="B1465">
        <v>16544</v>
      </c>
      <c r="C1465">
        <f t="shared" si="48"/>
        <v>17929.28</v>
      </c>
      <c r="D1465">
        <f t="shared" si="49"/>
        <v>0.92273644005782729</v>
      </c>
    </row>
    <row r="1466" spans="1:4">
      <c r="A1466">
        <v>1465</v>
      </c>
      <c r="B1466">
        <v>16081</v>
      </c>
      <c r="C1466">
        <f t="shared" si="48"/>
        <v>17899.5</v>
      </c>
      <c r="D1466">
        <f t="shared" si="49"/>
        <v>0.89840498337942398</v>
      </c>
    </row>
    <row r="1467" spans="1:4">
      <c r="A1467">
        <v>1466</v>
      </c>
      <c r="B1467">
        <v>16068</v>
      </c>
      <c r="C1467">
        <f t="shared" si="48"/>
        <v>17869.68</v>
      </c>
      <c r="D1467">
        <f t="shared" si="49"/>
        <v>0.89917670601823874</v>
      </c>
    </row>
    <row r="1468" spans="1:4">
      <c r="A1468">
        <v>1467</v>
      </c>
      <c r="B1468">
        <v>16584</v>
      </c>
      <c r="C1468">
        <f t="shared" si="48"/>
        <v>17839.82</v>
      </c>
      <c r="D1468">
        <f t="shared" si="49"/>
        <v>0.92960579198669047</v>
      </c>
    </row>
    <row r="1469" spans="1:4">
      <c r="A1469">
        <v>1468</v>
      </c>
      <c r="B1469">
        <v>17297</v>
      </c>
      <c r="C1469">
        <f t="shared" si="48"/>
        <v>17809.919999999998</v>
      </c>
      <c r="D1469">
        <f t="shared" si="49"/>
        <v>0.97120031982176236</v>
      </c>
    </row>
    <row r="1470" spans="1:4">
      <c r="A1470">
        <v>1469</v>
      </c>
      <c r="B1470">
        <v>17815</v>
      </c>
      <c r="C1470">
        <f t="shared" si="48"/>
        <v>17779.98</v>
      </c>
      <c r="D1470">
        <f t="shared" si="49"/>
        <v>1.0019696310119584</v>
      </c>
    </row>
    <row r="1471" spans="1:4">
      <c r="A1471">
        <v>1470</v>
      </c>
      <c r="B1471">
        <v>17790</v>
      </c>
      <c r="C1471">
        <f t="shared" si="48"/>
        <v>17750</v>
      </c>
      <c r="D1471">
        <f t="shared" si="49"/>
        <v>1.0022535211267605</v>
      </c>
    </row>
    <row r="1472" spans="1:4">
      <c r="A1472">
        <v>1471</v>
      </c>
      <c r="B1472">
        <v>17508</v>
      </c>
      <c r="C1472">
        <f t="shared" si="48"/>
        <v>17719.98</v>
      </c>
      <c r="D1472">
        <f t="shared" si="49"/>
        <v>0.98803723254766651</v>
      </c>
    </row>
    <row r="1473" spans="1:14">
      <c r="A1473">
        <v>1472</v>
      </c>
      <c r="B1473">
        <v>17043</v>
      </c>
      <c r="C1473">
        <f t="shared" si="48"/>
        <v>17689.919999999998</v>
      </c>
      <c r="D1473">
        <f t="shared" si="49"/>
        <v>0.96343002116459553</v>
      </c>
    </row>
    <row r="1474" spans="1:14">
      <c r="A1474">
        <v>1473</v>
      </c>
      <c r="B1474">
        <v>16723</v>
      </c>
      <c r="C1474">
        <f t="shared" ref="C1474:C1530" si="50">29000-10000*(A1474-720)*(A1474-720)/500000</f>
        <v>17659.82</v>
      </c>
      <c r="D1474">
        <f t="shared" ref="D1474:D1530" si="51">B1474/C1474</f>
        <v>0.94695189418691694</v>
      </c>
    </row>
    <row r="1475" spans="1:14">
      <c r="A1475">
        <v>1474</v>
      </c>
      <c r="B1475">
        <v>16739</v>
      </c>
      <c r="C1475">
        <f t="shared" si="50"/>
        <v>17629.68</v>
      </c>
      <c r="D1475">
        <f t="shared" si="51"/>
        <v>0.94947837964160442</v>
      </c>
    </row>
    <row r="1476" spans="1:14">
      <c r="A1476">
        <v>1475</v>
      </c>
      <c r="B1476">
        <v>17053</v>
      </c>
      <c r="C1476">
        <f t="shared" si="50"/>
        <v>17599.5</v>
      </c>
      <c r="D1476">
        <f t="shared" si="51"/>
        <v>0.96894798147674654</v>
      </c>
    </row>
    <row r="1477" spans="1:14">
      <c r="A1477">
        <v>1476</v>
      </c>
      <c r="B1477">
        <v>17548</v>
      </c>
      <c r="C1477">
        <f t="shared" si="50"/>
        <v>17569.28</v>
      </c>
      <c r="D1477">
        <f t="shared" si="51"/>
        <v>0.99878879498761486</v>
      </c>
    </row>
    <row r="1478" spans="1:14">
      <c r="A1478">
        <v>1477</v>
      </c>
      <c r="B1478">
        <v>17612</v>
      </c>
      <c r="C1478">
        <f t="shared" si="50"/>
        <v>17539.02</v>
      </c>
      <c r="D1478">
        <f t="shared" si="51"/>
        <v>1.0041610078556271</v>
      </c>
    </row>
    <row r="1479" spans="1:14">
      <c r="A1479">
        <v>1478</v>
      </c>
      <c r="B1479">
        <v>17497</v>
      </c>
      <c r="C1479">
        <f t="shared" si="50"/>
        <v>17508.72</v>
      </c>
      <c r="D1479">
        <f t="shared" si="51"/>
        <v>0.99933061925714728</v>
      </c>
    </row>
    <row r="1480" spans="1:14" ht="17.25">
      <c r="A1480">
        <v>1479</v>
      </c>
      <c r="B1480">
        <v>17249</v>
      </c>
      <c r="C1480">
        <f t="shared" si="50"/>
        <v>17478.379999999997</v>
      </c>
      <c r="D1480">
        <f t="shared" si="51"/>
        <v>0.98687635810641505</v>
      </c>
      <c r="M1480">
        <v>21.5</v>
      </c>
      <c r="N1480" t="s">
        <v>60</v>
      </c>
    </row>
    <row r="1481" spans="1:14" ht="17.25">
      <c r="A1481">
        <v>1480</v>
      </c>
      <c r="B1481">
        <v>16843</v>
      </c>
      <c r="C1481">
        <f t="shared" si="50"/>
        <v>17448</v>
      </c>
      <c r="D1481">
        <f t="shared" si="51"/>
        <v>0.96532553874369553</v>
      </c>
      <c r="M1481">
        <v>34.5</v>
      </c>
      <c r="N1481" t="s">
        <v>61</v>
      </c>
    </row>
    <row r="1482" spans="1:14" ht="17.25">
      <c r="A1482">
        <v>1481</v>
      </c>
      <c r="B1482">
        <v>16642</v>
      </c>
      <c r="C1482">
        <f t="shared" si="50"/>
        <v>17417.580000000002</v>
      </c>
      <c r="D1482">
        <f t="shared" si="51"/>
        <v>0.95547142599603385</v>
      </c>
      <c r="M1482">
        <v>54</v>
      </c>
      <c r="N1482" t="s">
        <v>62</v>
      </c>
    </row>
    <row r="1483" spans="1:14" ht="17.25">
      <c r="A1483">
        <v>1482</v>
      </c>
      <c r="B1483">
        <v>16739</v>
      </c>
      <c r="C1483">
        <f t="shared" si="50"/>
        <v>17387.120000000003</v>
      </c>
      <c r="D1483">
        <f t="shared" si="51"/>
        <v>0.96272413142602098</v>
      </c>
      <c r="M1483">
        <v>76.5</v>
      </c>
      <c r="N1483" t="s">
        <v>63</v>
      </c>
    </row>
    <row r="1484" spans="1:14" ht="17.25">
      <c r="A1484">
        <v>1483</v>
      </c>
      <c r="B1484">
        <v>16956</v>
      </c>
      <c r="C1484">
        <f t="shared" si="50"/>
        <v>17356.620000000003</v>
      </c>
      <c r="D1484">
        <f t="shared" si="51"/>
        <v>0.97691831704559973</v>
      </c>
      <c r="M1484">
        <v>101</v>
      </c>
      <c r="N1484" t="s">
        <v>64</v>
      </c>
    </row>
    <row r="1485" spans="1:14" ht="17.25">
      <c r="A1485">
        <v>1484</v>
      </c>
      <c r="B1485">
        <v>17215</v>
      </c>
      <c r="C1485">
        <f t="shared" si="50"/>
        <v>17326.080000000002</v>
      </c>
      <c r="D1485">
        <f t="shared" si="51"/>
        <v>0.99358885564420796</v>
      </c>
      <c r="M1485">
        <v>132.5</v>
      </c>
      <c r="N1485" t="s">
        <v>65</v>
      </c>
    </row>
    <row r="1486" spans="1:14" ht="17.25">
      <c r="A1486">
        <v>1485</v>
      </c>
      <c r="B1486">
        <v>17326</v>
      </c>
      <c r="C1486">
        <f t="shared" si="50"/>
        <v>17295.5</v>
      </c>
      <c r="D1486">
        <f t="shared" si="51"/>
        <v>1.0017634644849815</v>
      </c>
      <c r="M1486">
        <v>175</v>
      </c>
      <c r="N1486" t="s">
        <v>66</v>
      </c>
    </row>
    <row r="1487" spans="1:14" ht="17.25">
      <c r="A1487">
        <v>1486</v>
      </c>
      <c r="B1487">
        <v>17402</v>
      </c>
      <c r="C1487">
        <f t="shared" si="50"/>
        <v>17264.879999999997</v>
      </c>
      <c r="D1487">
        <f t="shared" si="51"/>
        <v>1.0079421345529191</v>
      </c>
      <c r="M1487">
        <v>427</v>
      </c>
      <c r="N1487" t="s">
        <v>67</v>
      </c>
    </row>
    <row r="1488" spans="1:14" ht="17.25">
      <c r="A1488">
        <v>1487</v>
      </c>
      <c r="B1488">
        <v>17348</v>
      </c>
      <c r="C1488">
        <f t="shared" si="50"/>
        <v>17234.22</v>
      </c>
      <c r="D1488">
        <f t="shared" si="51"/>
        <v>1.0066019814067593</v>
      </c>
      <c r="M1488">
        <v>442.5</v>
      </c>
      <c r="N1488" t="s">
        <v>68</v>
      </c>
    </row>
    <row r="1489" spans="1:14" ht="17.25">
      <c r="A1489">
        <v>1488</v>
      </c>
      <c r="B1489">
        <v>17141</v>
      </c>
      <c r="C1489">
        <f t="shared" si="50"/>
        <v>17203.52</v>
      </c>
      <c r="D1489">
        <f t="shared" si="51"/>
        <v>0.99636586001004446</v>
      </c>
      <c r="M1489">
        <v>497</v>
      </c>
      <c r="N1489" t="s">
        <v>69</v>
      </c>
    </row>
    <row r="1490" spans="1:14" ht="17.25">
      <c r="A1490">
        <v>1489</v>
      </c>
      <c r="B1490">
        <v>16251</v>
      </c>
      <c r="C1490">
        <f t="shared" si="50"/>
        <v>17172.78</v>
      </c>
      <c r="D1490">
        <f t="shared" si="51"/>
        <v>0.94632319286685096</v>
      </c>
      <c r="M1490">
        <v>555.5</v>
      </c>
      <c r="N1490" t="s">
        <v>70</v>
      </c>
    </row>
    <row r="1491" spans="1:14" ht="17.25">
      <c r="A1491">
        <v>1490</v>
      </c>
      <c r="B1491">
        <v>14935</v>
      </c>
      <c r="C1491">
        <f t="shared" si="50"/>
        <v>17142</v>
      </c>
      <c r="D1491">
        <f t="shared" si="51"/>
        <v>0.87125189592812979</v>
      </c>
      <c r="M1491">
        <v>587</v>
      </c>
      <c r="N1491" t="s">
        <v>71</v>
      </c>
    </row>
    <row r="1492" spans="1:14" ht="17.25">
      <c r="A1492">
        <v>1491</v>
      </c>
      <c r="B1492">
        <v>13260</v>
      </c>
      <c r="C1492">
        <f t="shared" si="50"/>
        <v>17111.18</v>
      </c>
      <c r="D1492">
        <f t="shared" si="51"/>
        <v>0.77493194507918217</v>
      </c>
      <c r="M1492">
        <v>645</v>
      </c>
      <c r="N1492" t="s">
        <v>72</v>
      </c>
    </row>
    <row r="1493" spans="1:14" ht="17.25">
      <c r="A1493">
        <v>1492</v>
      </c>
      <c r="B1493">
        <v>12360</v>
      </c>
      <c r="C1493">
        <f t="shared" si="50"/>
        <v>17080.32</v>
      </c>
      <c r="D1493">
        <f t="shared" si="51"/>
        <v>0.72363983812949639</v>
      </c>
      <c r="F1493">
        <v>1492.5</v>
      </c>
      <c r="G1493" t="s">
        <v>91</v>
      </c>
      <c r="M1493">
        <v>673</v>
      </c>
      <c r="N1493" t="s">
        <v>73</v>
      </c>
    </row>
    <row r="1494" spans="1:14" ht="17.25">
      <c r="A1494">
        <v>1493</v>
      </c>
      <c r="B1494">
        <v>12750</v>
      </c>
      <c r="C1494">
        <f t="shared" si="50"/>
        <v>17049.419999999998</v>
      </c>
      <c r="D1494">
        <f t="shared" si="51"/>
        <v>0.74782602575336876</v>
      </c>
      <c r="M1494">
        <v>692.5</v>
      </c>
      <c r="N1494" t="s">
        <v>74</v>
      </c>
    </row>
    <row r="1495" spans="1:14" ht="17.25">
      <c r="A1495">
        <v>1494</v>
      </c>
      <c r="B1495">
        <v>13917</v>
      </c>
      <c r="C1495">
        <f t="shared" si="50"/>
        <v>17018.48</v>
      </c>
      <c r="D1495">
        <f t="shared" si="51"/>
        <v>0.81775810765708812</v>
      </c>
      <c r="M1495">
        <v>797.5</v>
      </c>
      <c r="N1495" t="s">
        <v>76</v>
      </c>
    </row>
    <row r="1496" spans="1:14" ht="17.25">
      <c r="A1496">
        <v>1495</v>
      </c>
      <c r="B1496">
        <v>15296</v>
      </c>
      <c r="C1496">
        <f t="shared" si="50"/>
        <v>16987.5</v>
      </c>
      <c r="D1496">
        <f t="shared" si="51"/>
        <v>0.90042678440029433</v>
      </c>
      <c r="M1496">
        <v>798</v>
      </c>
      <c r="N1496" t="s">
        <v>75</v>
      </c>
    </row>
    <row r="1497" spans="1:14" ht="17.25">
      <c r="A1497">
        <v>1496</v>
      </c>
      <c r="B1497">
        <v>16396</v>
      </c>
      <c r="C1497">
        <f t="shared" si="50"/>
        <v>16956.48</v>
      </c>
      <c r="D1497">
        <f t="shared" si="51"/>
        <v>0.96694596991828496</v>
      </c>
      <c r="M1497">
        <v>835.5</v>
      </c>
      <c r="N1497" t="s">
        <v>77</v>
      </c>
    </row>
    <row r="1498" spans="1:14" ht="17.25">
      <c r="A1498">
        <v>1497</v>
      </c>
      <c r="B1498">
        <v>16952</v>
      </c>
      <c r="C1498">
        <f t="shared" si="50"/>
        <v>16925.419999999998</v>
      </c>
      <c r="D1498">
        <f t="shared" si="51"/>
        <v>1.0015704189319972</v>
      </c>
      <c r="M1498">
        <v>874</v>
      </c>
      <c r="N1498" t="s">
        <v>78</v>
      </c>
    </row>
    <row r="1499" spans="1:14" ht="17.25">
      <c r="A1499">
        <v>1498</v>
      </c>
      <c r="B1499">
        <v>17386</v>
      </c>
      <c r="C1499">
        <f t="shared" si="50"/>
        <v>16894.32</v>
      </c>
      <c r="D1499">
        <f t="shared" si="51"/>
        <v>1.0291032725791864</v>
      </c>
      <c r="M1499">
        <v>889.5</v>
      </c>
      <c r="N1499" t="s">
        <v>79</v>
      </c>
    </row>
    <row r="1500" spans="1:14" ht="17.25">
      <c r="A1500">
        <v>1499</v>
      </c>
      <c r="B1500">
        <v>17456</v>
      </c>
      <c r="C1500">
        <f t="shared" si="50"/>
        <v>16863.18</v>
      </c>
      <c r="D1500">
        <f t="shared" si="51"/>
        <v>1.0351546979869752</v>
      </c>
      <c r="M1500">
        <v>914</v>
      </c>
      <c r="N1500" t="s">
        <v>80</v>
      </c>
    </row>
    <row r="1501" spans="1:14" ht="17.25">
      <c r="A1501">
        <v>1500</v>
      </c>
      <c r="B1501">
        <v>17570</v>
      </c>
      <c r="C1501">
        <f t="shared" si="50"/>
        <v>16832</v>
      </c>
      <c r="D1501">
        <f t="shared" si="51"/>
        <v>1.0438450570342206</v>
      </c>
      <c r="M1501">
        <v>940</v>
      </c>
      <c r="N1501" t="s">
        <v>81</v>
      </c>
    </row>
    <row r="1502" spans="1:14" ht="17.25">
      <c r="A1502">
        <v>1501</v>
      </c>
      <c r="B1502">
        <v>17266</v>
      </c>
      <c r="C1502">
        <f t="shared" si="50"/>
        <v>16800.78</v>
      </c>
      <c r="D1502">
        <f t="shared" si="51"/>
        <v>1.0276903810418327</v>
      </c>
      <c r="M1502">
        <v>964</v>
      </c>
      <c r="N1502" t="s">
        <v>82</v>
      </c>
    </row>
    <row r="1503" spans="1:14" ht="17.25">
      <c r="A1503">
        <v>1502</v>
      </c>
      <c r="B1503">
        <v>16963</v>
      </c>
      <c r="C1503">
        <f t="shared" si="50"/>
        <v>16769.52</v>
      </c>
      <c r="D1503">
        <f t="shared" si="51"/>
        <v>1.0115375991680142</v>
      </c>
      <c r="M1503">
        <v>1019.5</v>
      </c>
      <c r="N1503" t="s">
        <v>83</v>
      </c>
    </row>
    <row r="1504" spans="1:14" ht="17.25">
      <c r="A1504">
        <v>1503</v>
      </c>
      <c r="B1504">
        <v>16468</v>
      </c>
      <c r="C1504">
        <f t="shared" si="50"/>
        <v>16738.22</v>
      </c>
      <c r="D1504">
        <f t="shared" si="51"/>
        <v>0.98385610895304276</v>
      </c>
      <c r="M1504">
        <v>1091</v>
      </c>
      <c r="N1504" t="s">
        <v>84</v>
      </c>
    </row>
    <row r="1505" spans="1:14" ht="17.25">
      <c r="A1505">
        <v>1504</v>
      </c>
      <c r="B1505">
        <v>16168</v>
      </c>
      <c r="C1505">
        <f t="shared" si="50"/>
        <v>16706.879999999997</v>
      </c>
      <c r="D1505">
        <f t="shared" si="51"/>
        <v>0.9677450248041527</v>
      </c>
      <c r="M1505">
        <v>1102</v>
      </c>
      <c r="N1505" t="s">
        <v>85</v>
      </c>
    </row>
    <row r="1506" spans="1:14" ht="17.25">
      <c r="A1506">
        <v>1505</v>
      </c>
      <c r="B1506">
        <v>16255</v>
      </c>
      <c r="C1506">
        <f t="shared" si="50"/>
        <v>16675.5</v>
      </c>
      <c r="D1506">
        <f t="shared" si="51"/>
        <v>0.97478336481664718</v>
      </c>
      <c r="M1506">
        <v>1158</v>
      </c>
      <c r="N1506" t="s">
        <v>86</v>
      </c>
    </row>
    <row r="1507" spans="1:14" ht="17.25">
      <c r="A1507">
        <v>1506</v>
      </c>
      <c r="B1507">
        <v>16677</v>
      </c>
      <c r="C1507">
        <f t="shared" si="50"/>
        <v>16644.080000000002</v>
      </c>
      <c r="D1507">
        <f t="shared" si="51"/>
        <v>1.00197788042355</v>
      </c>
      <c r="M1507">
        <v>1217</v>
      </c>
      <c r="N1507" t="s">
        <v>87</v>
      </c>
    </row>
    <row r="1508" spans="1:14" ht="17.25">
      <c r="A1508">
        <v>1507</v>
      </c>
      <c r="B1508">
        <v>16987</v>
      </c>
      <c r="C1508">
        <f t="shared" si="50"/>
        <v>16612.620000000003</v>
      </c>
      <c r="D1508">
        <f t="shared" si="51"/>
        <v>1.0225358793495545</v>
      </c>
      <c r="M1508">
        <v>1232</v>
      </c>
      <c r="N1508" t="s">
        <v>88</v>
      </c>
    </row>
    <row r="1509" spans="1:14" ht="17.25">
      <c r="A1509">
        <v>1508</v>
      </c>
      <c r="B1509">
        <v>17024</v>
      </c>
      <c r="C1509">
        <f t="shared" si="50"/>
        <v>16581.120000000003</v>
      </c>
      <c r="D1509">
        <f t="shared" si="51"/>
        <v>1.0267098965570478</v>
      </c>
      <c r="M1509">
        <v>1254</v>
      </c>
      <c r="N1509" t="s">
        <v>89</v>
      </c>
    </row>
    <row r="1510" spans="1:14" ht="17.25">
      <c r="A1510">
        <v>1509</v>
      </c>
      <c r="B1510">
        <v>16647</v>
      </c>
      <c r="C1510">
        <f t="shared" si="50"/>
        <v>16549.580000000002</v>
      </c>
      <c r="D1510">
        <f t="shared" si="51"/>
        <v>1.0058865542207112</v>
      </c>
      <c r="M1510">
        <v>1316.5</v>
      </c>
      <c r="N1510" t="s">
        <v>90</v>
      </c>
    </row>
    <row r="1511" spans="1:14" ht="17.25">
      <c r="A1511">
        <v>1510</v>
      </c>
      <c r="B1511">
        <v>16170</v>
      </c>
      <c r="C1511">
        <f t="shared" si="50"/>
        <v>16518</v>
      </c>
      <c r="D1511">
        <f t="shared" si="51"/>
        <v>0.97893207410098071</v>
      </c>
      <c r="M1511">
        <v>1492.5</v>
      </c>
      <c r="N1511" t="s">
        <v>91</v>
      </c>
    </row>
    <row r="1512" spans="1:14">
      <c r="A1512">
        <v>1511</v>
      </c>
      <c r="B1512">
        <v>15844</v>
      </c>
      <c r="C1512">
        <f t="shared" si="50"/>
        <v>16486.379999999997</v>
      </c>
      <c r="D1512">
        <f t="shared" si="51"/>
        <v>0.96103571554216283</v>
      </c>
    </row>
    <row r="1513" spans="1:14">
      <c r="A1513">
        <v>1512</v>
      </c>
      <c r="B1513">
        <v>15564</v>
      </c>
      <c r="C1513">
        <f t="shared" si="50"/>
        <v>16454.72</v>
      </c>
      <c r="D1513">
        <f t="shared" si="51"/>
        <v>0.94586841951731782</v>
      </c>
    </row>
    <row r="1514" spans="1:14">
      <c r="A1514">
        <v>1513</v>
      </c>
      <c r="B1514">
        <v>15565</v>
      </c>
      <c r="C1514">
        <f t="shared" si="50"/>
        <v>16423.02</v>
      </c>
      <c r="D1514">
        <f t="shared" si="51"/>
        <v>0.94775504139920674</v>
      </c>
    </row>
    <row r="1515" spans="1:14">
      <c r="A1515">
        <v>1514</v>
      </c>
      <c r="B1515">
        <v>15790</v>
      </c>
      <c r="C1515">
        <f t="shared" si="50"/>
        <v>16391.28</v>
      </c>
      <c r="D1515">
        <f t="shared" si="51"/>
        <v>0.96331708078929779</v>
      </c>
    </row>
    <row r="1516" spans="1:14">
      <c r="A1516">
        <v>1515</v>
      </c>
      <c r="B1516">
        <v>15833</v>
      </c>
      <c r="C1516">
        <f t="shared" si="50"/>
        <v>16359.5</v>
      </c>
      <c r="D1516">
        <f t="shared" si="51"/>
        <v>0.96781686481860696</v>
      </c>
    </row>
    <row r="1517" spans="1:14">
      <c r="A1517">
        <v>1516</v>
      </c>
      <c r="B1517">
        <v>15551</v>
      </c>
      <c r="C1517">
        <f t="shared" si="50"/>
        <v>16327.68</v>
      </c>
      <c r="D1517">
        <f t="shared" si="51"/>
        <v>0.95243169880840384</v>
      </c>
    </row>
    <row r="1518" spans="1:14">
      <c r="A1518">
        <v>1517</v>
      </c>
      <c r="B1518">
        <v>15006</v>
      </c>
      <c r="C1518">
        <f t="shared" si="50"/>
        <v>16295.82</v>
      </c>
      <c r="D1518">
        <f t="shared" si="51"/>
        <v>0.92084964119633139</v>
      </c>
    </row>
    <row r="1519" spans="1:14">
      <c r="A1519">
        <v>1518</v>
      </c>
      <c r="B1519">
        <v>14304</v>
      </c>
      <c r="C1519">
        <f t="shared" si="50"/>
        <v>16263.92</v>
      </c>
      <c r="D1519">
        <f t="shared" si="51"/>
        <v>0.87949276681144517</v>
      </c>
    </row>
    <row r="1520" spans="1:14">
      <c r="A1520">
        <v>1519</v>
      </c>
      <c r="B1520">
        <v>14572</v>
      </c>
      <c r="C1520">
        <f t="shared" si="50"/>
        <v>16231.98</v>
      </c>
      <c r="D1520">
        <f t="shared" si="51"/>
        <v>0.89773397946522859</v>
      </c>
    </row>
    <row r="1521" spans="1:4">
      <c r="A1521">
        <v>1520</v>
      </c>
      <c r="B1521">
        <v>15178</v>
      </c>
      <c r="C1521">
        <f t="shared" si="50"/>
        <v>16200</v>
      </c>
      <c r="D1521">
        <f t="shared" si="51"/>
        <v>0.93691358024691362</v>
      </c>
    </row>
    <row r="1522" spans="1:4">
      <c r="A1522">
        <v>1521</v>
      </c>
      <c r="B1522">
        <v>16337</v>
      </c>
      <c r="C1522">
        <f t="shared" si="50"/>
        <v>16167.98</v>
      </c>
      <c r="D1522">
        <f t="shared" si="51"/>
        <v>1.0104539961083574</v>
      </c>
    </row>
    <row r="1523" spans="1:4">
      <c r="A1523">
        <v>1522</v>
      </c>
      <c r="B1523">
        <v>17289</v>
      </c>
      <c r="C1523">
        <f t="shared" si="50"/>
        <v>16135.92</v>
      </c>
      <c r="D1523">
        <f t="shared" si="51"/>
        <v>1.0714604435321939</v>
      </c>
    </row>
    <row r="1524" spans="1:4">
      <c r="A1524">
        <v>1523</v>
      </c>
      <c r="B1524">
        <v>17737</v>
      </c>
      <c r="C1524">
        <f t="shared" si="50"/>
        <v>16103.82</v>
      </c>
      <c r="D1524">
        <f t="shared" si="51"/>
        <v>1.1014156889483364</v>
      </c>
    </row>
    <row r="1525" spans="1:4">
      <c r="A1525">
        <v>1524</v>
      </c>
      <c r="B1525">
        <v>17687</v>
      </c>
      <c r="C1525">
        <f t="shared" si="50"/>
        <v>16071.68</v>
      </c>
      <c r="D1525">
        <f t="shared" si="51"/>
        <v>1.1005072276202612</v>
      </c>
    </row>
    <row r="1526" spans="1:4">
      <c r="A1526">
        <v>1525</v>
      </c>
      <c r="B1526">
        <v>17214</v>
      </c>
      <c r="C1526">
        <f t="shared" si="50"/>
        <v>16039.5</v>
      </c>
      <c r="D1526">
        <f t="shared" si="51"/>
        <v>1.0732254746095578</v>
      </c>
    </row>
    <row r="1527" spans="1:4">
      <c r="A1527">
        <v>1526</v>
      </c>
      <c r="B1527">
        <v>16527</v>
      </c>
      <c r="C1527">
        <f t="shared" si="50"/>
        <v>16007.28</v>
      </c>
      <c r="D1527">
        <f t="shared" si="51"/>
        <v>1.0324677271841312</v>
      </c>
    </row>
    <row r="1528" spans="1:4">
      <c r="A1528">
        <v>1527</v>
      </c>
      <c r="B1528">
        <v>15500</v>
      </c>
      <c r="C1528">
        <f t="shared" si="50"/>
        <v>15975.02</v>
      </c>
      <c r="D1528">
        <f t="shared" si="51"/>
        <v>0.97026482595952934</v>
      </c>
    </row>
    <row r="1529" spans="1:4">
      <c r="A1529">
        <v>1528</v>
      </c>
      <c r="B1529">
        <v>15086</v>
      </c>
      <c r="C1529">
        <f t="shared" si="50"/>
        <v>15942.72</v>
      </c>
      <c r="D1529">
        <f t="shared" si="51"/>
        <v>0.94626262018024532</v>
      </c>
    </row>
    <row r="1530" spans="1:4">
      <c r="A1530">
        <v>1529</v>
      </c>
      <c r="B1530">
        <v>14979</v>
      </c>
      <c r="C1530">
        <f t="shared" si="50"/>
        <v>15910.38</v>
      </c>
      <c r="D1530">
        <f t="shared" si="51"/>
        <v>0.94146085762879328</v>
      </c>
    </row>
  </sheetData>
  <sortState xmlns:xlrd2="http://schemas.microsoft.com/office/spreadsheetml/2017/richdata2" ref="M1479:N2955">
    <sortCondition ref="M1479:M2955"/>
  </sortState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thor orden1</vt:lpstr>
      <vt:lpstr>ster orden1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2024-08-27T19:22:58Z</dcterms:created>
  <dcterms:modified xsi:type="dcterms:W3CDTF">2026-02-16T16:07:12Z</dcterms:modified>
</cp:coreProperties>
</file>